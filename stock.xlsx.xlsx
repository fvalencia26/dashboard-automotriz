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Proyecto_automotriz\"/>
    </mc:Choice>
  </mc:AlternateContent>
  <xr:revisionPtr revIDLastSave="0" documentId="13_ncr:1_{B90CE42B-E8CB-4767-8DFF-6575CB15C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BDD2" sheetId="1" r:id="rId1"/>
    <sheet name="PRECIO TOMA HISTORICO " sheetId="2" r:id="rId2"/>
    <sheet name="PRECIO MERCADO" sheetId="3" r:id="rId3"/>
    <sheet name="INFORME VENTAS" sheetId="4" state="hidden" r:id="rId4"/>
    <sheet name="BBDD" sheetId="5" r:id="rId5"/>
  </sheets>
  <definedNames>
    <definedName name="_xlnm._FilterDatabase" localSheetId="4" hidden="1">BBDD!$A$1:$AU$134</definedName>
  </definedNames>
  <calcPr calcId="191029"/>
  <pivotCaches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" l="1"/>
  <c r="J133" i="1"/>
  <c r="L133" i="1"/>
  <c r="M133" i="1"/>
  <c r="N133" i="1"/>
  <c r="O133" i="1"/>
  <c r="H134" i="1"/>
  <c r="J134" i="1"/>
  <c r="L134" i="1"/>
  <c r="M134" i="1"/>
  <c r="N134" i="1"/>
  <c r="O134" i="1"/>
  <c r="M4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H2" i="1"/>
  <c r="J2" i="1"/>
  <c r="L2" i="1"/>
  <c r="M2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M132" i="1"/>
  <c r="J132" i="1"/>
  <c r="H132" i="1"/>
  <c r="M131" i="1"/>
  <c r="J131" i="1"/>
  <c r="H131" i="1"/>
  <c r="M130" i="1"/>
  <c r="J130" i="1"/>
  <c r="H130" i="1"/>
  <c r="M129" i="1"/>
  <c r="J129" i="1"/>
  <c r="H129" i="1"/>
  <c r="M128" i="1"/>
  <c r="J128" i="1"/>
  <c r="H128" i="1"/>
  <c r="M127" i="1"/>
  <c r="J127" i="1"/>
  <c r="H127" i="1"/>
  <c r="M126" i="1"/>
  <c r="J126" i="1"/>
  <c r="H126" i="1"/>
  <c r="M125" i="1"/>
  <c r="J125" i="1"/>
  <c r="H125" i="1"/>
  <c r="M124" i="1"/>
  <c r="J124" i="1"/>
  <c r="H124" i="1"/>
  <c r="M123" i="1"/>
  <c r="J123" i="1"/>
  <c r="H123" i="1"/>
  <c r="M122" i="1"/>
  <c r="J122" i="1"/>
  <c r="H122" i="1"/>
  <c r="M121" i="1"/>
  <c r="J121" i="1"/>
  <c r="H121" i="1"/>
  <c r="M120" i="1"/>
  <c r="J120" i="1"/>
  <c r="H120" i="1"/>
  <c r="M119" i="1"/>
  <c r="J119" i="1"/>
  <c r="H119" i="1"/>
  <c r="M118" i="1"/>
  <c r="J118" i="1"/>
  <c r="H118" i="1"/>
  <c r="M117" i="1"/>
  <c r="J117" i="1"/>
  <c r="H117" i="1"/>
  <c r="M116" i="1"/>
  <c r="J116" i="1"/>
  <c r="H116" i="1"/>
  <c r="M115" i="1"/>
  <c r="J115" i="1"/>
  <c r="H115" i="1"/>
  <c r="M114" i="1"/>
  <c r="J114" i="1"/>
  <c r="H114" i="1"/>
  <c r="M113" i="1"/>
  <c r="J113" i="1"/>
  <c r="H113" i="1"/>
  <c r="M112" i="1"/>
  <c r="J112" i="1"/>
  <c r="H112" i="1"/>
  <c r="M111" i="1"/>
  <c r="J111" i="1"/>
  <c r="H111" i="1"/>
  <c r="M110" i="1"/>
  <c r="J110" i="1"/>
  <c r="H110" i="1"/>
  <c r="M109" i="1"/>
  <c r="J109" i="1"/>
  <c r="H109" i="1"/>
  <c r="M108" i="1"/>
  <c r="J108" i="1"/>
  <c r="H108" i="1"/>
  <c r="M107" i="1"/>
  <c r="J107" i="1"/>
  <c r="H107" i="1"/>
  <c r="M106" i="1"/>
  <c r="J106" i="1"/>
  <c r="H106" i="1"/>
  <c r="M105" i="1"/>
  <c r="J105" i="1"/>
  <c r="H105" i="1"/>
  <c r="M104" i="1"/>
  <c r="J104" i="1"/>
  <c r="H104" i="1"/>
  <c r="M103" i="1"/>
  <c r="J103" i="1"/>
  <c r="H103" i="1"/>
  <c r="M102" i="1"/>
  <c r="J102" i="1"/>
  <c r="H102" i="1"/>
  <c r="M101" i="1"/>
  <c r="J101" i="1"/>
  <c r="H101" i="1"/>
  <c r="M100" i="1"/>
  <c r="J100" i="1"/>
  <c r="H100" i="1"/>
  <c r="M99" i="1"/>
  <c r="J99" i="1"/>
  <c r="H99" i="1"/>
  <c r="M98" i="1"/>
  <c r="J98" i="1"/>
  <c r="H98" i="1"/>
  <c r="M97" i="1"/>
  <c r="J97" i="1"/>
  <c r="H97" i="1"/>
  <c r="M96" i="1"/>
  <c r="J96" i="1"/>
  <c r="H96" i="1"/>
  <c r="M95" i="1"/>
  <c r="J95" i="1"/>
  <c r="H95" i="1"/>
  <c r="M94" i="1"/>
  <c r="J94" i="1"/>
  <c r="H94" i="1"/>
  <c r="M93" i="1"/>
  <c r="J93" i="1"/>
  <c r="H93" i="1"/>
  <c r="M92" i="1"/>
  <c r="J92" i="1"/>
  <c r="H92" i="1"/>
  <c r="M91" i="1"/>
  <c r="J91" i="1"/>
  <c r="H91" i="1"/>
  <c r="M90" i="1"/>
  <c r="J90" i="1"/>
  <c r="H90" i="1"/>
  <c r="M89" i="1"/>
  <c r="J89" i="1"/>
  <c r="H89" i="1"/>
  <c r="M88" i="1"/>
  <c r="J88" i="1"/>
  <c r="H88" i="1"/>
  <c r="M87" i="1"/>
  <c r="J87" i="1"/>
  <c r="H87" i="1"/>
  <c r="M86" i="1"/>
  <c r="J86" i="1"/>
  <c r="H86" i="1"/>
  <c r="M85" i="1"/>
  <c r="J85" i="1"/>
  <c r="H85" i="1"/>
  <c r="M84" i="1"/>
  <c r="J84" i="1"/>
  <c r="H84" i="1"/>
  <c r="M83" i="1"/>
  <c r="J83" i="1"/>
  <c r="H83" i="1"/>
  <c r="M82" i="1"/>
  <c r="J82" i="1"/>
  <c r="H82" i="1"/>
  <c r="M81" i="1"/>
  <c r="J81" i="1"/>
  <c r="H81" i="1"/>
  <c r="M80" i="1"/>
  <c r="J80" i="1"/>
  <c r="H80" i="1"/>
  <c r="M79" i="1"/>
  <c r="J79" i="1"/>
  <c r="H79" i="1"/>
  <c r="M78" i="1"/>
  <c r="J78" i="1"/>
  <c r="H78" i="1"/>
  <c r="M77" i="1"/>
  <c r="J77" i="1"/>
  <c r="H77" i="1"/>
  <c r="M76" i="1"/>
  <c r="J76" i="1"/>
  <c r="H76" i="1"/>
  <c r="M75" i="1"/>
  <c r="J75" i="1"/>
  <c r="H75" i="1"/>
  <c r="M74" i="1"/>
  <c r="J74" i="1"/>
  <c r="H74" i="1"/>
  <c r="M73" i="1"/>
  <c r="J73" i="1"/>
  <c r="H73" i="1"/>
  <c r="M72" i="1"/>
  <c r="J72" i="1"/>
  <c r="H72" i="1"/>
  <c r="M71" i="1"/>
  <c r="J71" i="1"/>
  <c r="H71" i="1"/>
  <c r="M70" i="1"/>
  <c r="J70" i="1"/>
  <c r="H70" i="1"/>
  <c r="M69" i="1"/>
  <c r="J69" i="1"/>
  <c r="H69" i="1"/>
  <c r="M68" i="1"/>
  <c r="J68" i="1"/>
  <c r="H68" i="1"/>
  <c r="M67" i="1"/>
  <c r="J67" i="1"/>
  <c r="H67" i="1"/>
  <c r="M66" i="1"/>
  <c r="J66" i="1"/>
  <c r="H66" i="1"/>
  <c r="M65" i="1"/>
  <c r="J65" i="1"/>
  <c r="H65" i="1"/>
  <c r="M64" i="1"/>
  <c r="J64" i="1"/>
  <c r="H64" i="1"/>
  <c r="M63" i="1"/>
  <c r="J63" i="1"/>
  <c r="H63" i="1"/>
  <c r="M62" i="1"/>
  <c r="J62" i="1"/>
  <c r="H62" i="1"/>
  <c r="M61" i="1"/>
  <c r="J61" i="1"/>
  <c r="H61" i="1"/>
  <c r="M60" i="1"/>
  <c r="J60" i="1"/>
  <c r="H60" i="1"/>
  <c r="M59" i="1"/>
  <c r="J59" i="1"/>
  <c r="H59" i="1"/>
  <c r="M58" i="1"/>
  <c r="J58" i="1"/>
  <c r="H58" i="1"/>
  <c r="M57" i="1"/>
  <c r="J57" i="1"/>
  <c r="H57" i="1"/>
  <c r="M56" i="1"/>
  <c r="J56" i="1"/>
  <c r="H56" i="1"/>
  <c r="M55" i="1"/>
  <c r="J55" i="1"/>
  <c r="H55" i="1"/>
  <c r="M54" i="1"/>
  <c r="J54" i="1"/>
  <c r="H54" i="1"/>
  <c r="M53" i="1"/>
  <c r="J53" i="1"/>
  <c r="H53" i="1"/>
  <c r="M52" i="1"/>
  <c r="J52" i="1"/>
  <c r="H52" i="1"/>
  <c r="M51" i="1"/>
  <c r="J51" i="1"/>
  <c r="H51" i="1"/>
  <c r="M50" i="1"/>
  <c r="J50" i="1"/>
  <c r="H50" i="1"/>
  <c r="M49" i="1"/>
  <c r="J49" i="1"/>
  <c r="H49" i="1"/>
  <c r="M48" i="1"/>
  <c r="J48" i="1"/>
  <c r="H48" i="1"/>
  <c r="M47" i="1"/>
  <c r="J47" i="1"/>
  <c r="H47" i="1"/>
  <c r="M46" i="1"/>
  <c r="J46" i="1"/>
  <c r="H46" i="1"/>
  <c r="M45" i="1"/>
  <c r="J45" i="1"/>
  <c r="H45" i="1"/>
  <c r="M44" i="1"/>
  <c r="J44" i="1"/>
  <c r="H44" i="1"/>
  <c r="M43" i="1"/>
  <c r="J43" i="1"/>
  <c r="H43" i="1"/>
  <c r="M42" i="1"/>
  <c r="J42" i="1"/>
  <c r="H42" i="1"/>
  <c r="M41" i="1"/>
  <c r="J41" i="1"/>
  <c r="H41" i="1"/>
  <c r="M40" i="1"/>
  <c r="J40" i="1"/>
  <c r="H40" i="1"/>
  <c r="M39" i="1"/>
  <c r="J39" i="1"/>
  <c r="H39" i="1"/>
  <c r="M38" i="1"/>
  <c r="J38" i="1"/>
  <c r="H38" i="1"/>
  <c r="M37" i="1"/>
  <c r="J37" i="1"/>
  <c r="H37" i="1"/>
  <c r="M36" i="1"/>
  <c r="J36" i="1"/>
  <c r="H36" i="1"/>
  <c r="M35" i="1"/>
  <c r="J35" i="1"/>
  <c r="H35" i="1"/>
  <c r="M34" i="1"/>
  <c r="J34" i="1"/>
  <c r="H34" i="1"/>
  <c r="M33" i="1"/>
  <c r="J33" i="1"/>
  <c r="H33" i="1"/>
  <c r="M32" i="1"/>
  <c r="J32" i="1"/>
  <c r="H32" i="1"/>
  <c r="M31" i="1"/>
  <c r="J31" i="1"/>
  <c r="H31" i="1"/>
  <c r="M30" i="1"/>
  <c r="J30" i="1"/>
  <c r="H30" i="1"/>
  <c r="M29" i="1"/>
  <c r="J29" i="1"/>
  <c r="H29" i="1"/>
  <c r="M28" i="1"/>
  <c r="J28" i="1"/>
  <c r="H28" i="1"/>
  <c r="M27" i="1"/>
  <c r="J27" i="1"/>
  <c r="H27" i="1"/>
  <c r="M26" i="1"/>
  <c r="J26" i="1"/>
  <c r="H26" i="1"/>
  <c r="M25" i="1"/>
  <c r="J25" i="1"/>
  <c r="H25" i="1"/>
  <c r="M24" i="1"/>
  <c r="J24" i="1"/>
  <c r="H24" i="1"/>
  <c r="M23" i="1"/>
  <c r="J23" i="1"/>
  <c r="H23" i="1"/>
  <c r="M22" i="1"/>
  <c r="J22" i="1"/>
  <c r="H22" i="1"/>
  <c r="M21" i="1"/>
  <c r="J21" i="1"/>
  <c r="H21" i="1"/>
  <c r="M20" i="1"/>
  <c r="J20" i="1"/>
  <c r="H20" i="1"/>
  <c r="M19" i="1"/>
  <c r="J19" i="1"/>
  <c r="H19" i="1"/>
  <c r="M18" i="1"/>
  <c r="J18" i="1"/>
  <c r="H18" i="1"/>
  <c r="M17" i="1"/>
  <c r="J17" i="1"/>
  <c r="H17" i="1"/>
  <c r="M16" i="1"/>
  <c r="J16" i="1"/>
  <c r="H16" i="1"/>
  <c r="M15" i="1"/>
  <c r="J15" i="1"/>
  <c r="H15" i="1"/>
  <c r="M14" i="1"/>
  <c r="J14" i="1"/>
  <c r="H14" i="1"/>
  <c r="M13" i="1"/>
  <c r="J13" i="1"/>
  <c r="H13" i="1"/>
  <c r="M12" i="1"/>
  <c r="J12" i="1"/>
  <c r="H12" i="1"/>
  <c r="M11" i="1"/>
  <c r="J11" i="1"/>
  <c r="H11" i="1"/>
  <c r="M10" i="1"/>
  <c r="J10" i="1"/>
  <c r="H10" i="1"/>
  <c r="M9" i="1"/>
  <c r="J9" i="1"/>
  <c r="H9" i="1"/>
  <c r="M8" i="1"/>
  <c r="J8" i="1"/>
  <c r="H8" i="1"/>
  <c r="M7" i="1"/>
  <c r="J7" i="1"/>
  <c r="H7" i="1"/>
  <c r="M6" i="1"/>
  <c r="J6" i="1"/>
  <c r="H6" i="1"/>
  <c r="M5" i="1"/>
  <c r="J5" i="1"/>
  <c r="H5" i="1"/>
  <c r="J4" i="1"/>
  <c r="H4" i="1"/>
  <c r="M3" i="1"/>
  <c r="J3" i="1"/>
  <c r="H3" i="1"/>
</calcChain>
</file>

<file path=xl/sharedStrings.xml><?xml version="1.0" encoding="utf-8"?>
<sst xmlns="http://schemas.openxmlformats.org/spreadsheetml/2006/main" count="24599" uniqueCount="8905">
  <si>
    <t>Marca</t>
  </si>
  <si>
    <t>Modelo</t>
  </si>
  <si>
    <t>Versión</t>
  </si>
  <si>
    <t>Estado Dealer</t>
  </si>
  <si>
    <t>Año</t>
  </si>
  <si>
    <t>Placa Patente</t>
  </si>
  <si>
    <t>Suma de Días Stock</t>
  </si>
  <si>
    <t>Modelo-versión-año</t>
  </si>
  <si>
    <t xml:space="preserve">Precio toma historico </t>
  </si>
  <si>
    <t>Precio toma historico autored</t>
  </si>
  <si>
    <t>Precio unidad venta</t>
  </si>
  <si>
    <t>Precio Lista informe stock</t>
  </si>
  <si>
    <t>Precio Mercado</t>
  </si>
  <si>
    <t>Precio Compra Neto Informe Stock</t>
  </si>
  <si>
    <t>Total Costo Informe Stock</t>
  </si>
  <si>
    <t>BAIC</t>
  </si>
  <si>
    <t>X35</t>
  </si>
  <si>
    <t>EN PREPARACION</t>
  </si>
  <si>
    <t>RTTZ73</t>
  </si>
  <si>
    <t>BYD</t>
  </si>
  <si>
    <t>SHARK DMO</t>
  </si>
  <si>
    <t>SHARK 1.5 AUT</t>
  </si>
  <si>
    <t>CON PRENDA</t>
  </si>
  <si>
    <t>TGVD10</t>
  </si>
  <si>
    <t>TGVF52</t>
  </si>
  <si>
    <t>TGVF53</t>
  </si>
  <si>
    <t>SONG PLUS DM-i</t>
  </si>
  <si>
    <t>SONG PLUS 4X2 1.5 AUT</t>
  </si>
  <si>
    <t>DISPONIBLE</t>
  </si>
  <si>
    <t>TJDC55</t>
  </si>
  <si>
    <t>CHERY</t>
  </si>
  <si>
    <t>ARRIZO 3</t>
  </si>
  <si>
    <t>NEW ARRIZO 3 GLS 1.5</t>
  </si>
  <si>
    <t>PKHC89</t>
  </si>
  <si>
    <t>TIGGO 3</t>
  </si>
  <si>
    <t>TIGGO 3 1.5</t>
  </si>
  <si>
    <t>EN RESCILIACION</t>
  </si>
  <si>
    <t>RBZD91</t>
  </si>
  <si>
    <t>TIGGO 3 PRO</t>
  </si>
  <si>
    <t>TIGGO 3 PRO GLS 1.5 AUT</t>
  </si>
  <si>
    <t>VKCY97</t>
  </si>
  <si>
    <t>TIGGO 7 PRO</t>
  </si>
  <si>
    <t>TIGGO 7 GLX CVT PRO 1.5 AUT</t>
  </si>
  <si>
    <t>EN TALLER</t>
  </si>
  <si>
    <t>RVRD47</t>
  </si>
  <si>
    <t>TIGGO 8</t>
  </si>
  <si>
    <t>TIGGO 8 1.5</t>
  </si>
  <si>
    <t>RSJD48</t>
  </si>
  <si>
    <t>CHEVROLET</t>
  </si>
  <si>
    <t>CAPTIVA</t>
  </si>
  <si>
    <t>CAPTIVA LS 2.4 AT</t>
  </si>
  <si>
    <t>JHSK67</t>
  </si>
  <si>
    <t>SILVERADO</t>
  </si>
  <si>
    <t>SILVERADO CC LTZ 4X4 3.0 AUT</t>
  </si>
  <si>
    <t>SJDW14</t>
  </si>
  <si>
    <t>SPIN</t>
  </si>
  <si>
    <t>SPIN 1.8</t>
  </si>
  <si>
    <t>PKZB80</t>
  </si>
  <si>
    <t>TAHOE</t>
  </si>
  <si>
    <t>TAHOE 4X4 5.3 AUT</t>
  </si>
  <si>
    <t>PDBT76</t>
  </si>
  <si>
    <t>TRACKER</t>
  </si>
  <si>
    <t>TRACKER 1.2T</t>
  </si>
  <si>
    <t>SBWS64</t>
  </si>
  <si>
    <t>CITROEN</t>
  </si>
  <si>
    <t>C3</t>
  </si>
  <si>
    <t>C3 AIRCROSS 1.2 AUT</t>
  </si>
  <si>
    <t>NO DISPONIBLE</t>
  </si>
  <si>
    <t>LPXJ44</t>
  </si>
  <si>
    <t>C5</t>
  </si>
  <si>
    <t>C5 AIRCROSS 1.5 AUT</t>
  </si>
  <si>
    <t>LVWV64</t>
  </si>
  <si>
    <t>DFSK</t>
  </si>
  <si>
    <t>SUV 560 1.8</t>
  </si>
  <si>
    <t>RCBJ98</t>
  </si>
  <si>
    <t>SUV 560 4X2 1.8</t>
  </si>
  <si>
    <t>STBT82</t>
  </si>
  <si>
    <t>SUV 560 OTTO 1.8</t>
  </si>
  <si>
    <t>SSTB40</t>
  </si>
  <si>
    <t>SUV GLORY 580 1.8</t>
  </si>
  <si>
    <t>SLYZ44</t>
  </si>
  <si>
    <t>SJJH94</t>
  </si>
  <si>
    <t>CARGO BOX XL 1.3</t>
  </si>
  <si>
    <t>VEHICULO USO DE SERVICIO</t>
  </si>
  <si>
    <t>FZPL98</t>
  </si>
  <si>
    <t>GBDZ38</t>
  </si>
  <si>
    <t>PICK UP D1</t>
  </si>
  <si>
    <t>D1 LUXURY 4X4 2.3</t>
  </si>
  <si>
    <t>TTVT92</t>
  </si>
  <si>
    <t>EXEED BORN FOR MORE</t>
  </si>
  <si>
    <t>LX</t>
  </si>
  <si>
    <t>LX ADVANCED 1.5 AUT</t>
  </si>
  <si>
    <t>SZTL17</t>
  </si>
  <si>
    <t>FORD</t>
  </si>
  <si>
    <t>BRONCO</t>
  </si>
  <si>
    <t>BRONCO SPORT WILDTRAK 4X4 2.0 AUT</t>
  </si>
  <si>
    <t>TYWS69</t>
  </si>
  <si>
    <t>ECOSPORT</t>
  </si>
  <si>
    <t>ECOSPORT FREESTYLE 1.5</t>
  </si>
  <si>
    <t>LHSD99</t>
  </si>
  <si>
    <t>EDGE</t>
  </si>
  <si>
    <t>EDGE AWD 2.0 CVT</t>
  </si>
  <si>
    <t>TFFD89</t>
  </si>
  <si>
    <t>EDGE SEL 4X4 2.0 AUT</t>
  </si>
  <si>
    <t>PCDV84</t>
  </si>
  <si>
    <t>ESCAPE</t>
  </si>
  <si>
    <t>ESCAPE FHEV 2.5 AUT</t>
  </si>
  <si>
    <t>SBLD74</t>
  </si>
  <si>
    <t>SKSZ29</t>
  </si>
  <si>
    <t>TJSK11</t>
  </si>
  <si>
    <t>EXPEDITION</t>
  </si>
  <si>
    <t>EXPEDITION XLT 3.5 AUT</t>
  </si>
  <si>
    <t>JGFD64</t>
  </si>
  <si>
    <t>EXPLORER</t>
  </si>
  <si>
    <t>EXPLORER 4X2 2.3 AUT</t>
  </si>
  <si>
    <t>SXHV61</t>
  </si>
  <si>
    <t>EXPLORER LTD 4X4 2.3 AUT</t>
  </si>
  <si>
    <t>LSZV62</t>
  </si>
  <si>
    <t>F-150</t>
  </si>
  <si>
    <t>F150 LARIAT 4X4 5.0 AT</t>
  </si>
  <si>
    <t>PKTZ57</t>
  </si>
  <si>
    <t>F150 LARIAT LUXURY 4X4 5.0L AUT</t>
  </si>
  <si>
    <t>PSTV42</t>
  </si>
  <si>
    <t>F150 RAPTOR 4X4 3.5 AUT</t>
  </si>
  <si>
    <t>LYPC19</t>
  </si>
  <si>
    <t>EN TALLER EXTERNO</t>
  </si>
  <si>
    <t>LVWS91</t>
  </si>
  <si>
    <t>F150 XLT 4X4 5.0</t>
  </si>
  <si>
    <t>KCBZ84</t>
  </si>
  <si>
    <t>F150 XLT 4X4 5.0L AUT</t>
  </si>
  <si>
    <t>TKHS25</t>
  </si>
  <si>
    <t>RANGER</t>
  </si>
  <si>
    <t>RANGER LTD 4X4 3.0 AUT</t>
  </si>
  <si>
    <t>TJSK30</t>
  </si>
  <si>
    <t>RANGER RAPTOR 4X4 2.0 AUT</t>
  </si>
  <si>
    <t>SFTZ65</t>
  </si>
  <si>
    <t>RANGER RAPTOR 4X4 3.0 AT</t>
  </si>
  <si>
    <t>TFDC75</t>
  </si>
  <si>
    <t>TFGL70</t>
  </si>
  <si>
    <t>RANGER XLS 2.0</t>
  </si>
  <si>
    <t>SYPL90</t>
  </si>
  <si>
    <t>RANGER XLT 2.5</t>
  </si>
  <si>
    <t>RVKK81</t>
  </si>
  <si>
    <t>TERRITORY</t>
  </si>
  <si>
    <t>TERRITORY 1.5 AUT</t>
  </si>
  <si>
    <t>PJDC98</t>
  </si>
  <si>
    <t>RRWP38</t>
  </si>
  <si>
    <t>TERRITORY TITANIUM 4X2 1.5 AUT</t>
  </si>
  <si>
    <t>VFTG40</t>
  </si>
  <si>
    <t>GAC</t>
  </si>
  <si>
    <t>TWSB37</t>
  </si>
  <si>
    <t>GREAT WALL</t>
  </si>
  <si>
    <t>POER MT 4X4 2.0</t>
  </si>
  <si>
    <t>TKHL10</t>
  </si>
  <si>
    <t>POER</t>
  </si>
  <si>
    <t>POER 4X2 MT 2.0</t>
  </si>
  <si>
    <t>TPJF75</t>
  </si>
  <si>
    <t>HAVAL</t>
  </si>
  <si>
    <t>H2</t>
  </si>
  <si>
    <t>H2 ELITE 1.5</t>
  </si>
  <si>
    <t>LHCV19</t>
  </si>
  <si>
    <t>H6</t>
  </si>
  <si>
    <t>H6 GT DCT 4X4 2.0 AUT</t>
  </si>
  <si>
    <t>THCY28</t>
  </si>
  <si>
    <t>JOLION</t>
  </si>
  <si>
    <t>JOLION TURBO DCT 1.5 AUT</t>
  </si>
  <si>
    <t>RSTC22</t>
  </si>
  <si>
    <t>HYUNDAI</t>
  </si>
  <si>
    <t>ACCENT 1.5</t>
  </si>
  <si>
    <t>TTXB96</t>
  </si>
  <si>
    <t>GRAND I10 SDN 1.2</t>
  </si>
  <si>
    <t>SLDR66</t>
  </si>
  <si>
    <t>SANTA FE MX5 GDI 2.5 AUT</t>
  </si>
  <si>
    <t>THXK86</t>
  </si>
  <si>
    <t>SANTA FE MX5 GDI 4X4 2.5 AUT</t>
  </si>
  <si>
    <t>TTVD23</t>
  </si>
  <si>
    <t>TUCSON NX4 2.0 AUT</t>
  </si>
  <si>
    <t>SZTF51</t>
  </si>
  <si>
    <t>STARIA</t>
  </si>
  <si>
    <t>US4 CRDI 6MT 2.2</t>
  </si>
  <si>
    <t>RXXW40</t>
  </si>
  <si>
    <t>JAC</t>
  </si>
  <si>
    <t>JS4</t>
  </si>
  <si>
    <t>JS4 LUXURY HB 1.5</t>
  </si>
  <si>
    <t>TDKL17</t>
  </si>
  <si>
    <t>T8</t>
  </si>
  <si>
    <t>T8 PRO TM 4X4 2.0</t>
  </si>
  <si>
    <t>SSVL57</t>
  </si>
  <si>
    <t>JAECOO</t>
  </si>
  <si>
    <t>7 DCT 1.6 AUT</t>
  </si>
  <si>
    <t>VGPT64</t>
  </si>
  <si>
    <t>7 DCT FWD 1.6 AUT</t>
  </si>
  <si>
    <t>VDWK12</t>
  </si>
  <si>
    <t>VJTS35</t>
  </si>
  <si>
    <t>TYFD45</t>
  </si>
  <si>
    <t>JEEP</t>
  </si>
  <si>
    <t>COMPASS</t>
  </si>
  <si>
    <t>TSYZ42</t>
  </si>
  <si>
    <t>GRAND CHEROKEE</t>
  </si>
  <si>
    <t>GRAND CHEROKEE LAREDO 4X4 3.0 AUT</t>
  </si>
  <si>
    <t>FHRL53</t>
  </si>
  <si>
    <t>KIA MOTORS</t>
  </si>
  <si>
    <t>FRONTIER</t>
  </si>
  <si>
    <t>FRONTIER C/C 2.5 6MT</t>
  </si>
  <si>
    <t>VEHICULO EMPRESA</t>
  </si>
  <si>
    <t>HKVZ15</t>
  </si>
  <si>
    <t>MORNING</t>
  </si>
  <si>
    <t>MORNING LX 1.0</t>
  </si>
  <si>
    <t>FZPL81</t>
  </si>
  <si>
    <t>NIRO</t>
  </si>
  <si>
    <t>NIRO HEV DCT GDI 1.6 AUT</t>
  </si>
  <si>
    <t>THXP99</t>
  </si>
  <si>
    <t>SELTOS</t>
  </si>
  <si>
    <t>SELTOS EX 1.6 AUT</t>
  </si>
  <si>
    <t>SBLD56</t>
  </si>
  <si>
    <t>SORENTO</t>
  </si>
  <si>
    <t>SORENTO 8DCT 4WD 2.2 AUT</t>
  </si>
  <si>
    <t>TRBJ23</t>
  </si>
  <si>
    <t>SPORTAGE</t>
  </si>
  <si>
    <t>SPORTAGE EX 2.0 AUT</t>
  </si>
  <si>
    <t>SDKG61</t>
  </si>
  <si>
    <t>SPORTAGE EX 2.0L</t>
  </si>
  <si>
    <t>SGDP76</t>
  </si>
  <si>
    <t>SPORTAGE LX 4X4 2.0 AUT</t>
  </si>
  <si>
    <t>USO GERENCIA</t>
  </si>
  <si>
    <t>FWLT41</t>
  </si>
  <si>
    <t>MAHINDRA</t>
  </si>
  <si>
    <t>KUV 100 HATCH BACK 1.2</t>
  </si>
  <si>
    <t>RGLK10</t>
  </si>
  <si>
    <t>MAZDA</t>
  </si>
  <si>
    <t>CX-30</t>
  </si>
  <si>
    <t>CX30 4X2 2.0 AUT</t>
  </si>
  <si>
    <t>VBWR52</t>
  </si>
  <si>
    <t>CX-60</t>
  </si>
  <si>
    <t>CX60 PREMIUM SPORT 4X4 3.3 AUT</t>
  </si>
  <si>
    <t>TSPX19</t>
  </si>
  <si>
    <t>MITSUBISHI</t>
  </si>
  <si>
    <t>OUTLANDER</t>
  </si>
  <si>
    <t>OUTLANDER GL 2.5 AUT</t>
  </si>
  <si>
    <t>SLWH28</t>
  </si>
  <si>
    <t>OUTLANDER GLS 4X4 2.5 AT</t>
  </si>
  <si>
    <t>VDFP78</t>
  </si>
  <si>
    <t>NISSAN</t>
  </si>
  <si>
    <t>JUKE</t>
  </si>
  <si>
    <t>JUKE 1.6 AUT</t>
  </si>
  <si>
    <t>HHYB74</t>
  </si>
  <si>
    <t>QASHQAI</t>
  </si>
  <si>
    <t>QASHQAI TURBO 1.3</t>
  </si>
  <si>
    <t>THCY22</t>
  </si>
  <si>
    <t>SFLX53</t>
  </si>
  <si>
    <t>SXTX58</t>
  </si>
  <si>
    <t>SENTRA</t>
  </si>
  <si>
    <t>SENTRA 1.8 AT</t>
  </si>
  <si>
    <t>PDBJ62</t>
  </si>
  <si>
    <t>VERSA</t>
  </si>
  <si>
    <t>VERSA CVT 1.6 AUT</t>
  </si>
  <si>
    <t>RBJH77</t>
  </si>
  <si>
    <t>XTRAIL</t>
  </si>
  <si>
    <t>X TRAIL 4X2 7P CVT 2.5</t>
  </si>
  <si>
    <t>SXHW25</t>
  </si>
  <si>
    <t>OMODA</t>
  </si>
  <si>
    <t>C5 1.5 AUT</t>
  </si>
  <si>
    <t>TSSG86</t>
  </si>
  <si>
    <t>VPGG34</t>
  </si>
  <si>
    <t>PEUGEOT</t>
  </si>
  <si>
    <t>PCDZ57</t>
  </si>
  <si>
    <t>2008 PURETECH 130 1.2</t>
  </si>
  <si>
    <t>PKJP44</t>
  </si>
  <si>
    <t>3008 ACTIVE 1.6</t>
  </si>
  <si>
    <t>JYBF33</t>
  </si>
  <si>
    <t>3008 ALLURE 1.2 AUT</t>
  </si>
  <si>
    <t>TZTC96</t>
  </si>
  <si>
    <t>3008 ALLURE 1.6 AT</t>
  </si>
  <si>
    <t>JXGC32</t>
  </si>
  <si>
    <t>3008 BLUE HDI 130 1.5</t>
  </si>
  <si>
    <t>PYLP70</t>
  </si>
  <si>
    <t>3008 BLUE HDI HP 1.5 AUT</t>
  </si>
  <si>
    <t>LVCS57</t>
  </si>
  <si>
    <t>3008 PURETECH 1.2L</t>
  </si>
  <si>
    <t>SDPF24</t>
  </si>
  <si>
    <t>TBDD19</t>
  </si>
  <si>
    <t>SVGL34</t>
  </si>
  <si>
    <t>3008 THP 165HP 1.6 AUT</t>
  </si>
  <si>
    <t>SPZB83</t>
  </si>
  <si>
    <t>PRVP72</t>
  </si>
  <si>
    <t>SWBW23</t>
  </si>
  <si>
    <t>5008 BLUEHDI 130 1.5 AUT</t>
  </si>
  <si>
    <t>PZTS12</t>
  </si>
  <si>
    <t>SFLW13</t>
  </si>
  <si>
    <t>TSZC89</t>
  </si>
  <si>
    <t>5008 PURETECH 180 EAT8 1.6 AUT</t>
  </si>
  <si>
    <t>SJKL16</t>
  </si>
  <si>
    <t>SRWC14</t>
  </si>
  <si>
    <t>LANDTREK</t>
  </si>
  <si>
    <t>LANDTREK 1.9</t>
  </si>
  <si>
    <t>SHDG76</t>
  </si>
  <si>
    <t>LANDTREK BLUEHDI 4X4 2.2 AUT</t>
  </si>
  <si>
    <t>TFGP78</t>
  </si>
  <si>
    <t>TSSB38</t>
  </si>
  <si>
    <t>TBJJ46</t>
  </si>
  <si>
    <t>PARTNER</t>
  </si>
  <si>
    <t>PARTNER BLUEHDI 1.5</t>
  </si>
  <si>
    <t>VDBP55</t>
  </si>
  <si>
    <t>RAM</t>
  </si>
  <si>
    <t>RAM 1500</t>
  </si>
  <si>
    <t>1500 CREW CAB SPORT DCAB 4X4 3.6 AT</t>
  </si>
  <si>
    <t>SHLW33</t>
  </si>
  <si>
    <t>1500 REBEL CREW DCAB 4X4 5.7 AUT</t>
  </si>
  <si>
    <t>RXYT46</t>
  </si>
  <si>
    <t>RAMPAGE DS LARAMIE 4X4 2.0 AUT</t>
  </si>
  <si>
    <t>VFSF65</t>
  </si>
  <si>
    <t>RAMPAGE</t>
  </si>
  <si>
    <t>RAMPAGE DS BIGHORN 4X4 2.0 AUT</t>
  </si>
  <si>
    <t>TZHS55</t>
  </si>
  <si>
    <t>RENAULT</t>
  </si>
  <si>
    <t>DUSTER ZEN 1.6</t>
  </si>
  <si>
    <t>LPXF73</t>
  </si>
  <si>
    <t>SSANGYONG</t>
  </si>
  <si>
    <t>KORANDO</t>
  </si>
  <si>
    <t>NEW KORANDO 1.6</t>
  </si>
  <si>
    <t>PKBJ31</t>
  </si>
  <si>
    <t>REXTON</t>
  </si>
  <si>
    <t>REXTON 2.0</t>
  </si>
  <si>
    <t>GLRH21</t>
  </si>
  <si>
    <t>TORRES</t>
  </si>
  <si>
    <t>TORRES 4X2 1.5</t>
  </si>
  <si>
    <t>TLRS70</t>
  </si>
  <si>
    <t>SUZUKI</t>
  </si>
  <si>
    <t>GRAND NOMADE</t>
  </si>
  <si>
    <t>GRAND NOMADE GLX 2.4 AUT</t>
  </si>
  <si>
    <t>LBVT54</t>
  </si>
  <si>
    <t>JIMNY</t>
  </si>
  <si>
    <t>JIMNY 4X4 OTTO 1.5</t>
  </si>
  <si>
    <t>PPJR63</t>
  </si>
  <si>
    <t>TOYOTA</t>
  </si>
  <si>
    <t>C-HR</t>
  </si>
  <si>
    <t>PXVL80</t>
  </si>
  <si>
    <t>HILUX</t>
  </si>
  <si>
    <t>TFGR40</t>
  </si>
  <si>
    <t>VOLKSWAGEN</t>
  </si>
  <si>
    <t>AMAROK</t>
  </si>
  <si>
    <t>AMAROK DCAB TDI DOHC 4X4 2.0 AUT</t>
  </si>
  <si>
    <t>SRHZ99</t>
  </si>
  <si>
    <t>SAVEIRO</t>
  </si>
  <si>
    <t>SAVEIRO CD 4X2 1.6</t>
  </si>
  <si>
    <t>TFGS79</t>
  </si>
  <si>
    <t>ZX AUTO</t>
  </si>
  <si>
    <t>TERRALORD</t>
  </si>
  <si>
    <t>TERRALORD 4X4 2.5 AUT</t>
  </si>
  <si>
    <t>RSWX56</t>
  </si>
  <si>
    <t>TERRALORD DCAB DLX 2.5</t>
  </si>
  <si>
    <t>RDWB83</t>
  </si>
  <si>
    <t>Patente</t>
  </si>
  <si>
    <t>Precio toma autored</t>
  </si>
  <si>
    <t>SWBW81</t>
  </si>
  <si>
    <t>TCTX97</t>
  </si>
  <si>
    <t>VFTG62</t>
  </si>
  <si>
    <t>JZGC66</t>
  </si>
  <si>
    <t>TSYY69</t>
  </si>
  <si>
    <t>SSST63</t>
  </si>
  <si>
    <t>RJDX62</t>
  </si>
  <si>
    <t>JZGK83</t>
  </si>
  <si>
    <t>TGVK79</t>
  </si>
  <si>
    <t>TJDC59</t>
  </si>
  <si>
    <t>RTVT40</t>
  </si>
  <si>
    <t>SDGC21</t>
  </si>
  <si>
    <t>PYDG61</t>
  </si>
  <si>
    <t>TCTX98</t>
  </si>
  <si>
    <t>KRWJ90</t>
  </si>
  <si>
    <t>TCTB86</t>
  </si>
  <si>
    <t>RBXW58</t>
  </si>
  <si>
    <t>SBWL78</t>
  </si>
  <si>
    <t>JXGF88</t>
  </si>
  <si>
    <t>SVGP41</t>
  </si>
  <si>
    <t>VTRD64</t>
  </si>
  <si>
    <t>LLBS95</t>
  </si>
  <si>
    <t>TDXD50</t>
  </si>
  <si>
    <t>PFRT42</t>
  </si>
  <si>
    <t>PLCG23</t>
  </si>
  <si>
    <t>VSWV91</t>
  </si>
  <si>
    <t>STPT35</t>
  </si>
  <si>
    <t>VBRT23</t>
  </si>
  <si>
    <t>TFRD99</t>
  </si>
  <si>
    <t>TRBK39</t>
  </si>
  <si>
    <t>SWBS67</t>
  </si>
  <si>
    <t>SFLX72</t>
  </si>
  <si>
    <t>VJTT72</t>
  </si>
  <si>
    <t>PYVK20</t>
  </si>
  <si>
    <t>VKBH32</t>
  </si>
  <si>
    <t>SRJB16</t>
  </si>
  <si>
    <t>PZJR26</t>
  </si>
  <si>
    <t>TKHR22</t>
  </si>
  <si>
    <t>SBWL25</t>
  </si>
  <si>
    <t>VKDC48</t>
  </si>
  <si>
    <t>SPZC95</t>
  </si>
  <si>
    <t>VPDX23</t>
  </si>
  <si>
    <t>PJTG17</t>
  </si>
  <si>
    <t>LWPY48</t>
  </si>
  <si>
    <t>SHBY19</t>
  </si>
  <si>
    <t>KWYC76</t>
  </si>
  <si>
    <t>SPZC15</t>
  </si>
  <si>
    <t>PBXX58</t>
  </si>
  <si>
    <t>TJLC31</t>
  </si>
  <si>
    <t>PSTV85</t>
  </si>
  <si>
    <t>KSRP53</t>
  </si>
  <si>
    <t>LVWS97</t>
  </si>
  <si>
    <t>TBJC56</t>
  </si>
  <si>
    <t>RPFK37</t>
  </si>
  <si>
    <t>VPGJ85</t>
  </si>
  <si>
    <t>PLTG12</t>
  </si>
  <si>
    <t>RYDL92</t>
  </si>
  <si>
    <t>SSSC41</t>
  </si>
  <si>
    <t>RZCJ93</t>
  </si>
  <si>
    <t>TBCP64</t>
  </si>
  <si>
    <t>PSHX15</t>
  </si>
  <si>
    <t>SPZB62</t>
  </si>
  <si>
    <t>LSYC14</t>
  </si>
  <si>
    <t>LLBX18</t>
  </si>
  <si>
    <t>TJSH54</t>
  </si>
  <si>
    <t>RJBV91</t>
  </si>
  <si>
    <t>SCWV43</t>
  </si>
  <si>
    <t>PFGH38</t>
  </si>
  <si>
    <t>RRJP20</t>
  </si>
  <si>
    <t>THXR88</t>
  </si>
  <si>
    <t>PHKK11</t>
  </si>
  <si>
    <t>SYXT21</t>
  </si>
  <si>
    <t>SLLW50</t>
  </si>
  <si>
    <t>PBGX86</t>
  </si>
  <si>
    <t>TDWY79</t>
  </si>
  <si>
    <t>PJLP25</t>
  </si>
  <si>
    <t>TSSC10</t>
  </si>
  <si>
    <t>SJJJ22</t>
  </si>
  <si>
    <t>THRJ79</t>
  </si>
  <si>
    <t>VHGF48</t>
  </si>
  <si>
    <t>LHCR66</t>
  </si>
  <si>
    <t>KRWG31</t>
  </si>
  <si>
    <t>LSXV68</t>
  </si>
  <si>
    <t>TXZB72</t>
  </si>
  <si>
    <t>VKBG21</t>
  </si>
  <si>
    <t>SVRL90</t>
  </si>
  <si>
    <t>VDBK98</t>
  </si>
  <si>
    <t>SSSF46</t>
  </si>
  <si>
    <t>RWWG58</t>
  </si>
  <si>
    <t>STFZ67</t>
  </si>
  <si>
    <t>SHCG10</t>
  </si>
  <si>
    <t>SCDL97</t>
  </si>
  <si>
    <t>RDBC10</t>
  </si>
  <si>
    <t>VKCZ36</t>
  </si>
  <si>
    <t>TJDD82</t>
  </si>
  <si>
    <t>TKWH74</t>
  </si>
  <si>
    <t>RLBZ23</t>
  </si>
  <si>
    <t>SKSZ24</t>
  </si>
  <si>
    <t>LDVW68</t>
  </si>
  <si>
    <t>PGGS30</t>
  </si>
  <si>
    <t>SYXT32</t>
  </si>
  <si>
    <t>SVWP73</t>
  </si>
  <si>
    <t>RBXV78</t>
  </si>
  <si>
    <t>TRHY51</t>
  </si>
  <si>
    <t>TYWT40</t>
  </si>
  <si>
    <t>SPJD14</t>
  </si>
  <si>
    <t>SPTB48</t>
  </si>
  <si>
    <t>KLBS58</t>
  </si>
  <si>
    <t>SHBW78</t>
  </si>
  <si>
    <t>HXRJ76</t>
  </si>
  <si>
    <t>PSJH87</t>
  </si>
  <si>
    <t>RRYD89</t>
  </si>
  <si>
    <t>SPSY92</t>
  </si>
  <si>
    <t>LSVF37</t>
  </si>
  <si>
    <t>RWWB11</t>
  </si>
  <si>
    <t>TBZL70</t>
  </si>
  <si>
    <t>RPLJ40</t>
  </si>
  <si>
    <t>PPRR99</t>
  </si>
  <si>
    <t>PKBH93</t>
  </si>
  <si>
    <t>SPFZ72</t>
  </si>
  <si>
    <t>TXYY55</t>
  </si>
  <si>
    <t>LZPC22</t>
  </si>
  <si>
    <t>KGLK41</t>
  </si>
  <si>
    <t>RGZW28</t>
  </si>
  <si>
    <t>LDBK99</t>
  </si>
  <si>
    <t>VFTD74</t>
  </si>
  <si>
    <t>RSCZ75</t>
  </si>
  <si>
    <t>TSGC76</t>
  </si>
  <si>
    <t>SSTS61</t>
  </si>
  <si>
    <t>TDXD57</t>
  </si>
  <si>
    <t>VJBY81</t>
  </si>
  <si>
    <t>RSJF68</t>
  </si>
  <si>
    <t>TVXC76</t>
  </si>
  <si>
    <t>RZJJ27</t>
  </si>
  <si>
    <t>PRZZ35</t>
  </si>
  <si>
    <t>SRJB35</t>
  </si>
  <si>
    <t>PSPD35</t>
  </si>
  <si>
    <t>PKVX70</t>
  </si>
  <si>
    <t>KLPX58</t>
  </si>
  <si>
    <t>TCTB95</t>
  </si>
  <si>
    <t>TZSZ13</t>
  </si>
  <si>
    <t>SYPS56</t>
  </si>
  <si>
    <t>TCTX83</t>
  </si>
  <si>
    <t>JZGH39</t>
  </si>
  <si>
    <t>RFBV50</t>
  </si>
  <si>
    <t>PKBF15</t>
  </si>
  <si>
    <t>TRTW63</t>
  </si>
  <si>
    <t>SBWS12</t>
  </si>
  <si>
    <t>TPCP16</t>
  </si>
  <si>
    <t>PXXV95</t>
  </si>
  <si>
    <t>SPPY18</t>
  </si>
  <si>
    <t>TCTV39</t>
  </si>
  <si>
    <t>RJPL29</t>
  </si>
  <si>
    <t>SPSZ16</t>
  </si>
  <si>
    <t>RVKL20</t>
  </si>
  <si>
    <t>SJDV48</t>
  </si>
  <si>
    <t>TSSB95</t>
  </si>
  <si>
    <t>RFYC31</t>
  </si>
  <si>
    <t>SZTK19</t>
  </si>
  <si>
    <t>TCTS12</t>
  </si>
  <si>
    <t>KGLK71</t>
  </si>
  <si>
    <t>PPGH28</t>
  </si>
  <si>
    <t>TCHW91</t>
  </si>
  <si>
    <t>LBVX49</t>
  </si>
  <si>
    <t>PSTV15</t>
  </si>
  <si>
    <t>TLRT68</t>
  </si>
  <si>
    <t>TGVG86</t>
  </si>
  <si>
    <t>SJHZ88</t>
  </si>
  <si>
    <t>RDJS62</t>
  </si>
  <si>
    <t>KTCV74</t>
  </si>
  <si>
    <t>TRJC45</t>
  </si>
  <si>
    <t>PSGB54</t>
  </si>
  <si>
    <t>SHDG89</t>
  </si>
  <si>
    <t>SLKK91</t>
  </si>
  <si>
    <t>RJCW76</t>
  </si>
  <si>
    <t>SVRR32</t>
  </si>
  <si>
    <t>SHZR71</t>
  </si>
  <si>
    <t>TJDF16</t>
  </si>
  <si>
    <t>SLZG20</t>
  </si>
  <si>
    <t>JZGD12</t>
  </si>
  <si>
    <t>SPSY59</t>
  </si>
  <si>
    <t>TXYY85</t>
  </si>
  <si>
    <t>RYRL42</t>
  </si>
  <si>
    <t>VJBV20</t>
  </si>
  <si>
    <t>RLSG36</t>
  </si>
  <si>
    <t>SKSZ63</t>
  </si>
  <si>
    <t>TSRG98</t>
  </si>
  <si>
    <t>TFRF61</t>
  </si>
  <si>
    <t>KTDB92</t>
  </si>
  <si>
    <t>JPZZ41</t>
  </si>
  <si>
    <t>RZJH61</t>
  </si>
  <si>
    <t>LYLY95</t>
  </si>
  <si>
    <t>VBWW84</t>
  </si>
  <si>
    <t>KWXK74</t>
  </si>
  <si>
    <t>LLBS77</t>
  </si>
  <si>
    <t>LVXF58</t>
  </si>
  <si>
    <t>KWXG99</t>
  </si>
  <si>
    <t>SSRS44</t>
  </si>
  <si>
    <t>PPLZ59</t>
  </si>
  <si>
    <t>LBGV62</t>
  </si>
  <si>
    <t>PYDG41</t>
  </si>
  <si>
    <t>SCZP82</t>
  </si>
  <si>
    <t>SHDC12</t>
  </si>
  <si>
    <t>RHBX45</t>
  </si>
  <si>
    <t>SDPD22</t>
  </si>
  <si>
    <t>SLRL57</t>
  </si>
  <si>
    <t>TJSJ11</t>
  </si>
  <si>
    <t>TFRD83</t>
  </si>
  <si>
    <t>KWXG70</t>
  </si>
  <si>
    <t>TGVK67</t>
  </si>
  <si>
    <t>TBJF15</t>
  </si>
  <si>
    <t>SWTR81</t>
  </si>
  <si>
    <t>TJDC33</t>
  </si>
  <si>
    <t>PTDJ84</t>
  </si>
  <si>
    <t>SCZP26</t>
  </si>
  <si>
    <t>TGVH61</t>
  </si>
  <si>
    <t>TDYJ19</t>
  </si>
  <si>
    <t>TTYT86</t>
  </si>
  <si>
    <t>SFLX16</t>
  </si>
  <si>
    <t>KZWB40</t>
  </si>
  <si>
    <t>RVDC71</t>
  </si>
  <si>
    <t>TKHR29</t>
  </si>
  <si>
    <t>JPLW44</t>
  </si>
  <si>
    <t>RZJJ64</t>
  </si>
  <si>
    <t>THXP42</t>
  </si>
  <si>
    <t>SLWF47</t>
  </si>
  <si>
    <t>THXP76</t>
  </si>
  <si>
    <t>PYXJ35</t>
  </si>
  <si>
    <t>SYXT50</t>
  </si>
  <si>
    <t>TXYW70</t>
  </si>
  <si>
    <t>TCHZ48</t>
  </si>
  <si>
    <t>VKJJ92</t>
  </si>
  <si>
    <t>TXYW48</t>
  </si>
  <si>
    <t>RZFB31</t>
  </si>
  <si>
    <t>LTFL71</t>
  </si>
  <si>
    <t>TRJC60</t>
  </si>
  <si>
    <t>VGPR72</t>
  </si>
  <si>
    <t>VHGB68</t>
  </si>
  <si>
    <t>PCFF55</t>
  </si>
  <si>
    <t>JKYJ63</t>
  </si>
  <si>
    <t>VJTR54</t>
  </si>
  <si>
    <t>PDGT60</t>
  </si>
  <si>
    <t>TPJF96</t>
  </si>
  <si>
    <t>THRJ85</t>
  </si>
  <si>
    <t>TJGZ85</t>
  </si>
  <si>
    <t>PSKZ84</t>
  </si>
  <si>
    <t>TJDC25</t>
  </si>
  <si>
    <t>TKTZ26</t>
  </si>
  <si>
    <t>TDYP51</t>
  </si>
  <si>
    <t>LVWW94</t>
  </si>
  <si>
    <t>KZHF61</t>
  </si>
  <si>
    <t>JWCK98</t>
  </si>
  <si>
    <t>JTLX81</t>
  </si>
  <si>
    <t>RVVS37</t>
  </si>
  <si>
    <t>RRTD33</t>
  </si>
  <si>
    <t>SBJF64</t>
  </si>
  <si>
    <t>SHBY83</t>
  </si>
  <si>
    <t>RDLV94</t>
  </si>
  <si>
    <t>LHCK78</t>
  </si>
  <si>
    <t>JPLS76</t>
  </si>
  <si>
    <t>SGDR42</t>
  </si>
  <si>
    <t>RTWK61</t>
  </si>
  <si>
    <t>PRVR24</t>
  </si>
  <si>
    <t>SHLV34</t>
  </si>
  <si>
    <t>SBLD96</t>
  </si>
  <si>
    <t>RZSR12</t>
  </si>
  <si>
    <t>RKPR21</t>
  </si>
  <si>
    <t>STBT10</t>
  </si>
  <si>
    <t>PPGH46</t>
  </si>
  <si>
    <t>SFTY58</t>
  </si>
  <si>
    <t>TKHR98</t>
  </si>
  <si>
    <t>SPZC61</t>
  </si>
  <si>
    <t>TRTB48</t>
  </si>
  <si>
    <t>PCRH17</t>
  </si>
  <si>
    <t>SYDL18</t>
  </si>
  <si>
    <t>RTLL28</t>
  </si>
  <si>
    <t>TBLV88</t>
  </si>
  <si>
    <t>PCFJ52</t>
  </si>
  <si>
    <t>LRWD97</t>
  </si>
  <si>
    <t>PYRY44</t>
  </si>
  <si>
    <t>LLBT62</t>
  </si>
  <si>
    <t>SDGD25</t>
  </si>
  <si>
    <t>RKWF38</t>
  </si>
  <si>
    <t>SKCG91</t>
  </si>
  <si>
    <t>STJW41</t>
  </si>
  <si>
    <t>SHBX95</t>
  </si>
  <si>
    <t>PDWX41</t>
  </si>
  <si>
    <t>TJYL89</t>
  </si>
  <si>
    <t>TKHT78</t>
  </si>
  <si>
    <t>PPGG84</t>
  </si>
  <si>
    <t>TRBC30</t>
  </si>
  <si>
    <t>TBJD78</t>
  </si>
  <si>
    <t>PHGC28</t>
  </si>
  <si>
    <t>SFDY98</t>
  </si>
  <si>
    <t>TSSG95</t>
  </si>
  <si>
    <t>SWBX38</t>
  </si>
  <si>
    <t>SDGD26</t>
  </si>
  <si>
    <t>PFRL56</t>
  </si>
  <si>
    <t>KCBJ41</t>
  </si>
  <si>
    <t>RXCG22</t>
  </si>
  <si>
    <t>SHZR14</t>
  </si>
  <si>
    <t>TJSH14</t>
  </si>
  <si>
    <t>RBBB38</t>
  </si>
  <si>
    <t>LJYL42</t>
  </si>
  <si>
    <t>RKPP73</t>
  </si>
  <si>
    <t>SKZD48</t>
  </si>
  <si>
    <t>VJBV25</t>
  </si>
  <si>
    <t>SJJG29</t>
  </si>
  <si>
    <t>KJWV14</t>
  </si>
  <si>
    <t>LYPB73</t>
  </si>
  <si>
    <t>PLHH76</t>
  </si>
  <si>
    <t>PHKL89</t>
  </si>
  <si>
    <t>PZJR43</t>
  </si>
  <si>
    <t>TLRS85</t>
  </si>
  <si>
    <t>SZTL52</t>
  </si>
  <si>
    <t>RCBJ25</t>
  </si>
  <si>
    <t>VGWR46</t>
  </si>
  <si>
    <t>PDHG15</t>
  </si>
  <si>
    <t>KDLW21</t>
  </si>
  <si>
    <t>RTLK38</t>
  </si>
  <si>
    <t>PTFD53</t>
  </si>
  <si>
    <t>TJLF39</t>
  </si>
  <si>
    <t>HRTJ95</t>
  </si>
  <si>
    <t>KWXY28</t>
  </si>
  <si>
    <t>SPZC38</t>
  </si>
  <si>
    <t>SVRS63</t>
  </si>
  <si>
    <t>SCZP83</t>
  </si>
  <si>
    <t>RKFZ25</t>
  </si>
  <si>
    <t>JZGC74</t>
  </si>
  <si>
    <t>SHBW30</t>
  </si>
  <si>
    <t>RBZF87</t>
  </si>
  <si>
    <t>KJDS48</t>
  </si>
  <si>
    <t>SDPD50</t>
  </si>
  <si>
    <t>RYDP97</t>
  </si>
  <si>
    <t>TDYJ39</t>
  </si>
  <si>
    <t>PSJH75</t>
  </si>
  <si>
    <t>TCHV13</t>
  </si>
  <si>
    <t>JXWF79</t>
  </si>
  <si>
    <t>PFRW21</t>
  </si>
  <si>
    <t>PYDD79</t>
  </si>
  <si>
    <t>RJCT73</t>
  </si>
  <si>
    <t>PYDD81</t>
  </si>
  <si>
    <t>JDKV81</t>
  </si>
  <si>
    <t>TGVG41</t>
  </si>
  <si>
    <t>VCRP11</t>
  </si>
  <si>
    <t>TKHS76</t>
  </si>
  <si>
    <t>RLJR92</t>
  </si>
  <si>
    <t>SWTL55</t>
  </si>
  <si>
    <t>VDBK40</t>
  </si>
  <si>
    <t>PSPH58</t>
  </si>
  <si>
    <t>THHK19</t>
  </si>
  <si>
    <t>RLSG74</t>
  </si>
  <si>
    <t>RSHS21</t>
  </si>
  <si>
    <t>TJDB78</t>
  </si>
  <si>
    <t>PHGF32</t>
  </si>
  <si>
    <t>KRWD20</t>
  </si>
  <si>
    <t>THFK65</t>
  </si>
  <si>
    <t>LTST98</t>
  </si>
  <si>
    <t>TXZB38</t>
  </si>
  <si>
    <t>RGZC53</t>
  </si>
  <si>
    <t>THCX41</t>
  </si>
  <si>
    <t>RPGT95</t>
  </si>
  <si>
    <t>TBJD17</t>
  </si>
  <si>
    <t>RPRT50</t>
  </si>
  <si>
    <t>TBJD70</t>
  </si>
  <si>
    <t>PPGD27</t>
  </si>
  <si>
    <t>TPTX50</t>
  </si>
  <si>
    <t>STYH71</t>
  </si>
  <si>
    <t>RPJC38</t>
  </si>
  <si>
    <t>PYDH81</t>
  </si>
  <si>
    <t>VBBD68</t>
  </si>
  <si>
    <t>SJJH59</t>
  </si>
  <si>
    <t>KGXP27</t>
  </si>
  <si>
    <t>PRVL73</t>
  </si>
  <si>
    <t>SPFY64</t>
  </si>
  <si>
    <t>SRZJ85</t>
  </si>
  <si>
    <t>SBWK37</t>
  </si>
  <si>
    <t>LTWS93</t>
  </si>
  <si>
    <t>TJSK21</t>
  </si>
  <si>
    <t>RSTC60</t>
  </si>
  <si>
    <t>SSTS80</t>
  </si>
  <si>
    <t>LCWF57</t>
  </si>
  <si>
    <t>SBJH28</t>
  </si>
  <si>
    <t>PZLY32</t>
  </si>
  <si>
    <t>TCTW86</t>
  </si>
  <si>
    <t>PCFL20</t>
  </si>
  <si>
    <t>SBWS56</t>
  </si>
  <si>
    <t>JGCC57</t>
  </si>
  <si>
    <t>TPJG31</t>
  </si>
  <si>
    <t>PLRW95</t>
  </si>
  <si>
    <t>RSJD45</t>
  </si>
  <si>
    <t>TKHP45</t>
  </si>
  <si>
    <t>LSZV79</t>
  </si>
  <si>
    <t>SYFS81</t>
  </si>
  <si>
    <t>LZLW77</t>
  </si>
  <si>
    <t>SSWC61</t>
  </si>
  <si>
    <t>SXBS89</t>
  </si>
  <si>
    <t>KFVX29</t>
  </si>
  <si>
    <t>TRJG85</t>
  </si>
  <si>
    <t>RLJS15</t>
  </si>
  <si>
    <t>RSJL43</t>
  </si>
  <si>
    <t>TBCS34</t>
  </si>
  <si>
    <t>JHSC16</t>
  </si>
  <si>
    <t>SBJF67</t>
  </si>
  <si>
    <t>SYXS55</t>
  </si>
  <si>
    <t>RFKV28</t>
  </si>
  <si>
    <t>SVGL43</t>
  </si>
  <si>
    <t>TFRD18</t>
  </si>
  <si>
    <t>SDPD80</t>
  </si>
  <si>
    <t>TJLB74</t>
  </si>
  <si>
    <t>LKYB82</t>
  </si>
  <si>
    <t>RYBR28</t>
  </si>
  <si>
    <t>SVGL31</t>
  </si>
  <si>
    <t>SCWX27</t>
  </si>
  <si>
    <t>PPLZ61</t>
  </si>
  <si>
    <t>SLWF83</t>
  </si>
  <si>
    <t>TTXB59</t>
  </si>
  <si>
    <t>SFDX62</t>
  </si>
  <si>
    <t>SLJL53</t>
  </si>
  <si>
    <t>TRJG95</t>
  </si>
  <si>
    <t>RVPZ87</t>
  </si>
  <si>
    <t>SBLF15</t>
  </si>
  <si>
    <t>SRHZ95</t>
  </si>
  <si>
    <t>PLTL65</t>
  </si>
  <si>
    <t>TRTB20</t>
  </si>
  <si>
    <t>RFBV42</t>
  </si>
  <si>
    <t>RZFB93</t>
  </si>
  <si>
    <t>PXTG46</t>
  </si>
  <si>
    <t>RSTB39</t>
  </si>
  <si>
    <t>SYDS43</t>
  </si>
  <si>
    <t>SYXR85</t>
  </si>
  <si>
    <t>RSJF82</t>
  </si>
  <si>
    <t>RPFK54</t>
  </si>
  <si>
    <t>SFTZ15</t>
  </si>
  <si>
    <t>KWTL91</t>
  </si>
  <si>
    <t>TVXH55</t>
  </si>
  <si>
    <t>PKBF64</t>
  </si>
  <si>
    <t>SPPD67</t>
  </si>
  <si>
    <t>RDKY56</t>
  </si>
  <si>
    <t>TDXB64</t>
  </si>
  <si>
    <t>TJDC65</t>
  </si>
  <si>
    <t>PHGF67</t>
  </si>
  <si>
    <t>TBZP39</t>
  </si>
  <si>
    <t>RPFJ79</t>
  </si>
  <si>
    <t>TLRR98</t>
  </si>
  <si>
    <t>VDBP35</t>
  </si>
  <si>
    <t>SVGK89</t>
  </si>
  <si>
    <t>VBBC94</t>
  </si>
  <si>
    <t>PYCS74</t>
  </si>
  <si>
    <t>SJVP42</t>
  </si>
  <si>
    <t>SGDR50</t>
  </si>
  <si>
    <t>LPXL97</t>
  </si>
  <si>
    <t>SRST44</t>
  </si>
  <si>
    <t>SVGL86</t>
  </si>
  <si>
    <t>RRZF82</t>
  </si>
  <si>
    <t>TKHL27</t>
  </si>
  <si>
    <t>SDPC89</t>
  </si>
  <si>
    <t>RTVV89</t>
  </si>
  <si>
    <t>RRWP23</t>
  </si>
  <si>
    <t>TBZH60</t>
  </si>
  <si>
    <t>SPZB63</t>
  </si>
  <si>
    <t>TKTZ70</t>
  </si>
  <si>
    <t>KWXL38</t>
  </si>
  <si>
    <t>PFRW22</t>
  </si>
  <si>
    <t>RFKS53</t>
  </si>
  <si>
    <t>JZJK35</t>
  </si>
  <si>
    <t>VBHL43</t>
  </si>
  <si>
    <t>LLBX91</t>
  </si>
  <si>
    <t>KWKB81</t>
  </si>
  <si>
    <t>RVVS12</t>
  </si>
  <si>
    <t>TDYK32</t>
  </si>
  <si>
    <t>RVRF18</t>
  </si>
  <si>
    <t>SVRL30</t>
  </si>
  <si>
    <t>SJJH10</t>
  </si>
  <si>
    <t>RHRV23</t>
  </si>
  <si>
    <t>LLBY83</t>
  </si>
  <si>
    <t>RVVS48</t>
  </si>
  <si>
    <t>SYDR34</t>
  </si>
  <si>
    <t>LCWF33</t>
  </si>
  <si>
    <t>SXHW82</t>
  </si>
  <si>
    <t>SGDV89</t>
  </si>
  <si>
    <t>RTVT88</t>
  </si>
  <si>
    <t>RKGV59</t>
  </si>
  <si>
    <t>RFVF76</t>
  </si>
  <si>
    <t>PDJY43</t>
  </si>
  <si>
    <t>RTLX12</t>
  </si>
  <si>
    <t>SCWX23</t>
  </si>
  <si>
    <t>SHLV24</t>
  </si>
  <si>
    <t>THCY29</t>
  </si>
  <si>
    <t>TCTV70</t>
  </si>
  <si>
    <t>LYPF52</t>
  </si>
  <si>
    <t>SHBZ36</t>
  </si>
  <si>
    <t>SBWS32</t>
  </si>
  <si>
    <t>LYLW83</t>
  </si>
  <si>
    <t>SYDL24</t>
  </si>
  <si>
    <t>KZWB39</t>
  </si>
  <si>
    <t>TSYX66</t>
  </si>
  <si>
    <t>TFFC11</t>
  </si>
  <si>
    <t>JHRX18</t>
  </si>
  <si>
    <t>PCFL41</t>
  </si>
  <si>
    <t>SSZC77</t>
  </si>
  <si>
    <t>SCGT53</t>
  </si>
  <si>
    <t>SPTB55</t>
  </si>
  <si>
    <t>RYYB19</t>
  </si>
  <si>
    <t>LJYL94</t>
  </si>
  <si>
    <t>TXYZ57</t>
  </si>
  <si>
    <t>SKSY29</t>
  </si>
  <si>
    <t>SCWX83</t>
  </si>
  <si>
    <t>LLBX47</t>
  </si>
  <si>
    <t>PYDH33</t>
  </si>
  <si>
    <t>RBCZ55</t>
  </si>
  <si>
    <t>RZJJ73</t>
  </si>
  <si>
    <t>SBWT80</t>
  </si>
  <si>
    <t>HVVG32</t>
  </si>
  <si>
    <t>SPZC73</t>
  </si>
  <si>
    <t>SCWX99</t>
  </si>
  <si>
    <t>LBGW23</t>
  </si>
  <si>
    <t>SYXS65</t>
  </si>
  <si>
    <t>PBRR71</t>
  </si>
  <si>
    <t>TSSB14</t>
  </si>
  <si>
    <t>THRL78</t>
  </si>
  <si>
    <t>RRZK40</t>
  </si>
  <si>
    <t>RVVP71</t>
  </si>
  <si>
    <t>TVXP97</t>
  </si>
  <si>
    <t>RWYC74</t>
  </si>
  <si>
    <t>THZD30</t>
  </si>
  <si>
    <t>PHFW25</t>
  </si>
  <si>
    <t>KWYH45</t>
  </si>
  <si>
    <t>PYCW26</t>
  </si>
  <si>
    <t>SWWP61</t>
  </si>
  <si>
    <t>SJXW91</t>
  </si>
  <si>
    <t>TJCZ88</t>
  </si>
  <si>
    <t>JPZH85</t>
  </si>
  <si>
    <t>LVDF41</t>
  </si>
  <si>
    <t>RVPZ81</t>
  </si>
  <si>
    <t>SDGC77</t>
  </si>
  <si>
    <t>RLDW68</t>
  </si>
  <si>
    <t>VDBR10</t>
  </si>
  <si>
    <t>SFLW23</t>
  </si>
  <si>
    <t>PTRP28</t>
  </si>
  <si>
    <t>JTCS41</t>
  </si>
  <si>
    <t>KZWD66</t>
  </si>
  <si>
    <t>SJJH26</t>
  </si>
  <si>
    <t>TSSB75</t>
  </si>
  <si>
    <t>SFDX91</t>
  </si>
  <si>
    <t>TDYJ14</t>
  </si>
  <si>
    <t>JDKZ87</t>
  </si>
  <si>
    <t>TKHL11</t>
  </si>
  <si>
    <t>PTWZ24</t>
  </si>
  <si>
    <t>JZLC49</t>
  </si>
  <si>
    <t>SPZD41</t>
  </si>
  <si>
    <t>PHGC74</t>
  </si>
  <si>
    <t>RXRV59</t>
  </si>
  <si>
    <t>KJYS76</t>
  </si>
  <si>
    <t>RWJK28</t>
  </si>
  <si>
    <t>TTYT60</t>
  </si>
  <si>
    <t>LGTP91</t>
  </si>
  <si>
    <t>SFTZ36</t>
  </si>
  <si>
    <t>LFXP56</t>
  </si>
  <si>
    <t>TKHL71</t>
  </si>
  <si>
    <t>TKHL70</t>
  </si>
  <si>
    <t>TKHL12</t>
  </si>
  <si>
    <t>LVKK35</t>
  </si>
  <si>
    <t>RPTC12</t>
  </si>
  <si>
    <t>SJRW76</t>
  </si>
  <si>
    <t>TRFK22</t>
  </si>
  <si>
    <t>TJYP28</t>
  </si>
  <si>
    <t>SHBX81</t>
  </si>
  <si>
    <t>PZZG37</t>
  </si>
  <si>
    <t>RSJF58</t>
  </si>
  <si>
    <t>SVRL54</t>
  </si>
  <si>
    <t>RFVG37</t>
  </si>
  <si>
    <t>PPHY84</t>
  </si>
  <si>
    <t>PYSB78</t>
  </si>
  <si>
    <t>SHBW50</t>
  </si>
  <si>
    <t>TJFT89</t>
  </si>
  <si>
    <t>JZGL35</t>
  </si>
  <si>
    <t>RFKS64</t>
  </si>
  <si>
    <t>SYDS83</t>
  </si>
  <si>
    <t>TFCP63</t>
  </si>
  <si>
    <t>KKPY77</t>
  </si>
  <si>
    <t>RWYB24</t>
  </si>
  <si>
    <t>SYXR94</t>
  </si>
  <si>
    <t>RSJC75</t>
  </si>
  <si>
    <t>LVWS64</t>
  </si>
  <si>
    <t>RPFL95</t>
  </si>
  <si>
    <t>SVJB13</t>
  </si>
  <si>
    <t>TYWV72</t>
  </si>
  <si>
    <t>PZJD70</t>
  </si>
  <si>
    <t>RFFT62</t>
  </si>
  <si>
    <t>PCDX50</t>
  </si>
  <si>
    <t>LZLX28</t>
  </si>
  <si>
    <t>SWBX72</t>
  </si>
  <si>
    <t>TZHV19</t>
  </si>
  <si>
    <t>SVJW28</t>
  </si>
  <si>
    <t>RHBV36</t>
  </si>
  <si>
    <t>SGTJ51</t>
  </si>
  <si>
    <t>PHZW59</t>
  </si>
  <si>
    <t>RYDL93</t>
  </si>
  <si>
    <t>JGYJ99</t>
  </si>
  <si>
    <t>TPZY57</t>
  </si>
  <si>
    <t>PPZJ93</t>
  </si>
  <si>
    <t>RDLK67</t>
  </si>
  <si>
    <t>KZVW61</t>
  </si>
  <si>
    <t>PHFV49</t>
  </si>
  <si>
    <t>RZJV27</t>
  </si>
  <si>
    <t>THHJ17</t>
  </si>
  <si>
    <t>TKHS40</t>
  </si>
  <si>
    <t>PCFC78</t>
  </si>
  <si>
    <t>RLJS74</t>
  </si>
  <si>
    <t>TKTY27</t>
  </si>
  <si>
    <t>SSTS34</t>
  </si>
  <si>
    <t>TRBD13</t>
  </si>
  <si>
    <t>LSXY79</t>
  </si>
  <si>
    <t>PYRY81</t>
  </si>
  <si>
    <t>RCBK18</t>
  </si>
  <si>
    <t>LVXS77</t>
  </si>
  <si>
    <t>TPTZ17</t>
  </si>
  <si>
    <t>TFGP61</t>
  </si>
  <si>
    <t>JCPW47</t>
  </si>
  <si>
    <t>TTYS29</t>
  </si>
  <si>
    <t>VBRX43</t>
  </si>
  <si>
    <t>JGZH38</t>
  </si>
  <si>
    <t>PXWC71</t>
  </si>
  <si>
    <t>PZJP45</t>
  </si>
  <si>
    <t>TRBC97</t>
  </si>
  <si>
    <t>PTRT58</t>
  </si>
  <si>
    <t>SXHX90</t>
  </si>
  <si>
    <t>TCSZ15</t>
  </si>
  <si>
    <t>LBVT23</t>
  </si>
  <si>
    <t>JZSD58</t>
  </si>
  <si>
    <t>SXLB67</t>
  </si>
  <si>
    <t>PYDG48</t>
  </si>
  <si>
    <t>SLZB73</t>
  </si>
  <si>
    <t>PBJK58</t>
  </si>
  <si>
    <t>SXLC63</t>
  </si>
  <si>
    <t>SYDS69</t>
  </si>
  <si>
    <t>LWKR17</t>
  </si>
  <si>
    <t>PKTZ92</t>
  </si>
  <si>
    <t>SPZD44</t>
  </si>
  <si>
    <t>SKTT94</t>
  </si>
  <si>
    <t>SGDS35</t>
  </si>
  <si>
    <t>PYRY48</t>
  </si>
  <si>
    <t>KWTR39</t>
  </si>
  <si>
    <t>PFRT20</t>
  </si>
  <si>
    <t>TRWV41</t>
  </si>
  <si>
    <t>PSDG30</t>
  </si>
  <si>
    <t>TRJC24</t>
  </si>
  <si>
    <t>RTVV27</t>
  </si>
  <si>
    <t>SSKR77</t>
  </si>
  <si>
    <t>TCTB41</t>
  </si>
  <si>
    <t>LYSW58</t>
  </si>
  <si>
    <t>PCHR75</t>
  </si>
  <si>
    <t>JXDJ26</t>
  </si>
  <si>
    <t>SFTY99</t>
  </si>
  <si>
    <t>PKSS13</t>
  </si>
  <si>
    <t>SBWR35</t>
  </si>
  <si>
    <t>SDDY78</t>
  </si>
  <si>
    <t>PFSC21</t>
  </si>
  <si>
    <t>SBWK27</t>
  </si>
  <si>
    <t>SCFX42</t>
  </si>
  <si>
    <t>KWYD68</t>
  </si>
  <si>
    <t>LXYB82</t>
  </si>
  <si>
    <t>RJDB66</t>
  </si>
  <si>
    <t>TCHV35</t>
  </si>
  <si>
    <t>TCRR36</t>
  </si>
  <si>
    <t>PCFF13</t>
  </si>
  <si>
    <t>RRJP96</t>
  </si>
  <si>
    <t>SBWP35</t>
  </si>
  <si>
    <t>KDTL69</t>
  </si>
  <si>
    <t>RVVS34</t>
  </si>
  <si>
    <t>RWYC48</t>
  </si>
  <si>
    <t>SFDX47</t>
  </si>
  <si>
    <t>PYDF37</t>
  </si>
  <si>
    <t>SJVS28</t>
  </si>
  <si>
    <t>SJVR30</t>
  </si>
  <si>
    <t>RXRV32</t>
  </si>
  <si>
    <t>PCDC47</t>
  </si>
  <si>
    <t>LHRY82</t>
  </si>
  <si>
    <t>RTFY45</t>
  </si>
  <si>
    <t>SLWH39</t>
  </si>
  <si>
    <t>TCBZ22</t>
  </si>
  <si>
    <t>SZTL25</t>
  </si>
  <si>
    <t>PHFV73</t>
  </si>
  <si>
    <t>TCTV36</t>
  </si>
  <si>
    <t>TFGR11</t>
  </si>
  <si>
    <t>THRJ19</t>
  </si>
  <si>
    <t>SFTF26</t>
  </si>
  <si>
    <t>PBDT73</t>
  </si>
  <si>
    <t>LRVZ99</t>
  </si>
  <si>
    <t>RSCZ63</t>
  </si>
  <si>
    <t>RTLK46</t>
  </si>
  <si>
    <t>JSTX40</t>
  </si>
  <si>
    <t>SDGD31</t>
  </si>
  <si>
    <t>HTCH32</t>
  </si>
  <si>
    <t>RHBW95</t>
  </si>
  <si>
    <t>LSXZ14</t>
  </si>
  <si>
    <t>RRXG21</t>
  </si>
  <si>
    <t>TVXK84</t>
  </si>
  <si>
    <t>KBTT36</t>
  </si>
  <si>
    <t>PRHJ56</t>
  </si>
  <si>
    <t>PFRZ91</t>
  </si>
  <si>
    <t>JZGK45</t>
  </si>
  <si>
    <t>RCVW12</t>
  </si>
  <si>
    <t>TKLC28</t>
  </si>
  <si>
    <t>RWWD75</t>
  </si>
  <si>
    <t>TBJF82</t>
  </si>
  <si>
    <t>TJSH45</t>
  </si>
  <si>
    <t>RGTR43</t>
  </si>
  <si>
    <t>SFGG49</t>
  </si>
  <si>
    <t>PYCS73</t>
  </si>
  <si>
    <t>RVPZ22</t>
  </si>
  <si>
    <t>RPKV42</t>
  </si>
  <si>
    <t>TCTB89</t>
  </si>
  <si>
    <t>SYRB30</t>
  </si>
  <si>
    <t>SKYD23</t>
  </si>
  <si>
    <t>RDYZ63</t>
  </si>
  <si>
    <t>RGTR46</t>
  </si>
  <si>
    <t>KXJC56</t>
  </si>
  <si>
    <t>SHZR55</t>
  </si>
  <si>
    <t>TKHT61</t>
  </si>
  <si>
    <t>TDYG96</t>
  </si>
  <si>
    <t>TPTZ45</t>
  </si>
  <si>
    <t>LRWC30</t>
  </si>
  <si>
    <t>RLJR40</t>
  </si>
  <si>
    <t>RPZK27</t>
  </si>
  <si>
    <t>PRVL65</t>
  </si>
  <si>
    <t>PZJG40</t>
  </si>
  <si>
    <t>TFGR21</t>
  </si>
  <si>
    <t>RXPX40</t>
  </si>
  <si>
    <t>TRJD63</t>
  </si>
  <si>
    <t>RBJH60</t>
  </si>
  <si>
    <t>THRJ12</t>
  </si>
  <si>
    <t>LYPF32</t>
  </si>
  <si>
    <t>TJCZ98</t>
  </si>
  <si>
    <t>TJSJ97</t>
  </si>
  <si>
    <t>TFCC55</t>
  </si>
  <si>
    <t>PLRX44</t>
  </si>
  <si>
    <t>RPSZ67</t>
  </si>
  <si>
    <t>SYDS22</t>
  </si>
  <si>
    <t>RLRJ36</t>
  </si>
  <si>
    <t>SVGK34</t>
  </si>
  <si>
    <t>RXRX36</t>
  </si>
  <si>
    <t>KGPD80</t>
  </si>
  <si>
    <t>SXBS16</t>
  </si>
  <si>
    <t>RZPB55</t>
  </si>
  <si>
    <t>RFVW43</t>
  </si>
  <si>
    <t>RSTB59</t>
  </si>
  <si>
    <t>KXCJ37</t>
  </si>
  <si>
    <t>TRTY54</t>
  </si>
  <si>
    <t>SFZY94</t>
  </si>
  <si>
    <t>LYSS89</t>
  </si>
  <si>
    <t>LDWV16</t>
  </si>
  <si>
    <t>RHFG20</t>
  </si>
  <si>
    <t>TDYP40</t>
  </si>
  <si>
    <t>RVPY55</t>
  </si>
  <si>
    <t>PXXT42</t>
  </si>
  <si>
    <t>RXJP77</t>
  </si>
  <si>
    <t>SYDK14</t>
  </si>
  <si>
    <t>SJKK87</t>
  </si>
  <si>
    <t>SJJH53</t>
  </si>
  <si>
    <t>SHZP89</t>
  </si>
  <si>
    <t>KSRV39</t>
  </si>
  <si>
    <t>TPGH50</t>
  </si>
  <si>
    <t>JGCD39</t>
  </si>
  <si>
    <t>SDPC95</t>
  </si>
  <si>
    <t>PJDF36</t>
  </si>
  <si>
    <t>PKTY46</t>
  </si>
  <si>
    <t>SHYS52</t>
  </si>
  <si>
    <t>RFKV53</t>
  </si>
  <si>
    <t>RHBL81</t>
  </si>
  <si>
    <t>TRBJ47</t>
  </si>
  <si>
    <t>PPPB61</t>
  </si>
  <si>
    <t>LSYB71</t>
  </si>
  <si>
    <t>PSPC17</t>
  </si>
  <si>
    <t>RVGC76</t>
  </si>
  <si>
    <t>RRGR72</t>
  </si>
  <si>
    <t>LVXB50</t>
  </si>
  <si>
    <t>JXYT37</t>
  </si>
  <si>
    <t>SHDF69</t>
  </si>
  <si>
    <t>KRWG17</t>
  </si>
  <si>
    <t>LSXW43</t>
  </si>
  <si>
    <t>RJCT61</t>
  </si>
  <si>
    <t>RTFZ32</t>
  </si>
  <si>
    <t>JXGB32</t>
  </si>
  <si>
    <t>SYXS13</t>
  </si>
  <si>
    <t>JXGD71</t>
  </si>
  <si>
    <t>RSBR69</t>
  </si>
  <si>
    <t>RXFP72</t>
  </si>
  <si>
    <t>SJVR90</t>
  </si>
  <si>
    <t>RVYL42</t>
  </si>
  <si>
    <t>TJLB97</t>
  </si>
  <si>
    <t>KVYF11</t>
  </si>
  <si>
    <t>RDWK79</t>
  </si>
  <si>
    <t>SSSC26</t>
  </si>
  <si>
    <t>JWDF70</t>
  </si>
  <si>
    <t>SBWP43</t>
  </si>
  <si>
    <t>SRZH16</t>
  </si>
  <si>
    <t>TPXH97</t>
  </si>
  <si>
    <t>TBCR19</t>
  </si>
  <si>
    <t>RCHK45</t>
  </si>
  <si>
    <t>RTFD33</t>
  </si>
  <si>
    <t>LXHK39</t>
  </si>
  <si>
    <t>THRH47</t>
  </si>
  <si>
    <t>TJYP50</t>
  </si>
  <si>
    <t>RVVR37</t>
  </si>
  <si>
    <t>KWVR33</t>
  </si>
  <si>
    <t>SDKF81</t>
  </si>
  <si>
    <t>RJPJ69</t>
  </si>
  <si>
    <t>LYSR78</t>
  </si>
  <si>
    <t>SHLK51</t>
  </si>
  <si>
    <t>SHDS36</t>
  </si>
  <si>
    <t>PHGC32</t>
  </si>
  <si>
    <t>RTLW93</t>
  </si>
  <si>
    <t>LZRF73</t>
  </si>
  <si>
    <t>TDYP24</t>
  </si>
  <si>
    <t>KWGG58</t>
  </si>
  <si>
    <t>SYPZ14</t>
  </si>
  <si>
    <t>SFTZ71</t>
  </si>
  <si>
    <t>PSHY43</t>
  </si>
  <si>
    <t>PZJD11</t>
  </si>
  <si>
    <t>RJJR51</t>
  </si>
  <si>
    <t>LVXS43</t>
  </si>
  <si>
    <t>PTRP75</t>
  </si>
  <si>
    <t>JVKT97</t>
  </si>
  <si>
    <t>PRVR51</t>
  </si>
  <si>
    <t>RKRZ80</t>
  </si>
  <si>
    <t>PSHY90</t>
  </si>
  <si>
    <t>TFGL44</t>
  </si>
  <si>
    <t>RPSY13</t>
  </si>
  <si>
    <t>PJVV70</t>
  </si>
  <si>
    <t>SHDG60</t>
  </si>
  <si>
    <t>RYDP36</t>
  </si>
  <si>
    <t>SPPW95</t>
  </si>
  <si>
    <t>SCPS99</t>
  </si>
  <si>
    <t>RCHH99</t>
  </si>
  <si>
    <t>TJYL33</t>
  </si>
  <si>
    <t>SDGD28</t>
  </si>
  <si>
    <t>RLSG76</t>
  </si>
  <si>
    <t>SDGC97</t>
  </si>
  <si>
    <t>SSSC77</t>
  </si>
  <si>
    <t>RZZD39</t>
  </si>
  <si>
    <t>PCFD16</t>
  </si>
  <si>
    <t>LSYD56</t>
  </si>
  <si>
    <t>RJCT55</t>
  </si>
  <si>
    <t>PRBD71</t>
  </si>
  <si>
    <t>SSST47</t>
  </si>
  <si>
    <t>LCZZ24</t>
  </si>
  <si>
    <t>RJPJ76</t>
  </si>
  <si>
    <t>LYHV24</t>
  </si>
  <si>
    <t>RRXH58</t>
  </si>
  <si>
    <t>JRBB90</t>
  </si>
  <si>
    <t>PPSS59</t>
  </si>
  <si>
    <t>THRL87</t>
  </si>
  <si>
    <t>RFVW73</t>
  </si>
  <si>
    <t>SFTY80</t>
  </si>
  <si>
    <t>SBYD17</t>
  </si>
  <si>
    <t>RLJR87</t>
  </si>
  <si>
    <t>RRXG66</t>
  </si>
  <si>
    <t>LHSC84</t>
  </si>
  <si>
    <t>HLPC90</t>
  </si>
  <si>
    <t>SHLX26</t>
  </si>
  <si>
    <t>RHBX39</t>
  </si>
  <si>
    <t>RCRV48</t>
  </si>
  <si>
    <t>RVJX61</t>
  </si>
  <si>
    <t>RVPZ98</t>
  </si>
  <si>
    <t>TCTB60</t>
  </si>
  <si>
    <t>HVXB44</t>
  </si>
  <si>
    <t>RKCB51</t>
  </si>
  <si>
    <t>TBDD31</t>
  </si>
  <si>
    <t>SYPW47</t>
  </si>
  <si>
    <t>TRTY36</t>
  </si>
  <si>
    <t>RZFC24</t>
  </si>
  <si>
    <t>KXLC73</t>
  </si>
  <si>
    <t>PFRX97</t>
  </si>
  <si>
    <t>LDVZ89</t>
  </si>
  <si>
    <t>PCFG80</t>
  </si>
  <si>
    <t>PFRK42</t>
  </si>
  <si>
    <t>SPZF88</t>
  </si>
  <si>
    <t>RXRV14</t>
  </si>
  <si>
    <t>TKTZ50</t>
  </si>
  <si>
    <t>RCHG96</t>
  </si>
  <si>
    <t>SJVS79</t>
  </si>
  <si>
    <t>TJDD89</t>
  </si>
  <si>
    <t>RJCT57</t>
  </si>
  <si>
    <t>LSYK54</t>
  </si>
  <si>
    <t>PZVZ80</t>
  </si>
  <si>
    <t>RCBK14</t>
  </si>
  <si>
    <t>RDVP44</t>
  </si>
  <si>
    <t>KZVX18</t>
  </si>
  <si>
    <t>RBXV96</t>
  </si>
  <si>
    <t>TPCL79</t>
  </si>
  <si>
    <t>RZSH12</t>
  </si>
  <si>
    <t>TBDD13</t>
  </si>
  <si>
    <t>STBR28</t>
  </si>
  <si>
    <t>SLZJ55</t>
  </si>
  <si>
    <t>TKVB34</t>
  </si>
  <si>
    <t>SJVT66</t>
  </si>
  <si>
    <t>KVVC90</t>
  </si>
  <si>
    <t>RRJP17</t>
  </si>
  <si>
    <t>SHBZ31</t>
  </si>
  <si>
    <t>SBWS14</t>
  </si>
  <si>
    <t>SLYZ27</t>
  </si>
  <si>
    <t>PJPH20</t>
  </si>
  <si>
    <t>TDYP42</t>
  </si>
  <si>
    <t>RCXH64</t>
  </si>
  <si>
    <t>SBKS44</t>
  </si>
  <si>
    <t>RDHV54</t>
  </si>
  <si>
    <t>RCFP34</t>
  </si>
  <si>
    <t>SHLX18</t>
  </si>
  <si>
    <t>TSSC48</t>
  </si>
  <si>
    <t>LPKX27</t>
  </si>
  <si>
    <t>SDPB13</t>
  </si>
  <si>
    <t>PZVG79</t>
  </si>
  <si>
    <t>LHRW53</t>
  </si>
  <si>
    <t>RXRF21</t>
  </si>
  <si>
    <t>RZSJ23</t>
  </si>
  <si>
    <t>SLZK87</t>
  </si>
  <si>
    <t>RZFB26</t>
  </si>
  <si>
    <t>KCBW66</t>
  </si>
  <si>
    <t>RWGD97</t>
  </si>
  <si>
    <t>RFHP74</t>
  </si>
  <si>
    <t>SGWB43</t>
  </si>
  <si>
    <t>RDVW30</t>
  </si>
  <si>
    <t>JPPB63</t>
  </si>
  <si>
    <t>PKJP54</t>
  </si>
  <si>
    <t>LHCP40</t>
  </si>
  <si>
    <t>KZKC62</t>
  </si>
  <si>
    <t>RKRX17</t>
  </si>
  <si>
    <t>RTVV40</t>
  </si>
  <si>
    <t>LBGW87</t>
  </si>
  <si>
    <t>KWXK53</t>
  </si>
  <si>
    <t>PKDY86</t>
  </si>
  <si>
    <t>JPZS96</t>
  </si>
  <si>
    <t>RLVR95</t>
  </si>
  <si>
    <t>SHBW55</t>
  </si>
  <si>
    <t>RSTB30</t>
  </si>
  <si>
    <t>SXHW64</t>
  </si>
  <si>
    <t>PHFT47</t>
  </si>
  <si>
    <t>JHSB38</t>
  </si>
  <si>
    <t>RVPZ57</t>
  </si>
  <si>
    <t>RWHL87</t>
  </si>
  <si>
    <t>SHLV26</t>
  </si>
  <si>
    <t>LVXB59</t>
  </si>
  <si>
    <t>PTSD94</t>
  </si>
  <si>
    <t>RFVF55</t>
  </si>
  <si>
    <t>RGZW25</t>
  </si>
  <si>
    <t>HKBG85</t>
  </si>
  <si>
    <t>TBZP45</t>
  </si>
  <si>
    <t>SHBX85</t>
  </si>
  <si>
    <t>LDVZ53</t>
  </si>
  <si>
    <t>KTCP46</t>
  </si>
  <si>
    <t>KGPB92</t>
  </si>
  <si>
    <t>LWKG79</t>
  </si>
  <si>
    <t>RTLW67</t>
  </si>
  <si>
    <t>SJJJ16</t>
  </si>
  <si>
    <t>LWVH76</t>
  </si>
  <si>
    <t>PBKL94</t>
  </si>
  <si>
    <t>RBLD25</t>
  </si>
  <si>
    <t>TPTZ11</t>
  </si>
  <si>
    <t>LBGS99</t>
  </si>
  <si>
    <t>JJJF16</t>
  </si>
  <si>
    <t>PCFB73</t>
  </si>
  <si>
    <t>TFFC23</t>
  </si>
  <si>
    <t>PKBG32</t>
  </si>
  <si>
    <t>PSTT17</t>
  </si>
  <si>
    <t>SYCX96</t>
  </si>
  <si>
    <t>SLJY37</t>
  </si>
  <si>
    <t>SJVT85</t>
  </si>
  <si>
    <t>PSJJ46</t>
  </si>
  <si>
    <t>GPJY90</t>
  </si>
  <si>
    <t>LBGW49</t>
  </si>
  <si>
    <t>PDBS10</t>
  </si>
  <si>
    <t>RGTS65</t>
  </si>
  <si>
    <t>RJCW25</t>
  </si>
  <si>
    <t>LYPC50</t>
  </si>
  <si>
    <t>LHCV91</t>
  </si>
  <si>
    <t>RJCT63</t>
  </si>
  <si>
    <t>LSXY78</t>
  </si>
  <si>
    <t>KVHP81</t>
  </si>
  <si>
    <t>JPLT11</t>
  </si>
  <si>
    <t>HTBJ27</t>
  </si>
  <si>
    <t>PFRR40</t>
  </si>
  <si>
    <t>SZTJ24</t>
  </si>
  <si>
    <t>LHSD78</t>
  </si>
  <si>
    <t>LLVF18</t>
  </si>
  <si>
    <t>PRBD44</t>
  </si>
  <si>
    <t>JZSL15</t>
  </si>
  <si>
    <t>SHLX38</t>
  </si>
  <si>
    <t>PKBL47</t>
  </si>
  <si>
    <t>SDPF76</t>
  </si>
  <si>
    <t>LDLG56</t>
  </si>
  <si>
    <t>LVXS47</t>
  </si>
  <si>
    <t>PSHX11</t>
  </si>
  <si>
    <t>RLSH73</t>
  </si>
  <si>
    <t>STYZ87</t>
  </si>
  <si>
    <t>SLGP85</t>
  </si>
  <si>
    <t>KVDC21</t>
  </si>
  <si>
    <t>RKZG20</t>
  </si>
  <si>
    <t>RGHD32</t>
  </si>
  <si>
    <t>RBXW13</t>
  </si>
  <si>
    <t>KJCD82</t>
  </si>
  <si>
    <t>LKYC95</t>
  </si>
  <si>
    <t>TLRL29</t>
  </si>
  <si>
    <t>SYDP13</t>
  </si>
  <si>
    <t>JJYJ11</t>
  </si>
  <si>
    <t>LDBH20</t>
  </si>
  <si>
    <t>HXZT43</t>
  </si>
  <si>
    <t>LLBF89</t>
  </si>
  <si>
    <t>PLHH48</t>
  </si>
  <si>
    <t>SFDY91</t>
  </si>
  <si>
    <t>RBJG87</t>
  </si>
  <si>
    <t>RZSH95</t>
  </si>
  <si>
    <t>LSYX42</t>
  </si>
  <si>
    <t>SJJG48</t>
  </si>
  <si>
    <t>RXRX12</t>
  </si>
  <si>
    <t>SCFX50</t>
  </si>
  <si>
    <t>SYPS75</t>
  </si>
  <si>
    <t>RJCV47</t>
  </si>
  <si>
    <t>RVZW82</t>
  </si>
  <si>
    <t>RFVG41</t>
  </si>
  <si>
    <t>RKYP99</t>
  </si>
  <si>
    <t>RDVZ93</t>
  </si>
  <si>
    <t>PFGH89</t>
  </si>
  <si>
    <t>GGWC79</t>
  </si>
  <si>
    <t>KZVW86</t>
  </si>
  <si>
    <t>SDPC71</t>
  </si>
  <si>
    <t>LTZH55</t>
  </si>
  <si>
    <t>PSHZ32</t>
  </si>
  <si>
    <t>SSSC67</t>
  </si>
  <si>
    <t>SXYH62</t>
  </si>
  <si>
    <t>LDVY61</t>
  </si>
  <si>
    <t>LZHZ28</t>
  </si>
  <si>
    <t>RTVS26</t>
  </si>
  <si>
    <t>RCVX43</t>
  </si>
  <si>
    <t>RGLK91</t>
  </si>
  <si>
    <t>PCFG40</t>
  </si>
  <si>
    <t>JXYW12</t>
  </si>
  <si>
    <t>RYDL71</t>
  </si>
  <si>
    <t>SDVW29</t>
  </si>
  <si>
    <t>RFVF44</t>
  </si>
  <si>
    <t>PYDH16</t>
  </si>
  <si>
    <t>RVKJ44</t>
  </si>
  <si>
    <t>LVWT43</t>
  </si>
  <si>
    <t>PZZZ23</t>
  </si>
  <si>
    <t>SPZD95</t>
  </si>
  <si>
    <t>JBJJ90</t>
  </si>
  <si>
    <t>PPPB89</t>
  </si>
  <si>
    <t>PTDH29</t>
  </si>
  <si>
    <t>RTLX92</t>
  </si>
  <si>
    <t>SCHT60</t>
  </si>
  <si>
    <t>JZGG91</t>
  </si>
  <si>
    <t>LVWT55</t>
  </si>
  <si>
    <t>KWGK54</t>
  </si>
  <si>
    <t>SLLW76</t>
  </si>
  <si>
    <t>KXLY85</t>
  </si>
  <si>
    <t>TLRP41</t>
  </si>
  <si>
    <t>RKPP18</t>
  </si>
  <si>
    <t>PZVW73</t>
  </si>
  <si>
    <t>LZRH46</t>
  </si>
  <si>
    <t>RCBH56</t>
  </si>
  <si>
    <t>RCBK50</t>
  </si>
  <si>
    <t>JRBD51</t>
  </si>
  <si>
    <t>LYPC28</t>
  </si>
  <si>
    <t>LLBH12</t>
  </si>
  <si>
    <t>PDKV45</t>
  </si>
  <si>
    <t>RBXW67</t>
  </si>
  <si>
    <t>RBJG95</t>
  </si>
  <si>
    <t>RJCV95</t>
  </si>
  <si>
    <t>SHXJ30</t>
  </si>
  <si>
    <t>SDPD28</t>
  </si>
  <si>
    <t>SZTL99</t>
  </si>
  <si>
    <t>SJRV42</t>
  </si>
  <si>
    <t>PBLH53</t>
  </si>
  <si>
    <t>RTLW92</t>
  </si>
  <si>
    <t>RSJF64</t>
  </si>
  <si>
    <t>RGTS27</t>
  </si>
  <si>
    <t>KWTL22</t>
  </si>
  <si>
    <t>RFFT93</t>
  </si>
  <si>
    <t>LWTR56</t>
  </si>
  <si>
    <t>PFSB87</t>
  </si>
  <si>
    <t>SLRJ93</t>
  </si>
  <si>
    <t>PTSF34</t>
  </si>
  <si>
    <t>PFRZ56</t>
  </si>
  <si>
    <t>RXPD64</t>
  </si>
  <si>
    <t>RVCJ59</t>
  </si>
  <si>
    <t>RGLL79</t>
  </si>
  <si>
    <t>SDVP83</t>
  </si>
  <si>
    <t>RKVV78</t>
  </si>
  <si>
    <t>JSWL18</t>
  </si>
  <si>
    <t>SCYR65</t>
  </si>
  <si>
    <t>PRSJ23</t>
  </si>
  <si>
    <t>LVXB14</t>
  </si>
  <si>
    <t>PGSX60</t>
  </si>
  <si>
    <t>PCDW42</t>
  </si>
  <si>
    <t>SRJV89</t>
  </si>
  <si>
    <t>PYDF44</t>
  </si>
  <si>
    <t>SDGG12</t>
  </si>
  <si>
    <t>SLLH67</t>
  </si>
  <si>
    <t>JYPD69</t>
  </si>
  <si>
    <t>PYDD74</t>
  </si>
  <si>
    <t>SBHF77</t>
  </si>
  <si>
    <t>LVXF83</t>
  </si>
  <si>
    <t>LDBL37</t>
  </si>
  <si>
    <t>PGKH59</t>
  </si>
  <si>
    <t>RSTB42</t>
  </si>
  <si>
    <t>JHSD53</t>
  </si>
  <si>
    <t>RGVF95</t>
  </si>
  <si>
    <t>GPBL74</t>
  </si>
  <si>
    <t>HYVT15</t>
  </si>
  <si>
    <t>RDLK76</t>
  </si>
  <si>
    <t>TJSJ81</t>
  </si>
  <si>
    <t>RSCZ20</t>
  </si>
  <si>
    <t>SCZR48</t>
  </si>
  <si>
    <t>JDBB26</t>
  </si>
  <si>
    <t>RVZC66</t>
  </si>
  <si>
    <t>LXRZ33</t>
  </si>
  <si>
    <t>LWKK87</t>
  </si>
  <si>
    <t>PPGH32</t>
  </si>
  <si>
    <t>LHPY35</t>
  </si>
  <si>
    <t>PPVC35</t>
  </si>
  <si>
    <t>LVLR40</t>
  </si>
  <si>
    <t>PPVB57</t>
  </si>
  <si>
    <t>TFGP60</t>
  </si>
  <si>
    <t>KCBV88</t>
  </si>
  <si>
    <t>RSJF84</t>
  </si>
  <si>
    <t>SHZP63</t>
  </si>
  <si>
    <t>PLTJ41</t>
  </si>
  <si>
    <t>PHFV99</t>
  </si>
  <si>
    <t>RCBL67</t>
  </si>
  <si>
    <t>RFKT80</t>
  </si>
  <si>
    <t>PTDH95</t>
  </si>
  <si>
    <t>RJPJ13</t>
  </si>
  <si>
    <t>RRVX69</t>
  </si>
  <si>
    <t>PLHH11</t>
  </si>
  <si>
    <t>LHPY89</t>
  </si>
  <si>
    <t>RGHF20</t>
  </si>
  <si>
    <t>RKFZ22</t>
  </si>
  <si>
    <t>LDVZ43</t>
  </si>
  <si>
    <t>SLWF87</t>
  </si>
  <si>
    <t>TDYK44</t>
  </si>
  <si>
    <t>PHGC27</t>
  </si>
  <si>
    <t>SHBZ35</t>
  </si>
  <si>
    <t>SLZB10</t>
  </si>
  <si>
    <t>PJLL76</t>
  </si>
  <si>
    <t>PYRY62</t>
  </si>
  <si>
    <t>KPLG78</t>
  </si>
  <si>
    <t>PPJR38</t>
  </si>
  <si>
    <t>RGTR35</t>
  </si>
  <si>
    <t>PSTW51</t>
  </si>
  <si>
    <t>PSHX47</t>
  </si>
  <si>
    <t>JPZP65</t>
  </si>
  <si>
    <t>LDVZ40</t>
  </si>
  <si>
    <t>KWVR22</t>
  </si>
  <si>
    <t>RTWY58</t>
  </si>
  <si>
    <t>TCTT94</t>
  </si>
  <si>
    <t>RBCZ50</t>
  </si>
  <si>
    <t>PDBS49</t>
  </si>
  <si>
    <t>RTVS37</t>
  </si>
  <si>
    <t>RVYS61</t>
  </si>
  <si>
    <t>TJYL16</t>
  </si>
  <si>
    <t>RCBH93</t>
  </si>
  <si>
    <t>LHSD34</t>
  </si>
  <si>
    <t>RTFZ39</t>
  </si>
  <si>
    <t>SJKL94</t>
  </si>
  <si>
    <t>RSLG55</t>
  </si>
  <si>
    <t>RBTC96</t>
  </si>
  <si>
    <t>JPCL16</t>
  </si>
  <si>
    <t>RWRD38</t>
  </si>
  <si>
    <t>RFVF41</t>
  </si>
  <si>
    <t>LLBX88</t>
  </si>
  <si>
    <t>LDVT18</t>
  </si>
  <si>
    <t>PSJJ43</t>
  </si>
  <si>
    <t>KWVT56</t>
  </si>
  <si>
    <t>PJYK97</t>
  </si>
  <si>
    <t>RBBB93</t>
  </si>
  <si>
    <t>PLHJ36</t>
  </si>
  <si>
    <t>RWYC55</t>
  </si>
  <si>
    <t>RKRY60</t>
  </si>
  <si>
    <t>KZVZ67</t>
  </si>
  <si>
    <t>PKLD11</t>
  </si>
  <si>
    <t>SLWH98</t>
  </si>
  <si>
    <t>RTFY27</t>
  </si>
  <si>
    <t>KWTP60</t>
  </si>
  <si>
    <t>TBCR58</t>
  </si>
  <si>
    <t>PZZZ46</t>
  </si>
  <si>
    <t>FSRC30</t>
  </si>
  <si>
    <t>RTLW48</t>
  </si>
  <si>
    <t>LJYR15</t>
  </si>
  <si>
    <t>TJSJ99</t>
  </si>
  <si>
    <t>RBBB74</t>
  </si>
  <si>
    <t>RLYR66</t>
  </si>
  <si>
    <t>STBR30</t>
  </si>
  <si>
    <t>JXVH55</t>
  </si>
  <si>
    <t>KCBV59</t>
  </si>
  <si>
    <t>LCWB30</t>
  </si>
  <si>
    <t>LCWC39</t>
  </si>
  <si>
    <t>PRBC56</t>
  </si>
  <si>
    <t>PYRZ19</t>
  </si>
  <si>
    <t>LVWP13</t>
  </si>
  <si>
    <t>RJTK92</t>
  </si>
  <si>
    <t>JZJP78</t>
  </si>
  <si>
    <t>KRWD37</t>
  </si>
  <si>
    <t>KKZL11</t>
  </si>
  <si>
    <t>PXVC34</t>
  </si>
  <si>
    <t>LDWV70</t>
  </si>
  <si>
    <t>HKVY78</t>
  </si>
  <si>
    <t>KFPR29</t>
  </si>
  <si>
    <t>RRSK50</t>
  </si>
  <si>
    <t>PGRF64</t>
  </si>
  <si>
    <t>RZJH76</t>
  </si>
  <si>
    <t>LFXP90</t>
  </si>
  <si>
    <t>RTFY63</t>
  </si>
  <si>
    <t>LBGW29</t>
  </si>
  <si>
    <t>PHGG27</t>
  </si>
  <si>
    <t>RKFS14</t>
  </si>
  <si>
    <t>SCZP44</t>
  </si>
  <si>
    <t>THHK51</t>
  </si>
  <si>
    <t>SWTP31</t>
  </si>
  <si>
    <t>PLTL80</t>
  </si>
  <si>
    <t>RVRD56</t>
  </si>
  <si>
    <t>PPJR57</t>
  </si>
  <si>
    <t>HCVX85</t>
  </si>
  <si>
    <t>SDPF79</t>
  </si>
  <si>
    <t>TJCZ75</t>
  </si>
  <si>
    <t>PHFV30</t>
  </si>
  <si>
    <t>RVFS53</t>
  </si>
  <si>
    <t>PKBK90</t>
  </si>
  <si>
    <t>HKHT20</t>
  </si>
  <si>
    <t>LRWD64</t>
  </si>
  <si>
    <t>RZFD95</t>
  </si>
  <si>
    <t>RDCF36</t>
  </si>
  <si>
    <t>JCCR62</t>
  </si>
  <si>
    <t>JYBF28</t>
  </si>
  <si>
    <t>RGHD22</t>
  </si>
  <si>
    <t>PCFC13</t>
  </si>
  <si>
    <t>RTLW50</t>
  </si>
  <si>
    <t>KWYK31</t>
  </si>
  <si>
    <t>LSYK36</t>
  </si>
  <si>
    <t>JWCJ96</t>
  </si>
  <si>
    <t>KKFZ41</t>
  </si>
  <si>
    <t>PSZT83</t>
  </si>
  <si>
    <t>TJSJ77</t>
  </si>
  <si>
    <t>KHPH19</t>
  </si>
  <si>
    <t>RVRD84</t>
  </si>
  <si>
    <t>PSBB44</t>
  </si>
  <si>
    <t>HXRF54</t>
  </si>
  <si>
    <t>THHK24</t>
  </si>
  <si>
    <t>RJCW68</t>
  </si>
  <si>
    <t>RLJR35</t>
  </si>
  <si>
    <t>LHJJ93</t>
  </si>
  <si>
    <t>LVWR91</t>
  </si>
  <si>
    <t>PTTF96</t>
  </si>
  <si>
    <t>LFXT90</t>
  </si>
  <si>
    <t>THXP80</t>
  </si>
  <si>
    <t>SCGT56</t>
  </si>
  <si>
    <t>PBJJ36</t>
  </si>
  <si>
    <t>TJLF41</t>
  </si>
  <si>
    <t>SYXS58</t>
  </si>
  <si>
    <t>PSHY66</t>
  </si>
  <si>
    <t>LZHZ29</t>
  </si>
  <si>
    <t>RGLK40</t>
  </si>
  <si>
    <t>SKSY37</t>
  </si>
  <si>
    <t>HVXG71</t>
  </si>
  <si>
    <t>TCJB25</t>
  </si>
  <si>
    <t>PFSB73</t>
  </si>
  <si>
    <t>LDCX26</t>
  </si>
  <si>
    <t>LLBT48</t>
  </si>
  <si>
    <t>LRWC74</t>
  </si>
  <si>
    <t>JGBX93</t>
  </si>
  <si>
    <t>KPKV26</t>
  </si>
  <si>
    <t>LCWC37</t>
  </si>
  <si>
    <t>SWFD73</t>
  </si>
  <si>
    <t>PTDJ70</t>
  </si>
  <si>
    <t>RKTR88</t>
  </si>
  <si>
    <t>RGLL99</t>
  </si>
  <si>
    <t>LVWS71</t>
  </si>
  <si>
    <t>SRJB86</t>
  </si>
  <si>
    <t>JXRP80</t>
  </si>
  <si>
    <t>PRDL19</t>
  </si>
  <si>
    <t>RBCZ76</t>
  </si>
  <si>
    <t>LZPC14</t>
  </si>
  <si>
    <t>PTSC88</t>
  </si>
  <si>
    <t>GJJL60</t>
  </si>
  <si>
    <t>KTDB64</t>
  </si>
  <si>
    <t>RDVW14</t>
  </si>
  <si>
    <t>LDVL46</t>
  </si>
  <si>
    <t>LSGV64</t>
  </si>
  <si>
    <t>KHPG69</t>
  </si>
  <si>
    <t>LHRS67</t>
  </si>
  <si>
    <t>PCDZ92</t>
  </si>
  <si>
    <t>SVRP67</t>
  </si>
  <si>
    <t>JWVL81</t>
  </si>
  <si>
    <t>RDLG73</t>
  </si>
  <si>
    <t>LLBK87</t>
  </si>
  <si>
    <t>RJBV84</t>
  </si>
  <si>
    <t>RXSV64</t>
  </si>
  <si>
    <t>PPPB44</t>
  </si>
  <si>
    <t>PCFL37</t>
  </si>
  <si>
    <t>RFVW78</t>
  </si>
  <si>
    <t>SSTS56</t>
  </si>
  <si>
    <t>PCDV60</t>
  </si>
  <si>
    <t>PRHJ14</t>
  </si>
  <si>
    <t>KJZW27</t>
  </si>
  <si>
    <t>PRHK92</t>
  </si>
  <si>
    <t>PRSH11</t>
  </si>
  <si>
    <t>KTCW76</t>
  </si>
  <si>
    <t>PSHY54</t>
  </si>
  <si>
    <t>KWYF24</t>
  </si>
  <si>
    <t>PRHH83</t>
  </si>
  <si>
    <t>PPJL76</t>
  </si>
  <si>
    <t>KFJS32</t>
  </si>
  <si>
    <t>SKSY62</t>
  </si>
  <si>
    <t>SKCF98</t>
  </si>
  <si>
    <t>LSXW44</t>
  </si>
  <si>
    <t>SPZD17</t>
  </si>
  <si>
    <t>LLBC60</t>
  </si>
  <si>
    <t>PKBK49</t>
  </si>
  <si>
    <t>SFLZ50</t>
  </si>
  <si>
    <t>RWWC29</t>
  </si>
  <si>
    <t>RYRL30</t>
  </si>
  <si>
    <t>SFTZ34</t>
  </si>
  <si>
    <t>LDVS88</t>
  </si>
  <si>
    <t>RTSK62</t>
  </si>
  <si>
    <t>PFFF55</t>
  </si>
  <si>
    <t>SPZD56</t>
  </si>
  <si>
    <t>LYPC86</t>
  </si>
  <si>
    <t>RKWR90</t>
  </si>
  <si>
    <t>PYDH24</t>
  </si>
  <si>
    <t>RLSH53</t>
  </si>
  <si>
    <t>KWYD99</t>
  </si>
  <si>
    <t>RZSK33</t>
  </si>
  <si>
    <t>PHGF54</t>
  </si>
  <si>
    <t>PRZZ72</t>
  </si>
  <si>
    <t>RCBL47</t>
  </si>
  <si>
    <t>RHCY20</t>
  </si>
  <si>
    <t>PKTY15</t>
  </si>
  <si>
    <t>PKTZ94</t>
  </si>
  <si>
    <t>PCFF11</t>
  </si>
  <si>
    <t>PFRS16</t>
  </si>
  <si>
    <t>RGTR32</t>
  </si>
  <si>
    <t>PFRW74</t>
  </si>
  <si>
    <t>RYGW72</t>
  </si>
  <si>
    <t>PSHX26</t>
  </si>
  <si>
    <t>PTRT40</t>
  </si>
  <si>
    <t>PRHJ26</t>
  </si>
  <si>
    <t>RRZF71</t>
  </si>
  <si>
    <t>TCHY42</t>
  </si>
  <si>
    <t>LBVT12</t>
  </si>
  <si>
    <t>KWGJ77</t>
  </si>
  <si>
    <t>LSYG23</t>
  </si>
  <si>
    <t>PXXT20</t>
  </si>
  <si>
    <t>TBZK63</t>
  </si>
  <si>
    <t>HRWL16</t>
  </si>
  <si>
    <t>STBR72</t>
  </si>
  <si>
    <t>KPKY11</t>
  </si>
  <si>
    <t>KHPJ47</t>
  </si>
  <si>
    <t>RVVP97</t>
  </si>
  <si>
    <t>STBS77</t>
  </si>
  <si>
    <t>RXSL88</t>
  </si>
  <si>
    <t>SLRL33</t>
  </si>
  <si>
    <t>PYDD50</t>
  </si>
  <si>
    <t>LZPB60</t>
  </si>
  <si>
    <t>PHGD80</t>
  </si>
  <si>
    <t>RBXV70</t>
  </si>
  <si>
    <t>PSHZ54</t>
  </si>
  <si>
    <t>LCWD17</t>
  </si>
  <si>
    <t>PYDD42</t>
  </si>
  <si>
    <t>THHK96</t>
  </si>
  <si>
    <t>RGTR21</t>
  </si>
  <si>
    <t>PHHX96</t>
  </si>
  <si>
    <t>SDVL48</t>
  </si>
  <si>
    <t>SVRP26</t>
  </si>
  <si>
    <t>PKBJ59</t>
  </si>
  <si>
    <t>RPSZ94</t>
  </si>
  <si>
    <t>PPBY60</t>
  </si>
  <si>
    <t>RCBK54</t>
  </si>
  <si>
    <t>TFGR77</t>
  </si>
  <si>
    <t>LCYV72</t>
  </si>
  <si>
    <t>RXRT84</t>
  </si>
  <si>
    <t>KCCB24</t>
  </si>
  <si>
    <t>KJRG24</t>
  </si>
  <si>
    <t>SHDG19</t>
  </si>
  <si>
    <t>RYDL74</t>
  </si>
  <si>
    <t>JSWP63</t>
  </si>
  <si>
    <t>TDYL34</t>
  </si>
  <si>
    <t>RFBG50</t>
  </si>
  <si>
    <t>RSTC14</t>
  </si>
  <si>
    <t>RGTR76</t>
  </si>
  <si>
    <t>RBXV98</t>
  </si>
  <si>
    <t>SLRC28</t>
  </si>
  <si>
    <t>SHKZ85</t>
  </si>
  <si>
    <t>KZVW62</t>
  </si>
  <si>
    <t>RVPY48</t>
  </si>
  <si>
    <t>RYDR31</t>
  </si>
  <si>
    <t>LSVG20</t>
  </si>
  <si>
    <t>SDKF44</t>
  </si>
  <si>
    <t>SJVP33</t>
  </si>
  <si>
    <t>PPBY82</t>
  </si>
  <si>
    <t>KDTY79</t>
  </si>
  <si>
    <t>KGLZ56</t>
  </si>
  <si>
    <t>PRZZ48</t>
  </si>
  <si>
    <t>KSFR39</t>
  </si>
  <si>
    <t>RFVF19</t>
  </si>
  <si>
    <t>PPZJ68</t>
  </si>
  <si>
    <t>SPLP67</t>
  </si>
  <si>
    <t>KDLY51</t>
  </si>
  <si>
    <t>SJVR62</t>
  </si>
  <si>
    <t>PKTZ60</t>
  </si>
  <si>
    <t>LHCL62</t>
  </si>
  <si>
    <t>LBVS78</t>
  </si>
  <si>
    <t>HVWX63</t>
  </si>
  <si>
    <t>PRVP95</t>
  </si>
  <si>
    <t>RLSG73</t>
  </si>
  <si>
    <t>LHCW17</t>
  </si>
  <si>
    <t>TBZL63</t>
  </si>
  <si>
    <t>RDLL62</t>
  </si>
  <si>
    <t>LRWG63</t>
  </si>
  <si>
    <t>LFXL56</t>
  </si>
  <si>
    <t>PPJG76</t>
  </si>
  <si>
    <t>PSJJ26</t>
  </si>
  <si>
    <t>RDLX98</t>
  </si>
  <si>
    <t>LLBW31</t>
  </si>
  <si>
    <t>KGPX11</t>
  </si>
  <si>
    <t>PTLW34</t>
  </si>
  <si>
    <t>HVWW27</t>
  </si>
  <si>
    <t>KWXD95</t>
  </si>
  <si>
    <t>SZTF28</t>
  </si>
  <si>
    <t>KVDD47</t>
  </si>
  <si>
    <t>KZLZ25</t>
  </si>
  <si>
    <t>THCX84</t>
  </si>
  <si>
    <t>PKXD46</t>
  </si>
  <si>
    <t>RGHD46</t>
  </si>
  <si>
    <t>SHDG80</t>
  </si>
  <si>
    <t>SXHV72</t>
  </si>
  <si>
    <t>SGDR94</t>
  </si>
  <si>
    <t>RLSH85</t>
  </si>
  <si>
    <t>SSTS41</t>
  </si>
  <si>
    <t>PPTZ78</t>
  </si>
  <si>
    <t>SPZD69</t>
  </si>
  <si>
    <t>SPZB94</t>
  </si>
  <si>
    <t>PHKL78</t>
  </si>
  <si>
    <t>SFCB76</t>
  </si>
  <si>
    <t>KGLR81</t>
  </si>
  <si>
    <t>PZJL69</t>
  </si>
  <si>
    <t>SYRB32</t>
  </si>
  <si>
    <t>RZVX62</t>
  </si>
  <si>
    <t>PPLZ76</t>
  </si>
  <si>
    <t>PPZJ56</t>
  </si>
  <si>
    <t>HHRY28</t>
  </si>
  <si>
    <t>RXDH47</t>
  </si>
  <si>
    <t>PLCG83</t>
  </si>
  <si>
    <t>RZCH74</t>
  </si>
  <si>
    <t>THCY24</t>
  </si>
  <si>
    <t>KRPX49</t>
  </si>
  <si>
    <t>PPVC43</t>
  </si>
  <si>
    <t>HGTX31</t>
  </si>
  <si>
    <t>LHSD67</t>
  </si>
  <si>
    <t>KSRY52</t>
  </si>
  <si>
    <t>PPJP58</t>
  </si>
  <si>
    <t>RCHH29</t>
  </si>
  <si>
    <t>JLHR52</t>
  </si>
  <si>
    <t>HZCG48</t>
  </si>
  <si>
    <t>PKBJ19</t>
  </si>
  <si>
    <t>LVXL73</t>
  </si>
  <si>
    <t>RDLW63</t>
  </si>
  <si>
    <t>SHLW95</t>
  </si>
  <si>
    <t>TDBP59</t>
  </si>
  <si>
    <t>RVPX45</t>
  </si>
  <si>
    <t>TBJF23</t>
  </si>
  <si>
    <t>SFFG87</t>
  </si>
  <si>
    <t>LFXL70</t>
  </si>
  <si>
    <t>LLBS67</t>
  </si>
  <si>
    <t>PYDF39</t>
  </si>
  <si>
    <t>PYCV64</t>
  </si>
  <si>
    <t>PTDH23</t>
  </si>
  <si>
    <t>SJVR21</t>
  </si>
  <si>
    <t>LTZP19</t>
  </si>
  <si>
    <t>RLJS73</t>
  </si>
  <si>
    <t>PFRT23</t>
  </si>
  <si>
    <t>SHLB97</t>
  </si>
  <si>
    <t>SHLW62</t>
  </si>
  <si>
    <t>RFVF38</t>
  </si>
  <si>
    <t>RZVW18</t>
  </si>
  <si>
    <t>RWYC65</t>
  </si>
  <si>
    <t>RDKR36</t>
  </si>
  <si>
    <t>LJPD29</t>
  </si>
  <si>
    <t>PJLP51</t>
  </si>
  <si>
    <t>PPRS52</t>
  </si>
  <si>
    <t>LZPB36</t>
  </si>
  <si>
    <t>PLHH61</t>
  </si>
  <si>
    <t>SGWD52</t>
  </si>
  <si>
    <t>PPJH12</t>
  </si>
  <si>
    <t>KVWG72</t>
  </si>
  <si>
    <t>JHRW53</t>
  </si>
  <si>
    <t>RJCW15</t>
  </si>
  <si>
    <t>PKBG15</t>
  </si>
  <si>
    <t>JZPV53</t>
  </si>
  <si>
    <t>SLYZ40</t>
  </si>
  <si>
    <t>RWYC45</t>
  </si>
  <si>
    <t>PRVL63</t>
  </si>
  <si>
    <t>SCWW90</t>
  </si>
  <si>
    <t>PKJP79</t>
  </si>
  <si>
    <t>LLBZ24</t>
  </si>
  <si>
    <t>SSSC32</t>
  </si>
  <si>
    <t>SFLX33</t>
  </si>
  <si>
    <t>KWYH56</t>
  </si>
  <si>
    <t>PSHX66</t>
  </si>
  <si>
    <t>SSTS11</t>
  </si>
  <si>
    <t>RJPS51</t>
  </si>
  <si>
    <t>RGTR45</t>
  </si>
  <si>
    <t>SCGT39</t>
  </si>
  <si>
    <t>SBLF97</t>
  </si>
  <si>
    <t>RKPL17</t>
  </si>
  <si>
    <t>KYTH94</t>
  </si>
  <si>
    <t>RHBW21</t>
  </si>
  <si>
    <t>RYDL37</t>
  </si>
  <si>
    <t>PDJZ69</t>
  </si>
  <si>
    <t>JDKB54</t>
  </si>
  <si>
    <t>PCFJ42</t>
  </si>
  <si>
    <t>SDGC22</t>
  </si>
  <si>
    <t>TBZK71</t>
  </si>
  <si>
    <t>KSXR91</t>
  </si>
  <si>
    <t>KJYF27</t>
  </si>
  <si>
    <t>LRWC76</t>
  </si>
  <si>
    <t>RXRB84</t>
  </si>
  <si>
    <t>PRHH54</t>
  </si>
  <si>
    <t>JGBW47</t>
  </si>
  <si>
    <t>RJCW27</t>
  </si>
  <si>
    <t>TCHY13</t>
  </si>
  <si>
    <t>JSWF63</t>
  </si>
  <si>
    <t>SVRP59</t>
  </si>
  <si>
    <t>PSVT43</t>
  </si>
  <si>
    <t>RRXH70</t>
  </si>
  <si>
    <t>LHSJ31</t>
  </si>
  <si>
    <t>SXHW54</t>
  </si>
  <si>
    <t>KVWJ16</t>
  </si>
  <si>
    <t>JDKT68</t>
  </si>
  <si>
    <t>KKHC77</t>
  </si>
  <si>
    <t>LDBB86</t>
  </si>
  <si>
    <t>KRPW91</t>
  </si>
  <si>
    <t>RDHG10</t>
  </si>
  <si>
    <t>LSXY18</t>
  </si>
  <si>
    <t>LYSS33</t>
  </si>
  <si>
    <t>PPPB79</t>
  </si>
  <si>
    <t>JZXG83</t>
  </si>
  <si>
    <t>KDWJ24</t>
  </si>
  <si>
    <t>KTCZ97</t>
  </si>
  <si>
    <t>SPTC10</t>
  </si>
  <si>
    <t>KLSD59</t>
  </si>
  <si>
    <t>FKKK46</t>
  </si>
  <si>
    <t>SWTP25</t>
  </si>
  <si>
    <t>TBCR96</t>
  </si>
  <si>
    <t>PSHZ75</t>
  </si>
  <si>
    <t>RBFP60</t>
  </si>
  <si>
    <t>KTCS59</t>
  </si>
  <si>
    <t>PFRR73</t>
  </si>
  <si>
    <t>SLRL93</t>
  </si>
  <si>
    <t>LYPH29</t>
  </si>
  <si>
    <t>PKTY70</t>
  </si>
  <si>
    <t>JGBS98</t>
  </si>
  <si>
    <t>RZCK51</t>
  </si>
  <si>
    <t>SPJD69</t>
  </si>
  <si>
    <t>SJJH21</t>
  </si>
  <si>
    <t>RVKL41</t>
  </si>
  <si>
    <t>PTRP43</t>
  </si>
  <si>
    <t>JFFW95</t>
  </si>
  <si>
    <t>RBHH31</t>
  </si>
  <si>
    <t>RRCY60</t>
  </si>
  <si>
    <t>RJBX50</t>
  </si>
  <si>
    <t>SCGT24</t>
  </si>
  <si>
    <t>RJPJ39</t>
  </si>
  <si>
    <t>KCBV84</t>
  </si>
  <si>
    <t>GHBF56</t>
  </si>
  <si>
    <t>RBLD45</t>
  </si>
  <si>
    <t>RFFS39</t>
  </si>
  <si>
    <t>PKJP61</t>
  </si>
  <si>
    <t>LHCL79</t>
  </si>
  <si>
    <t>PPVC21</t>
  </si>
  <si>
    <t>SCRK37</t>
  </si>
  <si>
    <t>JLSJ23</t>
  </si>
  <si>
    <t>JSWF31</t>
  </si>
  <si>
    <t>PCDX27</t>
  </si>
  <si>
    <t>KDTL86</t>
  </si>
  <si>
    <t>HTWG37</t>
  </si>
  <si>
    <t>RGLK59</t>
  </si>
  <si>
    <t>HTDL67</t>
  </si>
  <si>
    <t>KJZK18</t>
  </si>
  <si>
    <t>PTLW28</t>
  </si>
  <si>
    <t>PGGS58</t>
  </si>
  <si>
    <t>JPZG35</t>
  </si>
  <si>
    <t>SJVR94</t>
  </si>
  <si>
    <t>HFHY93</t>
  </si>
  <si>
    <t>KJYP17</t>
  </si>
  <si>
    <t>KGLL79</t>
  </si>
  <si>
    <t>PTSC90</t>
  </si>
  <si>
    <t>KWXK50</t>
  </si>
  <si>
    <t>RZPB93</t>
  </si>
  <si>
    <t>PLHJ45</t>
  </si>
  <si>
    <t>HHYF70</t>
  </si>
  <si>
    <t>KGLJ55</t>
  </si>
  <si>
    <t>PZJC95</t>
  </si>
  <si>
    <t>JXGD53</t>
  </si>
  <si>
    <t>SJVS67</t>
  </si>
  <si>
    <t>GKCY72</t>
  </si>
  <si>
    <t>RXRW51</t>
  </si>
  <si>
    <t>RVYV12</t>
  </si>
  <si>
    <t>JGBL85</t>
  </si>
  <si>
    <t>PRRJ11</t>
  </si>
  <si>
    <t>KCBY89</t>
  </si>
  <si>
    <t>LSYF15</t>
  </si>
  <si>
    <t>PPGH30</t>
  </si>
  <si>
    <t>SLRK59</t>
  </si>
  <si>
    <t>LSYF35</t>
  </si>
  <si>
    <t>LRVT30</t>
  </si>
  <si>
    <t>LVXG38</t>
  </si>
  <si>
    <t>RBJH53</t>
  </si>
  <si>
    <t>PBJC25</t>
  </si>
  <si>
    <t>RTVV32</t>
  </si>
  <si>
    <t>RHFG21</t>
  </si>
  <si>
    <t>JDKC19</t>
  </si>
  <si>
    <t>SJJJ34</t>
  </si>
  <si>
    <t>JGCC12</t>
  </si>
  <si>
    <t>JHRT62</t>
  </si>
  <si>
    <t>PLCF29</t>
  </si>
  <si>
    <t>PHFS63</t>
  </si>
  <si>
    <t>PCRG66</t>
  </si>
  <si>
    <t>PHFT45</t>
  </si>
  <si>
    <t>LHCP76</t>
  </si>
  <si>
    <t>SGDR89</t>
  </si>
  <si>
    <t>RYRK33</t>
  </si>
  <si>
    <t>PFCZ71</t>
  </si>
  <si>
    <t>KZRK80</t>
  </si>
  <si>
    <t>PFSJ75</t>
  </si>
  <si>
    <t>PKTY68</t>
  </si>
  <si>
    <t>PTDZ97</t>
  </si>
  <si>
    <t>RHXY94</t>
  </si>
  <si>
    <t>DTBC89</t>
  </si>
  <si>
    <t>LYGR19</t>
  </si>
  <si>
    <t>RVRD49</t>
  </si>
  <si>
    <t>PRHK53</t>
  </si>
  <si>
    <t>PKBH56</t>
  </si>
  <si>
    <t>JPSK79</t>
  </si>
  <si>
    <t>JZJP48</t>
  </si>
  <si>
    <t>JBJL79</t>
  </si>
  <si>
    <t>PRWG26</t>
  </si>
  <si>
    <t>PFRY29</t>
  </si>
  <si>
    <t>SFTZ87</t>
  </si>
  <si>
    <t>HTCF62</t>
  </si>
  <si>
    <t>KZWB38</t>
  </si>
  <si>
    <t>PYDD66</t>
  </si>
  <si>
    <t>HGPC40</t>
  </si>
  <si>
    <t>KCBV81</t>
  </si>
  <si>
    <t>RZHF12</t>
  </si>
  <si>
    <t>LLBS23</t>
  </si>
  <si>
    <t>PDBS65</t>
  </si>
  <si>
    <t>LYPD12</t>
  </si>
  <si>
    <t>LZJB47</t>
  </si>
  <si>
    <t>SJVT43</t>
  </si>
  <si>
    <t>KFJP91</t>
  </si>
  <si>
    <t>JXDK13</t>
  </si>
  <si>
    <t>LYLW59</t>
  </si>
  <si>
    <t>PFRR33</t>
  </si>
  <si>
    <t>GLHV84</t>
  </si>
  <si>
    <t>LLBF88</t>
  </si>
  <si>
    <t>PBFD27</t>
  </si>
  <si>
    <t>SKCG47</t>
  </si>
  <si>
    <t>LHRB41</t>
  </si>
  <si>
    <t>LHRB42</t>
  </si>
  <si>
    <t>PTSF21</t>
  </si>
  <si>
    <t>PHKL92</t>
  </si>
  <si>
    <t>LBGW79</t>
  </si>
  <si>
    <t>PHFT39</t>
  </si>
  <si>
    <t>SBWP28</t>
  </si>
  <si>
    <t>PTSD95</t>
  </si>
  <si>
    <t>PZJP24</t>
  </si>
  <si>
    <t>KZVW63</t>
  </si>
  <si>
    <t>LRCX10</t>
  </si>
  <si>
    <t>RLSH21</t>
  </si>
  <si>
    <t>SBJF87</t>
  </si>
  <si>
    <t>PRPZ55</t>
  </si>
  <si>
    <t>PFPK51</t>
  </si>
  <si>
    <t>RCHF84</t>
  </si>
  <si>
    <t>LHCL63</t>
  </si>
  <si>
    <t>SFHZ48</t>
  </si>
  <si>
    <t>PCFL51</t>
  </si>
  <si>
    <t>KBBT75</t>
  </si>
  <si>
    <t>LHRW37</t>
  </si>
  <si>
    <t>PHJK18</t>
  </si>
  <si>
    <t>KFTZ30</t>
  </si>
  <si>
    <t>LGTL52</t>
  </si>
  <si>
    <t>PFRZ57</t>
  </si>
  <si>
    <t>RGTS62</t>
  </si>
  <si>
    <t>KWTJ84</t>
  </si>
  <si>
    <t>JZSP13</t>
  </si>
  <si>
    <t>RBJH44</t>
  </si>
  <si>
    <t>KWXG60</t>
  </si>
  <si>
    <t>LYPF99</t>
  </si>
  <si>
    <t>PJDF12</t>
  </si>
  <si>
    <t>PYDD65</t>
  </si>
  <si>
    <t>SLRJ98</t>
  </si>
  <si>
    <t>JXGF43</t>
  </si>
  <si>
    <t>LVXC61</t>
  </si>
  <si>
    <t>SJVT46</t>
  </si>
  <si>
    <t>KZWD62</t>
  </si>
  <si>
    <t>SWTP75</t>
  </si>
  <si>
    <t>RZGK29</t>
  </si>
  <si>
    <t>KGPD75</t>
  </si>
  <si>
    <t>KZKD83</t>
  </si>
  <si>
    <t>RFFT13</t>
  </si>
  <si>
    <t>LRSG52</t>
  </si>
  <si>
    <t>PKGP58</t>
  </si>
  <si>
    <t>LRWH61</t>
  </si>
  <si>
    <t>PSTV45</t>
  </si>
  <si>
    <t>KWVR43</t>
  </si>
  <si>
    <t>LDBC86</t>
  </si>
  <si>
    <t>LRWC10</t>
  </si>
  <si>
    <t>LJYH32</t>
  </si>
  <si>
    <t>LCBV67</t>
  </si>
  <si>
    <t>SFLX85</t>
  </si>
  <si>
    <t>PGGS39</t>
  </si>
  <si>
    <t>HXYD45</t>
  </si>
  <si>
    <t>RTFZ60</t>
  </si>
  <si>
    <t>RSJW31</t>
  </si>
  <si>
    <t>LVXB90</t>
  </si>
  <si>
    <t>JZJT30</t>
  </si>
  <si>
    <t>JWCG93</t>
  </si>
  <si>
    <t>KCBV49</t>
  </si>
  <si>
    <t>KVWG25</t>
  </si>
  <si>
    <t>RDLD25</t>
  </si>
  <si>
    <t>PTDJ43</t>
  </si>
  <si>
    <t>PJLL85</t>
  </si>
  <si>
    <t>SHZR70</t>
  </si>
  <si>
    <t>KTZH21</t>
  </si>
  <si>
    <t>KYBY37</t>
  </si>
  <si>
    <t>LLBZ16</t>
  </si>
  <si>
    <t>LRVZ90</t>
  </si>
  <si>
    <t>JZGC39</t>
  </si>
  <si>
    <t>PPJJ71</t>
  </si>
  <si>
    <t>JHRZ41</t>
  </si>
  <si>
    <t>LLBY69</t>
  </si>
  <si>
    <t>KTCZ86</t>
  </si>
  <si>
    <t>SBWR79</t>
  </si>
  <si>
    <t>PKDY68</t>
  </si>
  <si>
    <t>PKBT64</t>
  </si>
  <si>
    <t>RKPR88</t>
  </si>
  <si>
    <t>LSYF34</t>
  </si>
  <si>
    <t>LTHD21</t>
  </si>
  <si>
    <t>LRVV92</t>
  </si>
  <si>
    <t>RFKT99</t>
  </si>
  <si>
    <t>KGLX42</t>
  </si>
  <si>
    <t>RZCJ99</t>
  </si>
  <si>
    <t>LVXB33</t>
  </si>
  <si>
    <t>PKJP78</t>
  </si>
  <si>
    <t>LHRY42</t>
  </si>
  <si>
    <t>LHRY30</t>
  </si>
  <si>
    <t>LVZR50</t>
  </si>
  <si>
    <t>PSJH25</t>
  </si>
  <si>
    <t>RBJJ77</t>
  </si>
  <si>
    <t>PLJW45</t>
  </si>
  <si>
    <t>JHSD41</t>
  </si>
  <si>
    <t>RZSK13</t>
  </si>
  <si>
    <t>PRHH70</t>
  </si>
  <si>
    <t>RVPZ64</t>
  </si>
  <si>
    <t>KHPC70</t>
  </si>
  <si>
    <t>PPJG77</t>
  </si>
  <si>
    <t>JLXP52</t>
  </si>
  <si>
    <t>KPLB63</t>
  </si>
  <si>
    <t>LHRY31</t>
  </si>
  <si>
    <t>KPKP70</t>
  </si>
  <si>
    <t>HLBT63</t>
  </si>
  <si>
    <t>KPKJ71</t>
  </si>
  <si>
    <t>KZWD93</t>
  </si>
  <si>
    <t>LRSX66</t>
  </si>
  <si>
    <t>LBVR67</t>
  </si>
  <si>
    <t>PFRL39</t>
  </si>
  <si>
    <t>KTCR31</t>
  </si>
  <si>
    <t>JXZZ29</t>
  </si>
  <si>
    <t>PFSB77</t>
  </si>
  <si>
    <t>GTLR64</t>
  </si>
  <si>
    <t>RFFS79</t>
  </si>
  <si>
    <t>PFSB71</t>
  </si>
  <si>
    <t>LGRD26</t>
  </si>
  <si>
    <t>PXXT58</t>
  </si>
  <si>
    <t>LWFY68</t>
  </si>
  <si>
    <t>JBJZ91</t>
  </si>
  <si>
    <t>LBSF88</t>
  </si>
  <si>
    <t>PCFH35</t>
  </si>
  <si>
    <t>PFRR41</t>
  </si>
  <si>
    <t>PJYL94</t>
  </si>
  <si>
    <t>KDTX37</t>
  </si>
  <si>
    <t>SBJH33</t>
  </si>
  <si>
    <t>LHRZ82</t>
  </si>
  <si>
    <t>LDBB65</t>
  </si>
  <si>
    <t>SCZR32</t>
  </si>
  <si>
    <t>KPKV44</t>
  </si>
  <si>
    <t>LYLZ61</t>
  </si>
  <si>
    <t>RBBB13</t>
  </si>
  <si>
    <t>FCBT93</t>
  </si>
  <si>
    <t>PKDZ48</t>
  </si>
  <si>
    <t>JPLT99</t>
  </si>
  <si>
    <t>LVWW65</t>
  </si>
  <si>
    <t>KPKV68</t>
  </si>
  <si>
    <t>HRWR26</t>
  </si>
  <si>
    <t>JHSC12</t>
  </si>
  <si>
    <t>KTCR63</t>
  </si>
  <si>
    <t>RJCV30</t>
  </si>
  <si>
    <t>PFRR49</t>
  </si>
  <si>
    <t>RKRY72</t>
  </si>
  <si>
    <t>RZCJ46</t>
  </si>
  <si>
    <t>RVRF21</t>
  </si>
  <si>
    <t>PSTV77</t>
  </si>
  <si>
    <t>LCWF52</t>
  </si>
  <si>
    <t>RDTJ31</t>
  </si>
  <si>
    <t>RTCD59</t>
  </si>
  <si>
    <t>LRVW74</t>
  </si>
  <si>
    <t>LWFV88</t>
  </si>
  <si>
    <t>LDVR55</t>
  </si>
  <si>
    <t>LGKY21</t>
  </si>
  <si>
    <t>PSJJ39</t>
  </si>
  <si>
    <t>RKRY59</t>
  </si>
  <si>
    <t>PDHY65</t>
  </si>
  <si>
    <t>RZFD31</t>
  </si>
  <si>
    <t>KTBV75</t>
  </si>
  <si>
    <t>PHKF31</t>
  </si>
  <si>
    <t>SKCG10</t>
  </si>
  <si>
    <t>PSHX29</t>
  </si>
  <si>
    <t>PFRY34</t>
  </si>
  <si>
    <t>JPZG71</t>
  </si>
  <si>
    <t>PKBS12</t>
  </si>
  <si>
    <t>LBVV58</t>
  </si>
  <si>
    <t>RHBV76</t>
  </si>
  <si>
    <t>LYLV18</t>
  </si>
  <si>
    <t>RZJJ58</t>
  </si>
  <si>
    <t>KLTV88</t>
  </si>
  <si>
    <t>LDBJ11</t>
  </si>
  <si>
    <t>KWTR16</t>
  </si>
  <si>
    <t>LSGT57</t>
  </si>
  <si>
    <t>LHRZ15</t>
  </si>
  <si>
    <t>RSTC90</t>
  </si>
  <si>
    <t>HRWT26</t>
  </si>
  <si>
    <t>PKBT29</t>
  </si>
  <si>
    <t>PFRP57</t>
  </si>
  <si>
    <t>RVPZ16</t>
  </si>
  <si>
    <t>PYFY49</t>
  </si>
  <si>
    <t>LXHV17</t>
  </si>
  <si>
    <t>PFRX86</t>
  </si>
  <si>
    <t>JZGC33</t>
  </si>
  <si>
    <t>LFXV54</t>
  </si>
  <si>
    <t>JXZZ37</t>
  </si>
  <si>
    <t>PCFH57</t>
  </si>
  <si>
    <t>KTCZ34</t>
  </si>
  <si>
    <t>LYPK74</t>
  </si>
  <si>
    <t>LYPC99</t>
  </si>
  <si>
    <t>JWCG87</t>
  </si>
  <si>
    <t>SBJF70</t>
  </si>
  <si>
    <t>PPPB15</t>
  </si>
  <si>
    <t>JBJK33</t>
  </si>
  <si>
    <t>LYLZ79</t>
  </si>
  <si>
    <t>KCBZ60</t>
  </si>
  <si>
    <t>LVXG10</t>
  </si>
  <si>
    <t>KTCL23</t>
  </si>
  <si>
    <t>LPXL46</t>
  </si>
  <si>
    <t>SPZF82</t>
  </si>
  <si>
    <t>PKVB87</t>
  </si>
  <si>
    <t>PFRL86</t>
  </si>
  <si>
    <t>KRWJ79</t>
  </si>
  <si>
    <t>JDKX55</t>
  </si>
  <si>
    <t>KPLB46</t>
  </si>
  <si>
    <t>PSHX59</t>
  </si>
  <si>
    <t>RHBW93</t>
  </si>
  <si>
    <t>RHZV98</t>
  </si>
  <si>
    <t>GSDW61</t>
  </si>
  <si>
    <t>PCDW76</t>
  </si>
  <si>
    <t>PYDD67</t>
  </si>
  <si>
    <t>LCZZ36</t>
  </si>
  <si>
    <t>PTDH93</t>
  </si>
  <si>
    <t>HXRG45</t>
  </si>
  <si>
    <t>PKVB49</t>
  </si>
  <si>
    <t>PHGD93</t>
  </si>
  <si>
    <t>SJJH82</t>
  </si>
  <si>
    <t>LVWV51</t>
  </si>
  <si>
    <t>LZLX90</t>
  </si>
  <si>
    <t>RKPL45</t>
  </si>
  <si>
    <t>PCDZ36</t>
  </si>
  <si>
    <t>JXFZ74</t>
  </si>
  <si>
    <t>PJDD53</t>
  </si>
  <si>
    <t>PRBC55</t>
  </si>
  <si>
    <t>PLTL77</t>
  </si>
  <si>
    <t>JZGK42</t>
  </si>
  <si>
    <t>HVXJ68</t>
  </si>
  <si>
    <t>RVYJ59</t>
  </si>
  <si>
    <t>RDVT37</t>
  </si>
  <si>
    <t>LDVW81</t>
  </si>
  <si>
    <t>PLSP29</t>
  </si>
  <si>
    <t>LWKT25</t>
  </si>
  <si>
    <t>LKZY27</t>
  </si>
  <si>
    <t>KCBS52</t>
  </si>
  <si>
    <t>SBKC22</t>
  </si>
  <si>
    <t>RSHK39</t>
  </si>
  <si>
    <t>PJLL59</t>
  </si>
  <si>
    <t>PYDD72</t>
  </si>
  <si>
    <t>KZLK68</t>
  </si>
  <si>
    <t>PRSH84</t>
  </si>
  <si>
    <t>PKTY31</t>
  </si>
  <si>
    <t>PCDY14</t>
  </si>
  <si>
    <t>PCFJ97</t>
  </si>
  <si>
    <t>LSYF68</t>
  </si>
  <si>
    <t>PRZZ66</t>
  </si>
  <si>
    <t>SPTB77</t>
  </si>
  <si>
    <t>PKLD39</t>
  </si>
  <si>
    <t>LDVT56</t>
  </si>
  <si>
    <t>KSRT24</t>
  </si>
  <si>
    <t>PPJG92</t>
  </si>
  <si>
    <t>RXTC69</t>
  </si>
  <si>
    <t>PPVC78</t>
  </si>
  <si>
    <t>RBJH90</t>
  </si>
  <si>
    <t>PPVC91</t>
  </si>
  <si>
    <t>JSWR34</t>
  </si>
  <si>
    <t>LPXH29</t>
  </si>
  <si>
    <t>LVXD95</t>
  </si>
  <si>
    <t>KWXZ86</t>
  </si>
  <si>
    <t>KRPX64</t>
  </si>
  <si>
    <t>GGJW34</t>
  </si>
  <si>
    <t>PFRY77</t>
  </si>
  <si>
    <t>GRPT13</t>
  </si>
  <si>
    <t>PJDY45</t>
  </si>
  <si>
    <t>RJPJ68</t>
  </si>
  <si>
    <t>PKTZ82</t>
  </si>
  <si>
    <t>PPVC34</t>
  </si>
  <si>
    <t>PCDW70</t>
  </si>
  <si>
    <t>JDKR53</t>
  </si>
  <si>
    <t>HJSY32</t>
  </si>
  <si>
    <t>JVSC31</t>
  </si>
  <si>
    <t>LXPB26</t>
  </si>
  <si>
    <t>LYSR94</t>
  </si>
  <si>
    <t>LVXG96</t>
  </si>
  <si>
    <t>LFXX91</t>
  </si>
  <si>
    <t>LBVW84</t>
  </si>
  <si>
    <t>KWYD58</t>
  </si>
  <si>
    <t>RFKV58</t>
  </si>
  <si>
    <t>LVXC35</t>
  </si>
  <si>
    <t>LVWZ16</t>
  </si>
  <si>
    <t>KVWC95</t>
  </si>
  <si>
    <t>PPVC10</t>
  </si>
  <si>
    <t>KZVZ40</t>
  </si>
  <si>
    <t>LBVV62</t>
  </si>
  <si>
    <t>DYZJ57</t>
  </si>
  <si>
    <t>SCWW80</t>
  </si>
  <si>
    <t>RKRX10</t>
  </si>
  <si>
    <t>LLBJ17</t>
  </si>
  <si>
    <t>LVXS29</t>
  </si>
  <si>
    <t>RCRW11</t>
  </si>
  <si>
    <t>LZPB23</t>
  </si>
  <si>
    <t>JLTJ52</t>
  </si>
  <si>
    <t>RJCT51</t>
  </si>
  <si>
    <t>HDYR77</t>
  </si>
  <si>
    <t>PKLD47</t>
  </si>
  <si>
    <t>JDKR42</t>
  </si>
  <si>
    <t>RZCK36</t>
  </si>
  <si>
    <t>KSRY48</t>
  </si>
  <si>
    <t>KTDB34</t>
  </si>
  <si>
    <t>RFBW23</t>
  </si>
  <si>
    <t>PCDW32</t>
  </si>
  <si>
    <t>JDKC10</t>
  </si>
  <si>
    <t>LJZC63</t>
  </si>
  <si>
    <t>LRCZ77</t>
  </si>
  <si>
    <t>RXCG52</t>
  </si>
  <si>
    <t>JCGD47</t>
  </si>
  <si>
    <t>RVVS29</t>
  </si>
  <si>
    <t>JBJH15</t>
  </si>
  <si>
    <t>KTCS69</t>
  </si>
  <si>
    <t>KTCS55</t>
  </si>
  <si>
    <t>JCDG98</t>
  </si>
  <si>
    <t>HRWS66</t>
  </si>
  <si>
    <t>RTJJ48</t>
  </si>
  <si>
    <t>LBVX44</t>
  </si>
  <si>
    <t>LPXH47</t>
  </si>
  <si>
    <t>JGCG38</t>
  </si>
  <si>
    <t>LVXG30</t>
  </si>
  <si>
    <t>RGLK92</t>
  </si>
  <si>
    <t>JJYG11</t>
  </si>
  <si>
    <t>KZKC93</t>
  </si>
  <si>
    <t>JYFY99</t>
  </si>
  <si>
    <t>JHRZ76</t>
  </si>
  <si>
    <t>KJYP74</t>
  </si>
  <si>
    <t>HJTK99</t>
  </si>
  <si>
    <t>KWTS86</t>
  </si>
  <si>
    <t>RSXZ50</t>
  </si>
  <si>
    <t>LHSW56</t>
  </si>
  <si>
    <t>LPXJ13</t>
  </si>
  <si>
    <t>LJYH15</t>
  </si>
  <si>
    <t>LVXG67</t>
  </si>
  <si>
    <t>RKPL20</t>
  </si>
  <si>
    <t>PRHJ39</t>
  </si>
  <si>
    <t>KWXZ72</t>
  </si>
  <si>
    <t>KGKZ84</t>
  </si>
  <si>
    <t>JSWF29</t>
  </si>
  <si>
    <t>LYLW73</t>
  </si>
  <si>
    <t>RBJH89</t>
  </si>
  <si>
    <t>LYPB29</t>
  </si>
  <si>
    <t>LYSW53</t>
  </si>
  <si>
    <t>KJYF93</t>
  </si>
  <si>
    <t>LVXB47</t>
  </si>
  <si>
    <t>HWKX39</t>
  </si>
  <si>
    <t>PSHY94</t>
  </si>
  <si>
    <t>JPZR22</t>
  </si>
  <si>
    <t>RZCJ77</t>
  </si>
  <si>
    <t>LYPF27</t>
  </si>
  <si>
    <t>JBJW21</t>
  </si>
  <si>
    <t>KBCK12</t>
  </si>
  <si>
    <t>RTLV30</t>
  </si>
  <si>
    <t>RFVX24</t>
  </si>
  <si>
    <t>LDVR65</t>
  </si>
  <si>
    <t>LYPF74</t>
  </si>
  <si>
    <t>LVXR90</t>
  </si>
  <si>
    <t>SCGS82</t>
  </si>
  <si>
    <t>PFSC16</t>
  </si>
  <si>
    <t>KLHJ78</t>
  </si>
  <si>
    <t>HRWV51</t>
  </si>
  <si>
    <t>JZGD93</t>
  </si>
  <si>
    <t>LSYG12</t>
  </si>
  <si>
    <t>PHFZ56</t>
  </si>
  <si>
    <t>JXSZ39</t>
  </si>
  <si>
    <t>LSYB79</t>
  </si>
  <si>
    <t>PPJG82</t>
  </si>
  <si>
    <t>KTCY37</t>
  </si>
  <si>
    <t>PSJJ32</t>
  </si>
  <si>
    <t>RSSY75</t>
  </si>
  <si>
    <t>JBJC25</t>
  </si>
  <si>
    <t>LBGW86</t>
  </si>
  <si>
    <t>PPJK57</t>
  </si>
  <si>
    <t>PLYS88</t>
  </si>
  <si>
    <t>JKYG98</t>
  </si>
  <si>
    <t>PRHH44</t>
  </si>
  <si>
    <t>GYWB22</t>
  </si>
  <si>
    <t>PFRR25</t>
  </si>
  <si>
    <t>KJXH13</t>
  </si>
  <si>
    <t>KTDB46</t>
  </si>
  <si>
    <t>LJCV89</t>
  </si>
  <si>
    <t>PPBY76</t>
  </si>
  <si>
    <t>RGLL57</t>
  </si>
  <si>
    <t>JVKV19</t>
  </si>
  <si>
    <t>LVXB51</t>
  </si>
  <si>
    <t>PJLP29</t>
  </si>
  <si>
    <t>LVZP64</t>
  </si>
  <si>
    <t>JSWG61</t>
  </si>
  <si>
    <t>JZGL88</t>
  </si>
  <si>
    <t>JSWW27</t>
  </si>
  <si>
    <t>JHVD89</t>
  </si>
  <si>
    <t>RBXW51</t>
  </si>
  <si>
    <t>RFBW20</t>
  </si>
  <si>
    <t>SCWV88</t>
  </si>
  <si>
    <t>PLTJ44</t>
  </si>
  <si>
    <t>RJPJ56</t>
  </si>
  <si>
    <t>KXYP59</t>
  </si>
  <si>
    <t>RRYV52</t>
  </si>
  <si>
    <t>JGBX57</t>
  </si>
  <si>
    <t>LLBJ37</t>
  </si>
  <si>
    <t>LYLY52</t>
  </si>
  <si>
    <t>LSYD36</t>
  </si>
  <si>
    <t>PSJP71</t>
  </si>
  <si>
    <t>LSXY38</t>
  </si>
  <si>
    <t>JWCL31</t>
  </si>
  <si>
    <t>RTLW29</t>
  </si>
  <si>
    <t>PTKB76</t>
  </si>
  <si>
    <t>LDVT25</t>
  </si>
  <si>
    <t>LXRX72</t>
  </si>
  <si>
    <t>PXXT67</t>
  </si>
  <si>
    <t>RZCH91</t>
  </si>
  <si>
    <t>PHFV47</t>
  </si>
  <si>
    <t>KRJS59</t>
  </si>
  <si>
    <t>KFXB27</t>
  </si>
  <si>
    <t>RTLW52</t>
  </si>
  <si>
    <t>PKXD48</t>
  </si>
  <si>
    <t>RJCV23</t>
  </si>
  <si>
    <t>HTCD69</t>
  </si>
  <si>
    <t>LLBX84</t>
  </si>
  <si>
    <t>PKTY27</t>
  </si>
  <si>
    <t>JPZW47</t>
  </si>
  <si>
    <t>RCBH76</t>
  </si>
  <si>
    <t>LRSG26</t>
  </si>
  <si>
    <t>LVZC80</t>
  </si>
  <si>
    <t>JDKG94</t>
  </si>
  <si>
    <t>RTWY47</t>
  </si>
  <si>
    <t>JGGK48</t>
  </si>
  <si>
    <t>GBDY24</t>
  </si>
  <si>
    <t>RXRV75</t>
  </si>
  <si>
    <t>FZCW74</t>
  </si>
  <si>
    <t>KFJR12</t>
  </si>
  <si>
    <t>RVKD43</t>
  </si>
  <si>
    <t>LDVW44</t>
  </si>
  <si>
    <t>GZSS37</t>
  </si>
  <si>
    <t>LRWG95</t>
  </si>
  <si>
    <t>KZKD97</t>
  </si>
  <si>
    <t>JXZZ38</t>
  </si>
  <si>
    <t>JGBB10</t>
  </si>
  <si>
    <t>PFRR32</t>
  </si>
  <si>
    <t>RKPL41</t>
  </si>
  <si>
    <t>PJDD13</t>
  </si>
  <si>
    <t>PKDY34</t>
  </si>
  <si>
    <t>HLSZ54</t>
  </si>
  <si>
    <t>SBWT90</t>
  </si>
  <si>
    <t>RGTR63</t>
  </si>
  <si>
    <t>CDXW25</t>
  </si>
  <si>
    <t>LVXG22</t>
  </si>
  <si>
    <t>PDVK27</t>
  </si>
  <si>
    <t>JDKR64</t>
  </si>
  <si>
    <t>LDBK66</t>
  </si>
  <si>
    <t>LVWY70</t>
  </si>
  <si>
    <t>HCVY34</t>
  </si>
  <si>
    <t>LDWT78</t>
  </si>
  <si>
    <t>LLBX85</t>
  </si>
  <si>
    <t>PCDZ95</t>
  </si>
  <si>
    <t>PFRK69</t>
  </si>
  <si>
    <t>FTCH88</t>
  </si>
  <si>
    <t>RFKV15</t>
  </si>
  <si>
    <t>KJHZ27</t>
  </si>
  <si>
    <t>LHRV17</t>
  </si>
  <si>
    <t>KJRK80</t>
  </si>
  <si>
    <t>LVXB86</t>
  </si>
  <si>
    <t>PBWD56</t>
  </si>
  <si>
    <t>KGLW79</t>
  </si>
  <si>
    <t>JPZT68</t>
  </si>
  <si>
    <t>LTKY59</t>
  </si>
  <si>
    <t>KWTH34</t>
  </si>
  <si>
    <t>KWVP39</t>
  </si>
  <si>
    <t>PKJP72</t>
  </si>
  <si>
    <t>PPSR57</t>
  </si>
  <si>
    <t>PFRR38</t>
  </si>
  <si>
    <t>LLZK48</t>
  </si>
  <si>
    <t>HTWD19</t>
  </si>
  <si>
    <t>HFHX72</t>
  </si>
  <si>
    <t>JYBH36</t>
  </si>
  <si>
    <t>LSYG87</t>
  </si>
  <si>
    <t>PKDZ60</t>
  </si>
  <si>
    <t>PPSR48</t>
  </si>
  <si>
    <t>LLBY57</t>
  </si>
  <si>
    <t>PPBY92</t>
  </si>
  <si>
    <t>FLPP34</t>
  </si>
  <si>
    <t>LJYF71</t>
  </si>
  <si>
    <t>GTLD35</t>
  </si>
  <si>
    <t>HLTK10</t>
  </si>
  <si>
    <t>KVCY39</t>
  </si>
  <si>
    <t>KVWC90</t>
  </si>
  <si>
    <t>KWXG14</t>
  </si>
  <si>
    <t>HKVW86</t>
  </si>
  <si>
    <t>PLHG23</t>
  </si>
  <si>
    <t>JPZK14</t>
  </si>
  <si>
    <t>JHSD22</t>
  </si>
  <si>
    <t>KGLS59</t>
  </si>
  <si>
    <t>PDXP98</t>
  </si>
  <si>
    <t>JYBD66</t>
  </si>
  <si>
    <t>LZLZ30</t>
  </si>
  <si>
    <t>LDVY33</t>
  </si>
  <si>
    <t>PLHJ10</t>
  </si>
  <si>
    <t>RTWX90</t>
  </si>
  <si>
    <t>HLSS64</t>
  </si>
  <si>
    <t>JZFZ49</t>
  </si>
  <si>
    <t>PTSD87</t>
  </si>
  <si>
    <t>KWYK81</t>
  </si>
  <si>
    <t>RXCW48</t>
  </si>
  <si>
    <t>LHPX87</t>
  </si>
  <si>
    <t>KHBB54</t>
  </si>
  <si>
    <t>PBHG25</t>
  </si>
  <si>
    <t>RDVR32</t>
  </si>
  <si>
    <t>KJKX44</t>
  </si>
  <si>
    <t>LLBT73</t>
  </si>
  <si>
    <t>GYSY38</t>
  </si>
  <si>
    <t>KRWH35</t>
  </si>
  <si>
    <t>LLBS69</t>
  </si>
  <si>
    <t>KTCW98</t>
  </si>
  <si>
    <t>PFTD88</t>
  </si>
  <si>
    <t>LDVZ61</t>
  </si>
  <si>
    <t>RTVT43</t>
  </si>
  <si>
    <t>HYSL74</t>
  </si>
  <si>
    <t>LYLX76</t>
  </si>
  <si>
    <t>PRHH68</t>
  </si>
  <si>
    <t>GSVG87</t>
  </si>
  <si>
    <t>JWVF96</t>
  </si>
  <si>
    <t>RFBV92</t>
  </si>
  <si>
    <t>LPXG50</t>
  </si>
  <si>
    <t>RPRH26</t>
  </si>
  <si>
    <t>JFTB95</t>
  </si>
  <si>
    <t>PCFK99</t>
  </si>
  <si>
    <t>JGCF83</t>
  </si>
  <si>
    <t>KTCX12</t>
  </si>
  <si>
    <t>GSKY99</t>
  </si>
  <si>
    <t>HTVV73</t>
  </si>
  <si>
    <t>RGTS25</t>
  </si>
  <si>
    <t>RZVY13</t>
  </si>
  <si>
    <t>KSRY51</t>
  </si>
  <si>
    <t>HZJK73</t>
  </si>
  <si>
    <t>PSBB34</t>
  </si>
  <si>
    <t>PYDH63</t>
  </si>
  <si>
    <t>RBLT14</t>
  </si>
  <si>
    <t>PFSC43</t>
  </si>
  <si>
    <t>LLJF14</t>
  </si>
  <si>
    <t>JBLY67</t>
  </si>
  <si>
    <t>LSYC88</t>
  </si>
  <si>
    <t>KCBT63</t>
  </si>
  <si>
    <t>PRVL10</t>
  </si>
  <si>
    <t>PRZZ98</t>
  </si>
  <si>
    <t>KSRV14</t>
  </si>
  <si>
    <t>JGYV63</t>
  </si>
  <si>
    <t>JBJD63</t>
  </si>
  <si>
    <t>PLHG42</t>
  </si>
  <si>
    <t>PJDD43</t>
  </si>
  <si>
    <t>LVXF81</t>
  </si>
  <si>
    <t>PSTT24</t>
  </si>
  <si>
    <t>LLBY63</t>
  </si>
  <si>
    <t>LVXG16</t>
  </si>
  <si>
    <t>LSYB57</t>
  </si>
  <si>
    <t>KSRV91</t>
  </si>
  <si>
    <t>LLBZ39</t>
  </si>
  <si>
    <t>PFRW19</t>
  </si>
  <si>
    <t>KGPB66</t>
  </si>
  <si>
    <t>JDKT70</t>
  </si>
  <si>
    <t>LBGS29</t>
  </si>
  <si>
    <t>LHRW94</t>
  </si>
  <si>
    <t>KDTR88</t>
  </si>
  <si>
    <t>JPPJ73</t>
  </si>
  <si>
    <t>LVXC76</t>
  </si>
  <si>
    <t>LHCP54</t>
  </si>
  <si>
    <t>PFRR15</t>
  </si>
  <si>
    <t>PCDY49</t>
  </si>
  <si>
    <t>RTLW47</t>
  </si>
  <si>
    <t>PRVR31</t>
  </si>
  <si>
    <t>RBJH96</t>
  </si>
  <si>
    <t>KWVR98</t>
  </si>
  <si>
    <t>PFRR27</t>
  </si>
  <si>
    <t>KWYJ53</t>
  </si>
  <si>
    <t>PCFK52</t>
  </si>
  <si>
    <t>RJPJ38</t>
  </si>
  <si>
    <t>LRWC28</t>
  </si>
  <si>
    <t>KPKZ10</t>
  </si>
  <si>
    <t>LDVL79</t>
  </si>
  <si>
    <t>KRZC32</t>
  </si>
  <si>
    <t>LPXG41</t>
  </si>
  <si>
    <t>KDTZ29</t>
  </si>
  <si>
    <t>HCVY73</t>
  </si>
  <si>
    <t>RBCZ10</t>
  </si>
  <si>
    <t>PYRY78</t>
  </si>
  <si>
    <t>LDBP66</t>
  </si>
  <si>
    <t>RRCX15</t>
  </si>
  <si>
    <t>JYBF14</t>
  </si>
  <si>
    <t>LRLZ74</t>
  </si>
  <si>
    <t>LRWC26</t>
  </si>
  <si>
    <t>PFRZ38</t>
  </si>
  <si>
    <t>JKYK48</t>
  </si>
  <si>
    <t>JPPH15</t>
  </si>
  <si>
    <t>KRWJ59</t>
  </si>
  <si>
    <t>RKRX82</t>
  </si>
  <si>
    <t>HRTD63</t>
  </si>
  <si>
    <t>KJYG84</t>
  </si>
  <si>
    <t>PRHJ64</t>
  </si>
  <si>
    <t>CZPL41</t>
  </si>
  <si>
    <t>PCFJ47</t>
  </si>
  <si>
    <t>JHRW89</t>
  </si>
  <si>
    <t>JXGD20</t>
  </si>
  <si>
    <t>JHGS39</t>
  </si>
  <si>
    <t>PRSJ20</t>
  </si>
  <si>
    <t>KJRH71</t>
  </si>
  <si>
    <t>JYBC88</t>
  </si>
  <si>
    <t>PFRK65</t>
  </si>
  <si>
    <t>JHSH61</t>
  </si>
  <si>
    <t>PFRP63</t>
  </si>
  <si>
    <t>KWYH79</t>
  </si>
  <si>
    <t>FKGP28</t>
  </si>
  <si>
    <t>LSYC42</t>
  </si>
  <si>
    <t>JYBB39</t>
  </si>
  <si>
    <t>JGBT15</t>
  </si>
  <si>
    <t>PLHH68</t>
  </si>
  <si>
    <t>PCXX19</t>
  </si>
  <si>
    <t>KSRS65</t>
  </si>
  <si>
    <t>FPJC52</t>
  </si>
  <si>
    <t>RFVG61</t>
  </si>
  <si>
    <t>KWTP91</t>
  </si>
  <si>
    <t>KWGH11</t>
  </si>
  <si>
    <t>FVZF16</t>
  </si>
  <si>
    <t>KWVJ63</t>
  </si>
  <si>
    <t>LCWF11</t>
  </si>
  <si>
    <t>LVWT26</t>
  </si>
  <si>
    <t>LJYL78</t>
  </si>
  <si>
    <t>LPXL47</t>
  </si>
  <si>
    <t>KWHY71</t>
  </si>
  <si>
    <t>LHCK35</t>
  </si>
  <si>
    <t>HPGS18</t>
  </si>
  <si>
    <t>LRVZ73</t>
  </si>
  <si>
    <t>LDVR90</t>
  </si>
  <si>
    <t>LBGS42</t>
  </si>
  <si>
    <t>JHSG57</t>
  </si>
  <si>
    <t>FFDV63</t>
  </si>
  <si>
    <t>LBVV96</t>
  </si>
  <si>
    <t>LRVY40</t>
  </si>
  <si>
    <t>LHSD73</t>
  </si>
  <si>
    <t>PCFH75</t>
  </si>
  <si>
    <t>JPPG46</t>
  </si>
  <si>
    <t>LZDY22</t>
  </si>
  <si>
    <t>FHPY17</t>
  </si>
  <si>
    <t>PLHH87</t>
  </si>
  <si>
    <t>JXCZ50</t>
  </si>
  <si>
    <t>LLBG29</t>
  </si>
  <si>
    <t>HXRW26</t>
  </si>
  <si>
    <t>RBCZ75</t>
  </si>
  <si>
    <t>JZGL89</t>
  </si>
  <si>
    <t>RBCZ59</t>
  </si>
  <si>
    <t>JZGL31</t>
  </si>
  <si>
    <t>RXCG65</t>
  </si>
  <si>
    <t>LLBD88</t>
  </si>
  <si>
    <t>RBCZ23</t>
  </si>
  <si>
    <t>JSWR56</t>
  </si>
  <si>
    <t>KPKT14</t>
  </si>
  <si>
    <t>LJYF58</t>
  </si>
  <si>
    <t>LCWF13</t>
  </si>
  <si>
    <t>HRSZ53</t>
  </si>
  <si>
    <t>HRGV23</t>
  </si>
  <si>
    <t>PLHG43</t>
  </si>
  <si>
    <t>LRWC67</t>
  </si>
  <si>
    <t>LJYR27</t>
  </si>
  <si>
    <t>RXRX40</t>
  </si>
  <si>
    <t>RTLJ27</t>
  </si>
  <si>
    <t>GTHV85</t>
  </si>
  <si>
    <t>KRWF89</t>
  </si>
  <si>
    <t>RYDR17</t>
  </si>
  <si>
    <t>KSRR69</t>
  </si>
  <si>
    <t>KVXW86</t>
  </si>
  <si>
    <t>PFRP23</t>
  </si>
  <si>
    <t>PBJH94</t>
  </si>
  <si>
    <t>LLBZ41</t>
  </si>
  <si>
    <t>KZWD94</t>
  </si>
  <si>
    <t>LHRS69</t>
  </si>
  <si>
    <t>PTDJ14</t>
  </si>
  <si>
    <t>HXXZ82</t>
  </si>
  <si>
    <t>PCDY75</t>
  </si>
  <si>
    <t>LHYR57</t>
  </si>
  <si>
    <t>PCFH94</t>
  </si>
  <si>
    <t>KWXK69</t>
  </si>
  <si>
    <t>KCBX31</t>
  </si>
  <si>
    <t>JDKP42</t>
  </si>
  <si>
    <t>PDVJ29</t>
  </si>
  <si>
    <t>LGXV34</t>
  </si>
  <si>
    <t>PKJL67</t>
  </si>
  <si>
    <t>JPPH24</t>
  </si>
  <si>
    <t>KWTR62</t>
  </si>
  <si>
    <t>KGLJ73</t>
  </si>
  <si>
    <t>KLSD96</t>
  </si>
  <si>
    <t>JBJX61</t>
  </si>
  <si>
    <t>KZVW78</t>
  </si>
  <si>
    <t>KJYH72</t>
  </si>
  <si>
    <t>JZJR49</t>
  </si>
  <si>
    <t>RKRX40</t>
  </si>
  <si>
    <t>HVXK73</t>
  </si>
  <si>
    <t>JZGJ46</t>
  </si>
  <si>
    <t>KCBX66</t>
  </si>
  <si>
    <t>PPGG91</t>
  </si>
  <si>
    <t>LLBV35</t>
  </si>
  <si>
    <t>PFRR59</t>
  </si>
  <si>
    <t>LSYF57</t>
  </si>
  <si>
    <t>LCVZ35</t>
  </si>
  <si>
    <t>JSWG31</t>
  </si>
  <si>
    <t>JZJL71</t>
  </si>
  <si>
    <t>KFWL60</t>
  </si>
  <si>
    <t>HXRH45</t>
  </si>
  <si>
    <t>KZKC92</t>
  </si>
  <si>
    <t>JHRZ26</t>
  </si>
  <si>
    <t>LZFW15</t>
  </si>
  <si>
    <t>JZKT44</t>
  </si>
  <si>
    <t>KTCW99</t>
  </si>
  <si>
    <t>FZPF54</t>
  </si>
  <si>
    <t>LVWV75</t>
  </si>
  <si>
    <t>JSWT81</t>
  </si>
  <si>
    <t>KPKY95</t>
  </si>
  <si>
    <t>HRYC14</t>
  </si>
  <si>
    <t>KWGK28</t>
  </si>
  <si>
    <t>LRWG17</t>
  </si>
  <si>
    <t>LDVX84</t>
  </si>
  <si>
    <t>KTCT72</t>
  </si>
  <si>
    <t>KFJK82</t>
  </si>
  <si>
    <t>HHYB73</t>
  </si>
  <si>
    <t>JHSD34</t>
  </si>
  <si>
    <t>LYPK33</t>
  </si>
  <si>
    <t>PKVR20</t>
  </si>
  <si>
    <t>HBJC49</t>
  </si>
  <si>
    <t>PCDX40</t>
  </si>
  <si>
    <t>LDVX14</t>
  </si>
  <si>
    <t>KRWK49</t>
  </si>
  <si>
    <t>LDWV81</t>
  </si>
  <si>
    <t>CTSY56</t>
  </si>
  <si>
    <t>LHCP46</t>
  </si>
  <si>
    <t>LYLZ24</t>
  </si>
  <si>
    <t>JPZH48</t>
  </si>
  <si>
    <t>KJYF71</t>
  </si>
  <si>
    <t>LDVZ95</t>
  </si>
  <si>
    <t>PSTV38</t>
  </si>
  <si>
    <t>KPLB28</t>
  </si>
  <si>
    <t>PLCF66</t>
  </si>
  <si>
    <t>HRSZ52</t>
  </si>
  <si>
    <t>LYPF43</t>
  </si>
  <si>
    <t>PFRT10</t>
  </si>
  <si>
    <t>LSDV22</t>
  </si>
  <si>
    <t>KWVR62</t>
  </si>
  <si>
    <t>JZJS50</t>
  </si>
  <si>
    <t>KCBZ34</t>
  </si>
  <si>
    <t>LRXC95</t>
  </si>
  <si>
    <t>GLFS48</t>
  </si>
  <si>
    <t>HZJZ38</t>
  </si>
  <si>
    <t>KWTR20</t>
  </si>
  <si>
    <t>LBGX86</t>
  </si>
  <si>
    <t>KSRY15</t>
  </si>
  <si>
    <t>LRVW26</t>
  </si>
  <si>
    <t>JWCK41</t>
  </si>
  <si>
    <t>LDVX83</t>
  </si>
  <si>
    <t>PCFJ11</t>
  </si>
  <si>
    <t>LRSH83</t>
  </si>
  <si>
    <t>JRBD53</t>
  </si>
  <si>
    <t>RFKT26</t>
  </si>
  <si>
    <t>HKVX58</t>
  </si>
  <si>
    <t>LBGP82</t>
  </si>
  <si>
    <t>PYDC74</t>
  </si>
  <si>
    <t>KWVK46</t>
  </si>
  <si>
    <t>JVKS32</t>
  </si>
  <si>
    <t>KWVR36</t>
  </si>
  <si>
    <t>FCJF81</t>
  </si>
  <si>
    <t>LCVZ64</t>
  </si>
  <si>
    <t>LTZS74</t>
  </si>
  <si>
    <t>PTDH25</t>
  </si>
  <si>
    <t>KJYD76</t>
  </si>
  <si>
    <t>LVXF76</t>
  </si>
  <si>
    <t>KPLB45</t>
  </si>
  <si>
    <t>KDTX64</t>
  </si>
  <si>
    <t>JSWF58</t>
  </si>
  <si>
    <t>JWCL78</t>
  </si>
  <si>
    <t>FBBR44</t>
  </si>
  <si>
    <t>LLBT11</t>
  </si>
  <si>
    <t>LLBZ21</t>
  </si>
  <si>
    <t>PRSJ38</t>
  </si>
  <si>
    <t>KJRG23</t>
  </si>
  <si>
    <t>KWYH94</t>
  </si>
  <si>
    <t>LHRT83</t>
  </si>
  <si>
    <t>LTVT87</t>
  </si>
  <si>
    <t>JGBW99</t>
  </si>
  <si>
    <t>KDTS89</t>
  </si>
  <si>
    <t>LBGV58</t>
  </si>
  <si>
    <t>KRWC88</t>
  </si>
  <si>
    <t>LDVT68</t>
  </si>
  <si>
    <t>LYLZ40</t>
  </si>
  <si>
    <t>LVXF79</t>
  </si>
  <si>
    <t>LCWD88</t>
  </si>
  <si>
    <t>PCFL54</t>
  </si>
  <si>
    <t>CJZV22</t>
  </si>
  <si>
    <t>GWJZ84</t>
  </si>
  <si>
    <t>GSKZ92</t>
  </si>
  <si>
    <t>JGBC86</t>
  </si>
  <si>
    <t>JGBK65</t>
  </si>
  <si>
    <t>LGRP20</t>
  </si>
  <si>
    <t>PPZJ69</t>
  </si>
  <si>
    <t>LYPK62</t>
  </si>
  <si>
    <t>JDCS69</t>
  </si>
  <si>
    <t>KDTY98</t>
  </si>
  <si>
    <t>RBXW47</t>
  </si>
  <si>
    <t>KZWD39</t>
  </si>
  <si>
    <t>KHWK29</t>
  </si>
  <si>
    <t>JKGC87</t>
  </si>
  <si>
    <t>KVTZ71</t>
  </si>
  <si>
    <t>RKRX85</t>
  </si>
  <si>
    <t>LYLV90</t>
  </si>
  <si>
    <t>KJYD87</t>
  </si>
  <si>
    <t>LYPF44</t>
  </si>
  <si>
    <t>HJWV36</t>
  </si>
  <si>
    <t>LYPD90</t>
  </si>
  <si>
    <t>LDBK87</t>
  </si>
  <si>
    <t>PHFT32</t>
  </si>
  <si>
    <t>PSTV58</t>
  </si>
  <si>
    <t>LZKD79</t>
  </si>
  <si>
    <t>LRWC99</t>
  </si>
  <si>
    <t>LYLZ45</t>
  </si>
  <si>
    <t>PHFX51</t>
  </si>
  <si>
    <t>JYBD73</t>
  </si>
  <si>
    <t>KWYB78</t>
  </si>
  <si>
    <t>PYSB33</t>
  </si>
  <si>
    <t>KLRH92</t>
  </si>
  <si>
    <t>LJYL45</t>
  </si>
  <si>
    <t>LHCJ19</t>
  </si>
  <si>
    <t>JRBF62</t>
  </si>
  <si>
    <t>PHFW61</t>
  </si>
  <si>
    <t>LVXL49</t>
  </si>
  <si>
    <t>LBGP28</t>
  </si>
  <si>
    <t>KWTP48</t>
  </si>
  <si>
    <t>JXBR60</t>
  </si>
  <si>
    <t>JDKF99</t>
  </si>
  <si>
    <t>KJXZ63</t>
  </si>
  <si>
    <t>GFFR39</t>
  </si>
  <si>
    <t>DWFC75</t>
  </si>
  <si>
    <t>HRTF63</t>
  </si>
  <si>
    <t>HXYD21</t>
  </si>
  <si>
    <t>LDVV80</t>
  </si>
  <si>
    <t>KPKZ17</t>
  </si>
  <si>
    <t>RKPP59</t>
  </si>
  <si>
    <t>KRWJ77</t>
  </si>
  <si>
    <t>LBGT61</t>
  </si>
  <si>
    <t>PHFY63</t>
  </si>
  <si>
    <t>PZJR45</t>
  </si>
  <si>
    <t>PDVJ17</t>
  </si>
  <si>
    <t>JYLC57</t>
  </si>
  <si>
    <t>JLLC95</t>
  </si>
  <si>
    <t>JRZW82</t>
  </si>
  <si>
    <t>LCLS31</t>
  </si>
  <si>
    <t>LHCX32</t>
  </si>
  <si>
    <t>KWXZ31</t>
  </si>
  <si>
    <t>JBJF73</t>
  </si>
  <si>
    <t>JHKB19</t>
  </si>
  <si>
    <t>PCDW23</t>
  </si>
  <si>
    <t>DTVR20</t>
  </si>
  <si>
    <t>LDVZ35</t>
  </si>
  <si>
    <t>LYLG42</t>
  </si>
  <si>
    <t>LBGV51</t>
  </si>
  <si>
    <t>HVXJ13</t>
  </si>
  <si>
    <t>LLBS46</t>
  </si>
  <si>
    <t>KZWC60</t>
  </si>
  <si>
    <t>GHBG48</t>
  </si>
  <si>
    <t>KWVL67</t>
  </si>
  <si>
    <t>KPKS83</t>
  </si>
  <si>
    <t>LYVK87</t>
  </si>
  <si>
    <t>CKKR56</t>
  </si>
  <si>
    <t>KZKD72</t>
  </si>
  <si>
    <t>KWTR48</t>
  </si>
  <si>
    <t>FECHA CONSULTA</t>
  </si>
  <si>
    <t>MARCA</t>
  </si>
  <si>
    <t>MODELO</t>
  </si>
  <si>
    <t>PATENTE</t>
  </si>
  <si>
    <t>VALOR AUTOPRESS</t>
  </si>
  <si>
    <t>HONDA</t>
  </si>
  <si>
    <t>HR-V</t>
  </si>
  <si>
    <t>F-150 NEW</t>
  </si>
  <si>
    <t>No informado</t>
  </si>
  <si>
    <t>NUEVO 308</t>
  </si>
  <si>
    <t>ACCENT</t>
  </si>
  <si>
    <t>ALL NEW TRACKER</t>
  </si>
  <si>
    <t>MONTERO SPORT NEW</t>
  </si>
  <si>
    <t>THRJ80</t>
  </si>
  <si>
    <t>KWID</t>
  </si>
  <si>
    <t>NUEVO 2008</t>
  </si>
  <si>
    <t>NUEVO 208</t>
  </si>
  <si>
    <t>VBBD69</t>
  </si>
  <si>
    <t>NUEVO 3008</t>
  </si>
  <si>
    <t>NUEVO MUSTANG</t>
  </si>
  <si>
    <t>VDBS14</t>
  </si>
  <si>
    <t>TIGGO 8 PRO</t>
  </si>
  <si>
    <t>COROLLA CROSS</t>
  </si>
  <si>
    <t>NUEVA X-TRAIL</t>
  </si>
  <si>
    <t>EXEED</t>
  </si>
  <si>
    <t>CHANGAN</t>
  </si>
  <si>
    <t>CS15</t>
  </si>
  <si>
    <t>TIGGO 2</t>
  </si>
  <si>
    <t>RYDL24</t>
  </si>
  <si>
    <t>KIA</t>
  </si>
  <si>
    <t>SOLUTO</t>
  </si>
  <si>
    <t>RBXV26</t>
  </si>
  <si>
    <t>NUEVO 5008</t>
  </si>
  <si>
    <t>SKSZ62</t>
  </si>
  <si>
    <t>RSYF47</t>
  </si>
  <si>
    <t>NEW F-150 RAPTOR</t>
  </si>
  <si>
    <t>NEW 3008</t>
  </si>
  <si>
    <t>NUEVA EXPLORER</t>
  </si>
  <si>
    <t>NUEVA RANGER</t>
  </si>
  <si>
    <t>X55</t>
  </si>
  <si>
    <t>NUEVO SENTRA</t>
  </si>
  <si>
    <t>TYWS86</t>
  </si>
  <si>
    <t>DONGFENG</t>
  </si>
  <si>
    <t>T5</t>
  </si>
  <si>
    <t>NEW RIFTER</t>
  </si>
  <si>
    <t>TZHX32</t>
  </si>
  <si>
    <t>LXLT74</t>
  </si>
  <si>
    <t>NEW JOLION</t>
  </si>
  <si>
    <t>BRILLIANCE</t>
  </si>
  <si>
    <t>X30</t>
  </si>
  <si>
    <t>RJRF51</t>
  </si>
  <si>
    <t>C5 AIRCROSS</t>
  </si>
  <si>
    <t>JMC</t>
  </si>
  <si>
    <t>GRAND AVENUE</t>
  </si>
  <si>
    <t>RIO 4</t>
  </si>
  <si>
    <t>TBZP32</t>
  </si>
  <si>
    <t>NEW COLORADO</t>
  </si>
  <si>
    <t>FIAT</t>
  </si>
  <si>
    <t>ARGO</t>
  </si>
  <si>
    <t>H6 GT</t>
  </si>
  <si>
    <t>JS2</t>
  </si>
  <si>
    <t>NEW 1500</t>
  </si>
  <si>
    <t>CX70</t>
  </si>
  <si>
    <t>REFINE</t>
  </si>
  <si>
    <t>MG</t>
  </si>
  <si>
    <t>HS</t>
  </si>
  <si>
    <t>T8 PRO</t>
  </si>
  <si>
    <t>SSBR38</t>
  </si>
  <si>
    <t>NEW KORANDO</t>
  </si>
  <si>
    <t>SPSZ45</t>
  </si>
  <si>
    <t>ALL NEW SANTA FE</t>
  </si>
  <si>
    <t>ONIX</t>
  </si>
  <si>
    <t>NUEVO SWIFT</t>
  </si>
  <si>
    <t>SZHT24</t>
  </si>
  <si>
    <t>VIGUS</t>
  </si>
  <si>
    <t>KUV100</t>
  </si>
  <si>
    <t>SUBARU</t>
  </si>
  <si>
    <t>XV</t>
  </si>
  <si>
    <t>TIGGO 2 PRO MAX</t>
  </si>
  <si>
    <t>TWBK18</t>
  </si>
  <si>
    <t>OPEL</t>
  </si>
  <si>
    <t>NEW GRANDLAND</t>
  </si>
  <si>
    <t>RPSZ19</t>
  </si>
  <si>
    <t>TJDD28</t>
  </si>
  <si>
    <t>SLRJ69</t>
  </si>
  <si>
    <t>SYPP39</t>
  </si>
  <si>
    <t>TRAVERSE</t>
  </si>
  <si>
    <t>EDGE NEW</t>
  </si>
  <si>
    <t>ALL NEW DUSTER</t>
  </si>
  <si>
    <t>RBLB70</t>
  </si>
  <si>
    <t>C3 AIRCROSS NEW</t>
  </si>
  <si>
    <t>NEW OUTLANDER</t>
  </si>
  <si>
    <t>GS</t>
  </si>
  <si>
    <t>JFCL99</t>
  </si>
  <si>
    <t>NUEVO SONET</t>
  </si>
  <si>
    <t>RUSH</t>
  </si>
  <si>
    <t>OROCH</t>
  </si>
  <si>
    <t>LLBK38</t>
  </si>
  <si>
    <t>ECLIPSE CROSS</t>
  </si>
  <si>
    <t>TRUCK</t>
  </si>
  <si>
    <t>KICKS</t>
  </si>
  <si>
    <t>NEW CX-9</t>
  </si>
  <si>
    <t>ZS</t>
  </si>
  <si>
    <t>I20</t>
  </si>
  <si>
    <t>SWTR87</t>
  </si>
  <si>
    <t>TXL</t>
  </si>
  <si>
    <t>TIGGO 2 PRO</t>
  </si>
  <si>
    <t>NAVARA</t>
  </si>
  <si>
    <t>NEW QASHQAI</t>
  </si>
  <si>
    <t>LFRK47</t>
  </si>
  <si>
    <t>HFJC89</t>
  </si>
  <si>
    <t>POLO</t>
  </si>
  <si>
    <t>CAPTIVA 6</t>
  </si>
  <si>
    <t>NEW 3</t>
  </si>
  <si>
    <t>KPWV58</t>
  </si>
  <si>
    <t>NEW 2008</t>
  </si>
  <si>
    <t>TSGB53</t>
  </si>
  <si>
    <t>VKXJ45</t>
  </si>
  <si>
    <t>NUEVO SELTOS</t>
  </si>
  <si>
    <t>TSYX30</t>
  </si>
  <si>
    <t>STBR37</t>
  </si>
  <si>
    <t>VBBD41</t>
  </si>
  <si>
    <t>VGPT26</t>
  </si>
  <si>
    <t>VGPT41</t>
  </si>
  <si>
    <t>NEW PARTNER</t>
  </si>
  <si>
    <t>TSGB49</t>
  </si>
  <si>
    <t>ATOS</t>
  </si>
  <si>
    <t>RAIZE</t>
  </si>
  <si>
    <t>RDVV45</t>
  </si>
  <si>
    <t>THXR90</t>
  </si>
  <si>
    <t>NEW ZX</t>
  </si>
  <si>
    <t>SFLZ19</t>
  </si>
  <si>
    <t>TZTB85</t>
  </si>
  <si>
    <t>HBFG17</t>
  </si>
  <si>
    <t>CX-5</t>
  </si>
  <si>
    <t>PHDP90</t>
  </si>
  <si>
    <t>TSGB36</t>
  </si>
  <si>
    <t>RX5</t>
  </si>
  <si>
    <t>LHRV25</t>
  </si>
  <si>
    <t>AUDI</t>
  </si>
  <si>
    <t>S3</t>
  </si>
  <si>
    <t>TFJJ17</t>
  </si>
  <si>
    <t>RJCV71</t>
  </si>
  <si>
    <t>TJCZ64</t>
  </si>
  <si>
    <t>STBR36</t>
  </si>
  <si>
    <t>VGPT22</t>
  </si>
  <si>
    <t>TSGB48</t>
  </si>
  <si>
    <t>TPCR98</t>
  </si>
  <si>
    <t>TSGB43</t>
  </si>
  <si>
    <t>TBCP56</t>
  </si>
  <si>
    <t>TSGB41</t>
  </si>
  <si>
    <t>TCHV94</t>
  </si>
  <si>
    <t>NEW E-2008</t>
  </si>
  <si>
    <t>TBCP55</t>
  </si>
  <si>
    <t>VGPT28</t>
  </si>
  <si>
    <t>TPCR76</t>
  </si>
  <si>
    <t>TFDY98</t>
  </si>
  <si>
    <t>TBCS76</t>
  </si>
  <si>
    <t>NEW L200</t>
  </si>
  <si>
    <t>VCRP48</t>
  </si>
  <si>
    <t>VGPT20</t>
  </si>
  <si>
    <t>RIFTER</t>
  </si>
  <si>
    <t>TSGC13</t>
  </si>
  <si>
    <t>TJCZ72</t>
  </si>
  <si>
    <t>TFDZ57</t>
  </si>
  <si>
    <t>TSYX74</t>
  </si>
  <si>
    <t>VBBD44</t>
  </si>
  <si>
    <t>TSGB44</t>
  </si>
  <si>
    <t>TSGB38</t>
  </si>
  <si>
    <t>SSSC75</t>
  </si>
  <si>
    <t>VGPT23</t>
  </si>
  <si>
    <t>TTVW30</t>
  </si>
  <si>
    <t>SONG PLUS DM-I</t>
  </si>
  <si>
    <t>TJSJ84</t>
  </si>
  <si>
    <t>SVRR87</t>
  </si>
  <si>
    <t>SUNRAY</t>
  </si>
  <si>
    <t>TGVL67</t>
  </si>
  <si>
    <t>SYPX69</t>
  </si>
  <si>
    <t>TJCZ18</t>
  </si>
  <si>
    <t>TJCZ55</t>
  </si>
  <si>
    <t>TJCZ70</t>
  </si>
  <si>
    <t>TJCZ91</t>
  </si>
  <si>
    <t>OUTBACK</t>
  </si>
  <si>
    <t>SDGD85</t>
  </si>
  <si>
    <t>BALENO</t>
  </si>
  <si>
    <t>LVXS21</t>
  </si>
  <si>
    <t>NEW MOKKA</t>
  </si>
  <si>
    <t>VBRX81</t>
  </si>
  <si>
    <t>RSJD17</t>
  </si>
  <si>
    <t>CRETA GRAND</t>
  </si>
  <si>
    <t>TBJD80</t>
  </si>
  <si>
    <t>PPJG65</t>
  </si>
  <si>
    <t>NUEVO SAIL</t>
  </si>
  <si>
    <t>RENEGADE</t>
  </si>
  <si>
    <t>RIO 5</t>
  </si>
  <si>
    <t>SONET</t>
  </si>
  <si>
    <t>BMW</t>
  </si>
  <si>
    <t>220 D</t>
  </si>
  <si>
    <t>PKVB74</t>
  </si>
  <si>
    <t>KWDR80</t>
  </si>
  <si>
    <t>RRGY14</t>
  </si>
  <si>
    <t>TIGGO 7</t>
  </si>
  <si>
    <t>PFVV65</t>
  </si>
  <si>
    <t>SJVR42</t>
  </si>
  <si>
    <t>AVENGER</t>
  </si>
  <si>
    <t>VDHZ84</t>
  </si>
  <si>
    <t>L200</t>
  </si>
  <si>
    <t>RPSY66</t>
  </si>
  <si>
    <t>SHBW61</t>
  </si>
  <si>
    <t>TKHL18</t>
  </si>
  <si>
    <t>TRTY68</t>
  </si>
  <si>
    <t>THRL24</t>
  </si>
  <si>
    <t>THRL53</t>
  </si>
  <si>
    <t>X-TRAIL</t>
  </si>
  <si>
    <t>RZFD83</t>
  </si>
  <si>
    <t>PJLL48</t>
  </si>
  <si>
    <t>WR-V</t>
  </si>
  <si>
    <t>RSRB53</t>
  </si>
  <si>
    <t>THHH80</t>
  </si>
  <si>
    <t>KONECT</t>
  </si>
  <si>
    <t>PKWR15</t>
  </si>
  <si>
    <t>KWTK16</t>
  </si>
  <si>
    <t>SFXC31</t>
  </si>
  <si>
    <t>VIRTUS</t>
  </si>
  <si>
    <t>KSXR31</t>
  </si>
  <si>
    <t>NEW 6</t>
  </si>
  <si>
    <t>RDHC92</t>
  </si>
  <si>
    <t>RWWB99</t>
  </si>
  <si>
    <t>TBHZ76</t>
  </si>
  <si>
    <t>TBCS80</t>
  </si>
  <si>
    <t>RXRP13</t>
  </si>
  <si>
    <t>TRKT53</t>
  </si>
  <si>
    <t>TJLF40</t>
  </si>
  <si>
    <t>RXFK78</t>
  </si>
  <si>
    <t>SHCZ22</t>
  </si>
  <si>
    <t>NEW TOURING</t>
  </si>
  <si>
    <t>TDXK29</t>
  </si>
  <si>
    <t>LDBP72</t>
  </si>
  <si>
    <t>GRAND I10</t>
  </si>
  <si>
    <t>PHFT24</t>
  </si>
  <si>
    <t>KWGG82</t>
  </si>
  <si>
    <t>PLHG73</t>
  </si>
  <si>
    <t>KTBX64</t>
  </si>
  <si>
    <t>STTD67</t>
  </si>
  <si>
    <t>VERNA</t>
  </si>
  <si>
    <t>PFDT12</t>
  </si>
  <si>
    <t>LBVT55</t>
  </si>
  <si>
    <t>NP300</t>
  </si>
  <si>
    <t>PFZG29</t>
  </si>
  <si>
    <t>PTSC83</t>
  </si>
  <si>
    <t>RSTC57</t>
  </si>
  <si>
    <t>MONTANA</t>
  </si>
  <si>
    <t>SWCC50</t>
  </si>
  <si>
    <t>RJJX95</t>
  </si>
  <si>
    <t>TSGB56</t>
  </si>
  <si>
    <t>VBBB44</t>
  </si>
  <si>
    <t>TSGB69</t>
  </si>
  <si>
    <t>TYWT11</t>
  </si>
  <si>
    <t>LWBD48</t>
  </si>
  <si>
    <t>THRJ63</t>
  </si>
  <si>
    <t>NUEVO VERSA</t>
  </si>
  <si>
    <t>CX-3 ALL NEW</t>
  </si>
  <si>
    <t>LBGP40</t>
  </si>
  <si>
    <t>RVPY96</t>
  </si>
  <si>
    <t>CROSSTREK</t>
  </si>
  <si>
    <t>TCHZ58</t>
  </si>
  <si>
    <t>ALTO</t>
  </si>
  <si>
    <t>RLBY83</t>
  </si>
  <si>
    <t>PHFV52</t>
  </si>
  <si>
    <t>TPTX99</t>
  </si>
  <si>
    <t>TJDC14</t>
  </si>
  <si>
    <t>PRPV62</t>
  </si>
  <si>
    <t>TXYY64</t>
  </si>
  <si>
    <t>KDTY63</t>
  </si>
  <si>
    <t>SLWG75</t>
  </si>
  <si>
    <t>RPSZ84</t>
  </si>
  <si>
    <t>SLZF59</t>
  </si>
  <si>
    <t>SJKL95</t>
  </si>
  <si>
    <t>ESCAPE NEW</t>
  </si>
  <si>
    <t>TZHX69</t>
  </si>
  <si>
    <t>CERATO</t>
  </si>
  <si>
    <t>LTKC15</t>
  </si>
  <si>
    <t>RJCV74</t>
  </si>
  <si>
    <t>SGGL11</t>
  </si>
  <si>
    <t>VLDT34</t>
  </si>
  <si>
    <t>SKCG59</t>
  </si>
  <si>
    <t>PPGH36</t>
  </si>
  <si>
    <t>STBS91</t>
  </si>
  <si>
    <t>TCTT25</t>
  </si>
  <si>
    <t>VGPP98</t>
  </si>
  <si>
    <t>NEW SONG PLUS DM-I</t>
  </si>
  <si>
    <t>SWBW85</t>
  </si>
  <si>
    <t>TWBJ55</t>
  </si>
  <si>
    <t>NEW KICKS</t>
  </si>
  <si>
    <t>TFGP63</t>
  </si>
  <si>
    <t>GROOVE</t>
  </si>
  <si>
    <t>SDGF51</t>
  </si>
  <si>
    <t>DF6</t>
  </si>
  <si>
    <t>RGTS28</t>
  </si>
  <si>
    <t>WINGLE 5</t>
  </si>
  <si>
    <t>VDKW48</t>
  </si>
  <si>
    <t>IMPREZA NEW</t>
  </si>
  <si>
    <t>LDBL29</t>
  </si>
  <si>
    <t>PHGB52</t>
  </si>
  <si>
    <t>PZFP70</t>
  </si>
  <si>
    <t>RPWK10</t>
  </si>
  <si>
    <t>TPTW80</t>
  </si>
  <si>
    <t>PLCF93</t>
  </si>
  <si>
    <t>SFPB53</t>
  </si>
  <si>
    <t>SHDG57</t>
  </si>
  <si>
    <t>UNI-T</t>
  </si>
  <si>
    <t>TCHX81</t>
  </si>
  <si>
    <t>VCRR72</t>
  </si>
  <si>
    <t>SPZC45</t>
  </si>
  <si>
    <t>TRTY12</t>
  </si>
  <si>
    <t>TPGG14</t>
  </si>
  <si>
    <t>SDGD96</t>
  </si>
  <si>
    <t>MURANO</t>
  </si>
  <si>
    <t>YARIS CROSS</t>
  </si>
  <si>
    <t>SYRB26</t>
  </si>
  <si>
    <t>CRETA</t>
  </si>
  <si>
    <t>JDZT75</t>
  </si>
  <si>
    <t>KZWF48</t>
  </si>
  <si>
    <t>PRHK88</t>
  </si>
  <si>
    <t>NUEVA TERRITORY</t>
  </si>
  <si>
    <t>TJLD76</t>
  </si>
  <si>
    <t>PLCH21</t>
  </si>
  <si>
    <t>DS</t>
  </si>
  <si>
    <t>DS4</t>
  </si>
  <si>
    <t>SKRH64</t>
  </si>
  <si>
    <t>SYXT72</t>
  </si>
  <si>
    <t>RJCV82</t>
  </si>
  <si>
    <t>LRWC56</t>
  </si>
  <si>
    <t>STBP77</t>
  </si>
  <si>
    <t>TFGR79</t>
  </si>
  <si>
    <t>MONTERO SPORT</t>
  </si>
  <si>
    <t>RVPX59</t>
  </si>
  <si>
    <t>ALL-NEW CX-30</t>
  </si>
  <si>
    <t>TJSH77</t>
  </si>
  <si>
    <t>ALL NEW IMPREZA</t>
  </si>
  <si>
    <t>TPZZ30</t>
  </si>
  <si>
    <t>SDKF63</t>
  </si>
  <si>
    <t>NEW CS35 PLUS</t>
  </si>
  <si>
    <t>PYRY64</t>
  </si>
  <si>
    <t>VPGH99</t>
  </si>
  <si>
    <t>PTWP35</t>
  </si>
  <si>
    <t>LZJB76</t>
  </si>
  <si>
    <t>JETOUR</t>
  </si>
  <si>
    <t>X70</t>
  </si>
  <si>
    <t>PKBF94</t>
  </si>
  <si>
    <t>RSYF62</t>
  </si>
  <si>
    <t>YUAN PRO</t>
  </si>
  <si>
    <t>VBRZ29</t>
  </si>
  <si>
    <t>SAIL</t>
  </si>
  <si>
    <t>RSSZ86</t>
  </si>
  <si>
    <t>C30</t>
  </si>
  <si>
    <t>SPIN ALL NEW</t>
  </si>
  <si>
    <t>NEW ESCAPE</t>
  </si>
  <si>
    <t>THXL40</t>
  </si>
  <si>
    <t>SHLW51</t>
  </si>
  <si>
    <t>SYDL98</t>
  </si>
  <si>
    <t>K3 CROSS</t>
  </si>
  <si>
    <t>SLRJ96</t>
  </si>
  <si>
    <t>LTWS17</t>
  </si>
  <si>
    <t>NUEVO SORENTO</t>
  </si>
  <si>
    <t>RYRK46</t>
  </si>
  <si>
    <t>CLIO</t>
  </si>
  <si>
    <t>STGY97</t>
  </si>
  <si>
    <t>C-ELYSEE NEW</t>
  </si>
  <si>
    <t>SCWW53</t>
  </si>
  <si>
    <t>RRWP43</t>
  </si>
  <si>
    <t>CX-5 NEW</t>
  </si>
  <si>
    <t>KWTK46</t>
  </si>
  <si>
    <t>VBWW64</t>
  </si>
  <si>
    <t>NEW CX-5</t>
  </si>
  <si>
    <t>TKCK90</t>
  </si>
  <si>
    <t>ALL NEW H6</t>
  </si>
  <si>
    <t>RGZW79</t>
  </si>
  <si>
    <t>DUSTER</t>
  </si>
  <si>
    <t>LJYH57</t>
  </si>
  <si>
    <t>TZHX24</t>
  </si>
  <si>
    <t>RBJH32</t>
  </si>
  <si>
    <t>JBJY58</t>
  </si>
  <si>
    <t>SHDG96</t>
  </si>
  <si>
    <t>TLRS16</t>
  </si>
  <si>
    <t>C4</t>
  </si>
  <si>
    <t>TPCS80</t>
  </si>
  <si>
    <t>FORESTER</t>
  </si>
  <si>
    <t>PRBC26</t>
  </si>
  <si>
    <t>TDYL53</t>
  </si>
  <si>
    <t>BRONCO SPORT</t>
  </si>
  <si>
    <t>SCWK90</t>
  </si>
  <si>
    <t>RKCL17</t>
  </si>
  <si>
    <t>RAV4</t>
  </si>
  <si>
    <t>SBWP31</t>
  </si>
  <si>
    <t>PXTL75</t>
  </si>
  <si>
    <t>SFLY43</t>
  </si>
  <si>
    <t>TFGS10</t>
  </si>
  <si>
    <t>VKBG85</t>
  </si>
  <si>
    <t>NEW ACCENT BN7I</t>
  </si>
  <si>
    <t>THHH59</t>
  </si>
  <si>
    <t>RZDS61</t>
  </si>
  <si>
    <t>PCFC19</t>
  </si>
  <si>
    <t>SJJJ55</t>
  </si>
  <si>
    <t>RKZT64</t>
  </si>
  <si>
    <t>PRISMA NEW</t>
  </si>
  <si>
    <t>LHCR49</t>
  </si>
  <si>
    <t>SHLK87</t>
  </si>
  <si>
    <t>TRJD34</t>
  </si>
  <si>
    <t>RDLJ81</t>
  </si>
  <si>
    <t>PFTG33</t>
  </si>
  <si>
    <t>TDWY73</t>
  </si>
  <si>
    <t>SXRG68</t>
  </si>
  <si>
    <t>ALL NEW EXPLORER</t>
  </si>
  <si>
    <t>RDTH77</t>
  </si>
  <si>
    <t>SPIN II</t>
  </si>
  <si>
    <t>PKJP42</t>
  </si>
  <si>
    <t>TSHF86</t>
  </si>
  <si>
    <t>TPJG25</t>
  </si>
  <si>
    <t>LDVV76</t>
  </si>
  <si>
    <t>SLWH20</t>
  </si>
  <si>
    <t>PFRX55</t>
  </si>
  <si>
    <t>PATHFINDER</t>
  </si>
  <si>
    <t>HLSR80</t>
  </si>
  <si>
    <t>H7</t>
  </si>
  <si>
    <t>LHSG89</t>
  </si>
  <si>
    <t>SYRB80</t>
  </si>
  <si>
    <t>NEW CAPTIVA</t>
  </si>
  <si>
    <t>LPRD27</t>
  </si>
  <si>
    <t>RZFB71</t>
  </si>
  <si>
    <t>ONIX NEW</t>
  </si>
  <si>
    <t>JZJT60</t>
  </si>
  <si>
    <t>PIK UP</t>
  </si>
  <si>
    <t>PHDR53</t>
  </si>
  <si>
    <t>COLORADO</t>
  </si>
  <si>
    <t>PBGF18</t>
  </si>
  <si>
    <t>ONIX SEDAN</t>
  </si>
  <si>
    <t>RVVP36</t>
  </si>
  <si>
    <t>RBCJ64</t>
  </si>
  <si>
    <t>NUEVO BALENO</t>
  </si>
  <si>
    <t>RTTV21</t>
  </si>
  <si>
    <t>NP300 NAVARA</t>
  </si>
  <si>
    <t>PJDY11</t>
  </si>
  <si>
    <t>ELANTRA</t>
  </si>
  <si>
    <t>LCCB22</t>
  </si>
  <si>
    <t>KWGH17</t>
  </si>
  <si>
    <t>SPARK II</t>
  </si>
  <si>
    <t>TPJG21</t>
  </si>
  <si>
    <t>KGPD62</t>
  </si>
  <si>
    <t>RZCJ90</t>
  </si>
  <si>
    <t>SPSZ95</t>
  </si>
  <si>
    <t>ALL NEW CARENS</t>
  </si>
  <si>
    <t>THDF10</t>
  </si>
  <si>
    <t>M4</t>
  </si>
  <si>
    <t>JSJR64</t>
  </si>
  <si>
    <t>TPTX47</t>
  </si>
  <si>
    <t>VITARA ALL NEW</t>
  </si>
  <si>
    <t>TSFY64</t>
  </si>
  <si>
    <t>TFRF27</t>
  </si>
  <si>
    <t>PRWS21</t>
  </si>
  <si>
    <t>TJDB64</t>
  </si>
  <si>
    <t>NEW GRAND VITARA</t>
  </si>
  <si>
    <t>TXZB23</t>
  </si>
  <si>
    <t>TRAILBLAZER</t>
  </si>
  <si>
    <t>SPCP47</t>
  </si>
  <si>
    <t>PHFW33</t>
  </si>
  <si>
    <t>VENUE</t>
  </si>
  <si>
    <t>TTVW54</t>
  </si>
  <si>
    <t>NEW CX-3</t>
  </si>
  <si>
    <t>PLTJ23</t>
  </si>
  <si>
    <t>LWLH37</t>
  </si>
  <si>
    <t>LHRX85</t>
  </si>
  <si>
    <t>RVZV91</t>
  </si>
  <si>
    <t>SPKX50</t>
  </si>
  <si>
    <t>SSSD88</t>
  </si>
  <si>
    <t>PCSG28</t>
  </si>
  <si>
    <t>VLYK65</t>
  </si>
  <si>
    <t>C4 CACTUS</t>
  </si>
  <si>
    <t>JGYF19</t>
  </si>
  <si>
    <t>LSFC62</t>
  </si>
  <si>
    <t>TRPY35</t>
  </si>
  <si>
    <t>GAC MOTOR</t>
  </si>
  <si>
    <t>NEW GS4 POWER</t>
  </si>
  <si>
    <t>RXCG18</t>
  </si>
  <si>
    <t>SXKJ99</t>
  </si>
  <si>
    <t>THRJ93</t>
  </si>
  <si>
    <t>SHINERAY</t>
  </si>
  <si>
    <t>G05</t>
  </si>
  <si>
    <t>TPTX33</t>
  </si>
  <si>
    <t>RPWK37</t>
  </si>
  <si>
    <t>CS55</t>
  </si>
  <si>
    <t>RKZT72</t>
  </si>
  <si>
    <t>THCW10</t>
  </si>
  <si>
    <t>NUEVA F-150</t>
  </si>
  <si>
    <t>JFVW82</t>
  </si>
  <si>
    <t>SFSB83</t>
  </si>
  <si>
    <t>RZFB83</t>
  </si>
  <si>
    <t>GS3</t>
  </si>
  <si>
    <t>TLRS59</t>
  </si>
  <si>
    <t>NEW BORA</t>
  </si>
  <si>
    <t>JRBC33</t>
  </si>
  <si>
    <t>RWWB39</t>
  </si>
  <si>
    <t>RKRZ84</t>
  </si>
  <si>
    <t>PTDH60</t>
  </si>
  <si>
    <t>TBCS20</t>
  </si>
  <si>
    <t>RFBV32</t>
  </si>
  <si>
    <t>SSTS10</t>
  </si>
  <si>
    <t>EDGE ALL NEW</t>
  </si>
  <si>
    <t>KHPG62</t>
  </si>
  <si>
    <t>TJDB33</t>
  </si>
  <si>
    <t>GOLF</t>
  </si>
  <si>
    <t>JDLY83</t>
  </si>
  <si>
    <t>ALL NEW HILUX</t>
  </si>
  <si>
    <t>RLDC63</t>
  </si>
  <si>
    <t>RBBB73</t>
  </si>
  <si>
    <t>SZTL71</t>
  </si>
  <si>
    <t>LLBP69</t>
  </si>
  <si>
    <t>TFRF44</t>
  </si>
  <si>
    <t>NEW CS15</t>
  </si>
  <si>
    <t>SYPP30</t>
  </si>
  <si>
    <t>SFLY51</t>
  </si>
  <si>
    <t>KJYL72</t>
  </si>
  <si>
    <t>TJDC60</t>
  </si>
  <si>
    <t>JIM</t>
  </si>
  <si>
    <t>RE-MAX</t>
  </si>
  <si>
    <t>NEW BRONCO SPORT</t>
  </si>
  <si>
    <t>TRACKER II</t>
  </si>
  <si>
    <t>RCSB28</t>
  </si>
  <si>
    <t>SXVB39</t>
  </si>
  <si>
    <t>SHDG33</t>
  </si>
  <si>
    <t>TYWT10</t>
  </si>
  <si>
    <t>VCTY82</t>
  </si>
  <si>
    <t>KOLEOS</t>
  </si>
  <si>
    <t>JTPB11</t>
  </si>
  <si>
    <t>VDBP66</t>
  </si>
  <si>
    <t>KDSV31</t>
  </si>
  <si>
    <t>RHBJ25</t>
  </si>
  <si>
    <t>NUEVO CELERIO</t>
  </si>
  <si>
    <t>SYDS55</t>
  </si>
  <si>
    <t>SLRJ79</t>
  </si>
  <si>
    <t>PSSP80</t>
  </si>
  <si>
    <t>PGPP16</t>
  </si>
  <si>
    <t>SKCS53</t>
  </si>
  <si>
    <t>SHLW80</t>
  </si>
  <si>
    <t>SVGP46</t>
  </si>
  <si>
    <t>TBSR39</t>
  </si>
  <si>
    <t>PHDR33</t>
  </si>
  <si>
    <t>RGZH88</t>
  </si>
  <si>
    <t>C3 AIRCROSS</t>
  </si>
  <si>
    <t>TGVH50</t>
  </si>
  <si>
    <t>VKDC37</t>
  </si>
  <si>
    <t>TCTT15</t>
  </si>
  <si>
    <t>MERCEDES BENZ</t>
  </si>
  <si>
    <t>GLA200</t>
  </si>
  <si>
    <t>JJYW63</t>
  </si>
  <si>
    <t>SHDF76</t>
  </si>
  <si>
    <t>NEW SANTA FE</t>
  </si>
  <si>
    <t>SBCJ16</t>
  </si>
  <si>
    <t>SYPS57</t>
  </si>
  <si>
    <t>SDGG70</t>
  </si>
  <si>
    <t>SLRJ76</t>
  </si>
  <si>
    <t>VX</t>
  </si>
  <si>
    <t>TSYX31</t>
  </si>
  <si>
    <t>PTSC74</t>
  </si>
  <si>
    <t>KJJL93</t>
  </si>
  <si>
    <t>SYPX68</t>
  </si>
  <si>
    <t>THRL69</t>
  </si>
  <si>
    <t>RDLK32</t>
  </si>
  <si>
    <t>SXYH83</t>
  </si>
  <si>
    <t>KJRJ19</t>
  </si>
  <si>
    <t>LBGS96</t>
  </si>
  <si>
    <t>VDBK20</t>
  </si>
  <si>
    <t>NEW CROSSLAND</t>
  </si>
  <si>
    <t>SYYR94</t>
  </si>
  <si>
    <t>GLA220</t>
  </si>
  <si>
    <t>KPKH15</t>
  </si>
  <si>
    <t>RKPP52</t>
  </si>
  <si>
    <t>RTLL67</t>
  </si>
  <si>
    <t>X1</t>
  </si>
  <si>
    <t>RYDS45</t>
  </si>
  <si>
    <t>RKRY11</t>
  </si>
  <si>
    <t>TYWS82</t>
  </si>
  <si>
    <t>TZHX25</t>
  </si>
  <si>
    <t>NUEVO ATLAS</t>
  </si>
  <si>
    <t>RGLW22</t>
  </si>
  <si>
    <t>JZGH73</t>
  </si>
  <si>
    <t>SYDS20</t>
  </si>
  <si>
    <t>PLTH82</t>
  </si>
  <si>
    <t>SVGP50</t>
  </si>
  <si>
    <t>SLZC82</t>
  </si>
  <si>
    <t>TJCZ90</t>
  </si>
  <si>
    <t>SXBP64</t>
  </si>
  <si>
    <t>PRISMA</t>
  </si>
  <si>
    <t>LRSH58</t>
  </si>
  <si>
    <t>TPJD46</t>
  </si>
  <si>
    <t>SJJG99</t>
  </si>
  <si>
    <t>LHRT11</t>
  </si>
  <si>
    <t>NEW CORSA</t>
  </si>
  <si>
    <t>RJPK87</t>
  </si>
  <si>
    <t>NEW EXPLORER</t>
  </si>
  <si>
    <t>VDBR77</t>
  </si>
  <si>
    <t>SCBX98</t>
  </si>
  <si>
    <t>TYWW58</t>
  </si>
  <si>
    <t>NEW GRAND I10</t>
  </si>
  <si>
    <t>VGPR69</t>
  </si>
  <si>
    <t>KRWG32</t>
  </si>
  <si>
    <t>RXRR75</t>
  </si>
  <si>
    <t>THDD33</t>
  </si>
  <si>
    <t>RZHT82</t>
  </si>
  <si>
    <t>RZJV42</t>
  </si>
  <si>
    <t>VLYK51</t>
  </si>
  <si>
    <t>NEW MUSSO</t>
  </si>
  <si>
    <t>RGDF37</t>
  </si>
  <si>
    <t>RLTC90</t>
  </si>
  <si>
    <t>FULWIN 2</t>
  </si>
  <si>
    <t>LSYG73</t>
  </si>
  <si>
    <t>PTLW50</t>
  </si>
  <si>
    <t>RTVT15</t>
  </si>
  <si>
    <t>SLTG11</t>
  </si>
  <si>
    <t>PKVB36</t>
  </si>
  <si>
    <t>TBCS27</t>
  </si>
  <si>
    <t>SSHY42</t>
  </si>
  <si>
    <t>LJYJ25</t>
  </si>
  <si>
    <t>PYDH71</t>
  </si>
  <si>
    <t>TXZC43</t>
  </si>
  <si>
    <t>SVGP51</t>
  </si>
  <si>
    <t>RZSJ50</t>
  </si>
  <si>
    <t>TUCSON</t>
  </si>
  <si>
    <t>RSCP60</t>
  </si>
  <si>
    <t>THCX42</t>
  </si>
  <si>
    <t>NEW X-TRAIL</t>
  </si>
  <si>
    <t>KLSC22</t>
  </si>
  <si>
    <t>RKGC85</t>
  </si>
  <si>
    <t>PLYT45</t>
  </si>
  <si>
    <t>DASHING</t>
  </si>
  <si>
    <t>TKGD55</t>
  </si>
  <si>
    <t>TIGGO 7 PRO MAX</t>
  </si>
  <si>
    <t>THCY96</t>
  </si>
  <si>
    <t>THRL80</t>
  </si>
  <si>
    <t>JZGL54</t>
  </si>
  <si>
    <t>PZHZ48</t>
  </si>
  <si>
    <t>TZHX13</t>
  </si>
  <si>
    <t>NEW CS55 PLUS</t>
  </si>
  <si>
    <t>TWBH76</t>
  </si>
  <si>
    <t>SJTS52</t>
  </si>
  <si>
    <t>TXZC80</t>
  </si>
  <si>
    <t>STBT49</t>
  </si>
  <si>
    <t>TRGC56</t>
  </si>
  <si>
    <t>NEW CRETA</t>
  </si>
  <si>
    <t>SFVB47</t>
  </si>
  <si>
    <t>VBRV71</t>
  </si>
  <si>
    <t>LJPG30</t>
  </si>
  <si>
    <t>VPPH72</t>
  </si>
  <si>
    <t>VBWY94</t>
  </si>
  <si>
    <t>PGPK20</t>
  </si>
  <si>
    <t>SDRZ63</t>
  </si>
  <si>
    <t>SVGW74</t>
  </si>
  <si>
    <t>THJL71</t>
  </si>
  <si>
    <t>SSSB58</t>
  </si>
  <si>
    <t>DEEPAL</t>
  </si>
  <si>
    <t>S05</t>
  </si>
  <si>
    <t>TRANSIT</t>
  </si>
  <si>
    <t>RPZK29</t>
  </si>
  <si>
    <t>SWIFT</t>
  </si>
  <si>
    <t>LHRX41</t>
  </si>
  <si>
    <t>HXRH48</t>
  </si>
  <si>
    <t>SHYL15</t>
  </si>
  <si>
    <t>K3</t>
  </si>
  <si>
    <t>PYDH22</t>
  </si>
  <si>
    <t>SRDZ65</t>
  </si>
  <si>
    <t>RGLL10</t>
  </si>
  <si>
    <t>SSVF58</t>
  </si>
  <si>
    <t>SXHX97</t>
  </si>
  <si>
    <t>CELERIO</t>
  </si>
  <si>
    <t>PRTJ14</t>
  </si>
  <si>
    <t>TFGS24</t>
  </si>
  <si>
    <t>SWCB50</t>
  </si>
  <si>
    <t>SYPV26</t>
  </si>
  <si>
    <t>RHFD30</t>
  </si>
  <si>
    <t>RWWC80</t>
  </si>
  <si>
    <t>SYDS11</t>
  </si>
  <si>
    <t>C-ELYSEE</t>
  </si>
  <si>
    <t>TRJG97</t>
  </si>
  <si>
    <t>TCSZ30</t>
  </si>
  <si>
    <t>LDGX98</t>
  </si>
  <si>
    <t>UNO</t>
  </si>
  <si>
    <t>JBJX51</t>
  </si>
  <si>
    <t>RPGL61</t>
  </si>
  <si>
    <t>PJRV93</t>
  </si>
  <si>
    <t>NEW SOUL</t>
  </si>
  <si>
    <t>JTHT79</t>
  </si>
  <si>
    <t>THRK12</t>
  </si>
  <si>
    <t>NEW REXTON</t>
  </si>
  <si>
    <t>SLWG40</t>
  </si>
  <si>
    <t>SLYZ83</t>
  </si>
  <si>
    <t>BOXER</t>
  </si>
  <si>
    <t>TRBC50</t>
  </si>
  <si>
    <t>HIMLA</t>
  </si>
  <si>
    <t>RGLL43</t>
  </si>
  <si>
    <t>TKHR38</t>
  </si>
  <si>
    <t>TSZB51</t>
  </si>
  <si>
    <t>C7</t>
  </si>
  <si>
    <t>TGVK92</t>
  </si>
  <si>
    <t>VKDD17</t>
  </si>
  <si>
    <t>VKDD18</t>
  </si>
  <si>
    <t>K60</t>
  </si>
  <si>
    <t>LSYF50</t>
  </si>
  <si>
    <t>BT-50</t>
  </si>
  <si>
    <t>PCDC45</t>
  </si>
  <si>
    <t>JSWH95</t>
  </si>
  <si>
    <t>PJDF35</t>
  </si>
  <si>
    <t>LWKP37</t>
  </si>
  <si>
    <t>RJRF93</t>
  </si>
  <si>
    <t>SJKL36</t>
  </si>
  <si>
    <t>TBCP81</t>
  </si>
  <si>
    <t>VBBB27</t>
  </si>
  <si>
    <t>PRGT75</t>
  </si>
  <si>
    <t>VBWW85</t>
  </si>
  <si>
    <t>KWGJ10</t>
  </si>
  <si>
    <t>KCBZ17</t>
  </si>
  <si>
    <t>SYDS70</t>
  </si>
  <si>
    <t>STWJ82</t>
  </si>
  <si>
    <t>TPTY22</t>
  </si>
  <si>
    <t>JS3</t>
  </si>
  <si>
    <t>SHLL51</t>
  </si>
  <si>
    <t>RRJP47</t>
  </si>
  <si>
    <t>GRAND CARNIVAL</t>
  </si>
  <si>
    <t>LRLX16</t>
  </si>
  <si>
    <t>PYRZ44</t>
  </si>
  <si>
    <t>PKJL49</t>
  </si>
  <si>
    <t>SPJD78</t>
  </si>
  <si>
    <t>NEW C3</t>
  </si>
  <si>
    <t>SPZB18</t>
  </si>
  <si>
    <t>STBS27</t>
  </si>
  <si>
    <t>PTDH94</t>
  </si>
  <si>
    <t>KJYJ46</t>
  </si>
  <si>
    <t>RTLW37</t>
  </si>
  <si>
    <t>RIO 5 NEW</t>
  </si>
  <si>
    <t>PRVL60</t>
  </si>
  <si>
    <t>RYRK11</t>
  </si>
  <si>
    <t>VHLJ32</t>
  </si>
  <si>
    <t>RTFZ14</t>
  </si>
  <si>
    <t>S-PRESSO</t>
  </si>
  <si>
    <t>LSXW99</t>
  </si>
  <si>
    <t>SXBP72</t>
  </si>
  <si>
    <t>SPSY87</t>
  </si>
  <si>
    <t>SJKL63</t>
  </si>
  <si>
    <t>A3</t>
  </si>
  <si>
    <t>LFWL87</t>
  </si>
  <si>
    <t>MAXUS</t>
  </si>
  <si>
    <t>T60</t>
  </si>
  <si>
    <t>RVFB22</t>
  </si>
  <si>
    <t>SPCT20</t>
  </si>
  <si>
    <t>RHBV18</t>
  </si>
  <si>
    <t>ALL NEW ESCAPE</t>
  </si>
  <si>
    <t>SWWV35</t>
  </si>
  <si>
    <t>HXRG88</t>
  </si>
  <si>
    <t>E53</t>
  </si>
  <si>
    <t>SVJD32</t>
  </si>
  <si>
    <t>EXPERT</t>
  </si>
  <si>
    <t>TLRS66</t>
  </si>
  <si>
    <t>THRJ61</t>
  </si>
  <si>
    <t>SKFR53</t>
  </si>
  <si>
    <t>TLWW71</t>
  </si>
  <si>
    <t>LTCP10</t>
  </si>
  <si>
    <t>RCVX18</t>
  </si>
  <si>
    <t>TXYY22</t>
  </si>
  <si>
    <t>SCPV56</t>
  </si>
  <si>
    <t>NEW F-150</t>
  </si>
  <si>
    <t>GDSZ70</t>
  </si>
  <si>
    <t>TBLW43</t>
  </si>
  <si>
    <t>SAIL NEW</t>
  </si>
  <si>
    <t>LKXV44</t>
  </si>
  <si>
    <t>RBFJ81</t>
  </si>
  <si>
    <t>THRH22</t>
  </si>
  <si>
    <t>CS35 PLUS</t>
  </si>
  <si>
    <t>SHBW19</t>
  </si>
  <si>
    <t>KYC</t>
  </si>
  <si>
    <t>GRAN MAMUT T3</t>
  </si>
  <si>
    <t>RPZC72</t>
  </si>
  <si>
    <t>D1</t>
  </si>
  <si>
    <t>PCRD60</t>
  </si>
  <si>
    <t>SYXT83</t>
  </si>
  <si>
    <t>TBCP50</t>
  </si>
  <si>
    <t>PJDY42</t>
  </si>
  <si>
    <t>TRJC54</t>
  </si>
  <si>
    <t>RTLH83</t>
  </si>
  <si>
    <t>JCRS51</t>
  </si>
  <si>
    <t>KTCR76</t>
  </si>
  <si>
    <t>STRADA NEW</t>
  </si>
  <si>
    <t>JZGH54</t>
  </si>
  <si>
    <t>SKCF65</t>
  </si>
  <si>
    <t>CERATO NEW</t>
  </si>
  <si>
    <t>LPXG64</t>
  </si>
  <si>
    <t>PSRL93</t>
  </si>
  <si>
    <t>TYWV85</t>
  </si>
  <si>
    <t>PHJF94</t>
  </si>
  <si>
    <t>RVDT18</t>
  </si>
  <si>
    <t>RCHV72</t>
  </si>
  <si>
    <t>LRSG94</t>
  </si>
  <si>
    <t>TRAVELLER</t>
  </si>
  <si>
    <t>THCX89</t>
  </si>
  <si>
    <t>TCGH73</t>
  </si>
  <si>
    <t>TSZC99</t>
  </si>
  <si>
    <t>VFSG81</t>
  </si>
  <si>
    <t>LRDD22</t>
  </si>
  <si>
    <t>TCHW98</t>
  </si>
  <si>
    <t>TRCP62</t>
  </si>
  <si>
    <t>SHLH59</t>
  </si>
  <si>
    <t>PJYR22</t>
  </si>
  <si>
    <t>SPSG81</t>
  </si>
  <si>
    <t>STJL86</t>
  </si>
  <si>
    <t>LJYH42</t>
  </si>
  <si>
    <t>TDYH97</t>
  </si>
  <si>
    <t>SSHX22</t>
  </si>
  <si>
    <t>RTTL15</t>
  </si>
  <si>
    <t>SLZG66</t>
  </si>
  <si>
    <t>SDKG92</t>
  </si>
  <si>
    <t>SVRP77</t>
  </si>
  <si>
    <t>PYDD41</t>
  </si>
  <si>
    <t>RWHL38</t>
  </si>
  <si>
    <t>NUEVO MORNING</t>
  </si>
  <si>
    <t>VDHX66</t>
  </si>
  <si>
    <t>RKGC26</t>
  </si>
  <si>
    <t>TRJF25</t>
  </si>
  <si>
    <t>RTFX69</t>
  </si>
  <si>
    <t>VCWV68</t>
  </si>
  <si>
    <t>JPPR16</t>
  </si>
  <si>
    <t>GFZH28</t>
  </si>
  <si>
    <t>RKYC75</t>
  </si>
  <si>
    <t>VITARA</t>
  </si>
  <si>
    <t>RTDZ27</t>
  </si>
  <si>
    <t>SFDX30</t>
  </si>
  <si>
    <t>NUEVA MAVERICK</t>
  </si>
  <si>
    <t>X25</t>
  </si>
  <si>
    <t>PRBD69</t>
  </si>
  <si>
    <t>SPARK GT</t>
  </si>
  <si>
    <t>KCLV99</t>
  </si>
  <si>
    <t>SLYZ86</t>
  </si>
  <si>
    <t>SEAT</t>
  </si>
  <si>
    <t>TARRACO</t>
  </si>
  <si>
    <t>PTPG93</t>
  </si>
  <si>
    <t>RVKC14</t>
  </si>
  <si>
    <t>RBCZ58</t>
  </si>
  <si>
    <t>TSZC68</t>
  </si>
  <si>
    <t>SHARK</t>
  </si>
  <si>
    <t>NEW VIGUS</t>
  </si>
  <si>
    <t>VBWV63</t>
  </si>
  <si>
    <t>SKYB85</t>
  </si>
  <si>
    <t>THHK26</t>
  </si>
  <si>
    <t>SHGL56</t>
  </si>
  <si>
    <t>PRZZ64</t>
  </si>
  <si>
    <t>TRJG75</t>
  </si>
  <si>
    <t>VDBS24</t>
  </si>
  <si>
    <t>TFBG23</t>
  </si>
  <si>
    <t>SFLY88</t>
  </si>
  <si>
    <t>TAHOE IV</t>
  </si>
  <si>
    <t>BERLINGO</t>
  </si>
  <si>
    <t>SFTZ13</t>
  </si>
  <si>
    <t>TBCP75</t>
  </si>
  <si>
    <t>PULSE</t>
  </si>
  <si>
    <t>SFTC97</t>
  </si>
  <si>
    <t>SSTR85</t>
  </si>
  <si>
    <t>LVXC80</t>
  </si>
  <si>
    <t>JGBY28</t>
  </si>
  <si>
    <t>SANTA FE</t>
  </si>
  <si>
    <t>SRWC79</t>
  </si>
  <si>
    <t>PHGP65</t>
  </si>
  <si>
    <t>RSJD40</t>
  </si>
  <si>
    <t>THXW66</t>
  </si>
  <si>
    <t>PPVZ83</t>
  </si>
  <si>
    <t>SHDG27</t>
  </si>
  <si>
    <t>PTSF11</t>
  </si>
  <si>
    <t>TDYJ99</t>
  </si>
  <si>
    <t>CARGO BOX</t>
  </si>
  <si>
    <t>RLSJ35</t>
  </si>
  <si>
    <t>VBWV72</t>
  </si>
  <si>
    <t>C200</t>
  </si>
  <si>
    <t>RZXX97</t>
  </si>
  <si>
    <t>RTLL17</t>
  </si>
  <si>
    <t>LDWX31</t>
  </si>
  <si>
    <t>JZJL81</t>
  </si>
  <si>
    <t>THE NEW TUCSON</t>
  </si>
  <si>
    <t>VGPP38</t>
  </si>
  <si>
    <t>PRHJ50</t>
  </si>
  <si>
    <t>TTVT84</t>
  </si>
  <si>
    <t>RKTZ93</t>
  </si>
  <si>
    <t>URVAN NV350</t>
  </si>
  <si>
    <t>STYG35</t>
  </si>
  <si>
    <t>S1</t>
  </si>
  <si>
    <t>LBGP78</t>
  </si>
  <si>
    <t>XPANDER</t>
  </si>
  <si>
    <t>TYWK95</t>
  </si>
  <si>
    <t>KXZG71</t>
  </si>
  <si>
    <t>S4</t>
  </si>
  <si>
    <t>KWXH36</t>
  </si>
  <si>
    <t>RVVS44</t>
  </si>
  <si>
    <t>THHK90</t>
  </si>
  <si>
    <t>JUMPY</t>
  </si>
  <si>
    <t>VCTR75</t>
  </si>
  <si>
    <t>KARRY</t>
  </si>
  <si>
    <t>Q52</t>
  </si>
  <si>
    <t>VLDD68</t>
  </si>
  <si>
    <t>TXYZ85</t>
  </si>
  <si>
    <t>PGYK23</t>
  </si>
  <si>
    <t>A500</t>
  </si>
  <si>
    <t>LLBW17</t>
  </si>
  <si>
    <t>JDKS67</t>
  </si>
  <si>
    <t>LZLX44</t>
  </si>
  <si>
    <t>NEW TIGUAN</t>
  </si>
  <si>
    <t>SPSH95</t>
  </si>
  <si>
    <t>SVRR15</t>
  </si>
  <si>
    <t>SVGL32</t>
  </si>
  <si>
    <t>JPZW89</t>
  </si>
  <si>
    <t>TJSH15</t>
  </si>
  <si>
    <t>PYDD39</t>
  </si>
  <si>
    <t>KRJC78</t>
  </si>
  <si>
    <t>JWCJ13</t>
  </si>
  <si>
    <t>LHRT41</t>
  </si>
  <si>
    <t>PYDG76</t>
  </si>
  <si>
    <t>SWZD53</t>
  </si>
  <si>
    <t>SRWK21</t>
  </si>
  <si>
    <t>VFSD54</t>
  </si>
  <si>
    <t>SLWH77</t>
  </si>
  <si>
    <t>SLWF57</t>
  </si>
  <si>
    <t>PZHZ65</t>
  </si>
  <si>
    <t>S2</t>
  </si>
  <si>
    <t>KZWJ20</t>
  </si>
  <si>
    <t>RPRV86</t>
  </si>
  <si>
    <t>EVOLTIS</t>
  </si>
  <si>
    <t>SVRS49</t>
  </si>
  <si>
    <t>SHLV48</t>
  </si>
  <si>
    <t>RWHK82</t>
  </si>
  <si>
    <t>SXBP61</t>
  </si>
  <si>
    <t>VKCY61</t>
  </si>
  <si>
    <t>TKTY11</t>
  </si>
  <si>
    <t>TYWK99</t>
  </si>
  <si>
    <t>TSHX83</t>
  </si>
  <si>
    <t>TIGGO 4 PRO MAX</t>
  </si>
  <si>
    <t>VLYL65</t>
  </si>
  <si>
    <t>JSWG91</t>
  </si>
  <si>
    <t>TCSZ91</t>
  </si>
  <si>
    <t>LBGW82</t>
  </si>
  <si>
    <t>RGGB50</t>
  </si>
  <si>
    <t>NEW 7</t>
  </si>
  <si>
    <t>LRWV23</t>
  </si>
  <si>
    <t>JXGC98</t>
  </si>
  <si>
    <t>SPZC74</t>
  </si>
  <si>
    <t>TDWZ10</t>
  </si>
  <si>
    <t>VDWJ65</t>
  </si>
  <si>
    <t>COMPASS ALL NEW</t>
  </si>
  <si>
    <t>KSRT45</t>
  </si>
  <si>
    <t>VGPS80</t>
  </si>
  <si>
    <t>Q3</t>
  </si>
  <si>
    <t>KJFK40</t>
  </si>
  <si>
    <t>RFVG69</t>
  </si>
  <si>
    <t>SKKX77</t>
  </si>
  <si>
    <t>KTBZ55</t>
  </si>
  <si>
    <t>GEELY</t>
  </si>
  <si>
    <t>X7 SPORT</t>
  </si>
  <si>
    <t>LJYR22</t>
  </si>
  <si>
    <t>TPZZ65</t>
  </si>
  <si>
    <t>OUTBACK ALL NEW</t>
  </si>
  <si>
    <t>LHSB57</t>
  </si>
  <si>
    <t>TJYP37</t>
  </si>
  <si>
    <t>TPTZ13</t>
  </si>
  <si>
    <t>RJHB61</t>
  </si>
  <si>
    <t>TBZL85</t>
  </si>
  <si>
    <t>LSPW66</t>
  </si>
  <si>
    <t>VOYAGE</t>
  </si>
  <si>
    <t>SDGC62</t>
  </si>
  <si>
    <t>TJSJ59</t>
  </si>
  <si>
    <t>128 TI</t>
  </si>
  <si>
    <t>SJGF96</t>
  </si>
  <si>
    <t>SRHV28</t>
  </si>
  <si>
    <t>VPRV96</t>
  </si>
  <si>
    <t>ALL NEW 3</t>
  </si>
  <si>
    <t>PRKJ51</t>
  </si>
  <si>
    <t>PSJJ44</t>
  </si>
  <si>
    <t>LPXF70</t>
  </si>
  <si>
    <t>PYPH99</t>
  </si>
  <si>
    <t>RGHD79</t>
  </si>
  <si>
    <t>TRTW44</t>
  </si>
  <si>
    <t>RHCL46</t>
  </si>
  <si>
    <t>SYXR96</t>
  </si>
  <si>
    <t>CX-9</t>
  </si>
  <si>
    <t>PXXH98</t>
  </si>
  <si>
    <t>T-CROSS</t>
  </si>
  <si>
    <t>PDYV81</t>
  </si>
  <si>
    <t>LDVX33</t>
  </si>
  <si>
    <t>ATECA</t>
  </si>
  <si>
    <t>VGPP47</t>
  </si>
  <si>
    <t>KWVS75</t>
  </si>
  <si>
    <t>THRH70</t>
  </si>
  <si>
    <t>DUSTER NEW</t>
  </si>
  <si>
    <t>LFXS65</t>
  </si>
  <si>
    <t>BASALT</t>
  </si>
  <si>
    <t>TUCSON NEW</t>
  </si>
  <si>
    <t>LJYR67</t>
  </si>
  <si>
    <t>TFGL15</t>
  </si>
  <si>
    <t>JYBF82</t>
  </si>
  <si>
    <t>RZFB63</t>
  </si>
  <si>
    <t>JVTH46</t>
  </si>
  <si>
    <t>SLWF86</t>
  </si>
  <si>
    <t>RCVV79</t>
  </si>
  <si>
    <t>TRCT82</t>
  </si>
  <si>
    <t>TSKS18</t>
  </si>
  <si>
    <t>VKJC25</t>
  </si>
  <si>
    <t>ALSVIN</t>
  </si>
  <si>
    <t>TDYF77</t>
  </si>
  <si>
    <t>TYWJ47</t>
  </si>
  <si>
    <t>TSZC51</t>
  </si>
  <si>
    <t>PZVV69</t>
  </si>
  <si>
    <t>RTLX80</t>
  </si>
  <si>
    <t>KSKL57</t>
  </si>
  <si>
    <t>RVTC48</t>
  </si>
  <si>
    <t>CORSA</t>
  </si>
  <si>
    <t>F-150 RAPTOR</t>
  </si>
  <si>
    <t>SWTP65</t>
  </si>
  <si>
    <t>RSXZ97</t>
  </si>
  <si>
    <t>KTZH78</t>
  </si>
  <si>
    <t>TDWY69</t>
  </si>
  <si>
    <t>LFHB24</t>
  </si>
  <si>
    <t>VKCY68</t>
  </si>
  <si>
    <t>KLSD97</t>
  </si>
  <si>
    <t>NEW ASX</t>
  </si>
  <si>
    <t>TPBZ28</t>
  </si>
  <si>
    <t>RCPW86</t>
  </si>
  <si>
    <t>NEW HUNTER</t>
  </si>
  <si>
    <t>SSXP58</t>
  </si>
  <si>
    <t>RGCD77</t>
  </si>
  <si>
    <t>RZJK59</t>
  </si>
  <si>
    <t>RWWC21</t>
  </si>
  <si>
    <t>SJVS68</t>
  </si>
  <si>
    <t>VGWR54</t>
  </si>
  <si>
    <t>PTKC17</t>
  </si>
  <si>
    <t>RKFZ12</t>
  </si>
  <si>
    <t>PPJR55</t>
  </si>
  <si>
    <t>THXR45</t>
  </si>
  <si>
    <t>RPTS37</t>
  </si>
  <si>
    <t>TJDB94</t>
  </si>
  <si>
    <t>RRXL13</t>
  </si>
  <si>
    <t>SKCG57</t>
  </si>
  <si>
    <t>LJYR53</t>
  </si>
  <si>
    <t>SFYT93</t>
  </si>
  <si>
    <t>RLJS84</t>
  </si>
  <si>
    <t>PJHZ33</t>
  </si>
  <si>
    <t>VJTS39</t>
  </si>
  <si>
    <t>NEW RAV4</t>
  </si>
  <si>
    <t>RVYS59</t>
  </si>
  <si>
    <t>LWZK33</t>
  </si>
  <si>
    <t>KPGL30</t>
  </si>
  <si>
    <t>SYRD35</t>
  </si>
  <si>
    <t>SVBT45</t>
  </si>
  <si>
    <t>FOCUS</t>
  </si>
  <si>
    <t>JXRV76</t>
  </si>
  <si>
    <t>GT</t>
  </si>
  <si>
    <t>TSHW70</t>
  </si>
  <si>
    <t>THXP15</t>
  </si>
  <si>
    <t>TRJD84</t>
  </si>
  <si>
    <t>TLRK97</t>
  </si>
  <si>
    <t>PDBT14</t>
  </si>
  <si>
    <t>SVGK97</t>
  </si>
  <si>
    <t>E-JS1</t>
  </si>
  <si>
    <t>TLRP12</t>
  </si>
  <si>
    <t>SHBY82</t>
  </si>
  <si>
    <t>KJYK37</t>
  </si>
  <si>
    <t>VLYR99</t>
  </si>
  <si>
    <t>LBVW13</t>
  </si>
  <si>
    <t>RVTP39</t>
  </si>
  <si>
    <t>PRVG99</t>
  </si>
  <si>
    <t>TRJC23</t>
  </si>
  <si>
    <t>TJLF37</t>
  </si>
  <si>
    <t>RXBH25</t>
  </si>
  <si>
    <t>VGWT15</t>
  </si>
  <si>
    <t>EMKOO</t>
  </si>
  <si>
    <t>TSSF23</t>
  </si>
  <si>
    <t>TSPD45</t>
  </si>
  <si>
    <t>TJSJ26</t>
  </si>
  <si>
    <t>HRTJ88</t>
  </si>
  <si>
    <t>VDWK35</t>
  </si>
  <si>
    <t>VDBS30</t>
  </si>
  <si>
    <t>STYY42</t>
  </si>
  <si>
    <t>TFVH90</t>
  </si>
  <si>
    <t>KFWT37</t>
  </si>
  <si>
    <t>RZJJ46</t>
  </si>
  <si>
    <t>TJSH80</t>
  </si>
  <si>
    <t>JPPC50</t>
  </si>
  <si>
    <t>LYTL13</t>
  </si>
  <si>
    <t>SKCG76</t>
  </si>
  <si>
    <t>RSYD91</t>
  </si>
  <si>
    <t>RBCT28</t>
  </si>
  <si>
    <t>SVRS85</t>
  </si>
  <si>
    <t>RYRK31</t>
  </si>
  <si>
    <t>STBT23</t>
  </si>
  <si>
    <t>ARKANA</t>
  </si>
  <si>
    <t>SKLK51</t>
  </si>
  <si>
    <t>RJHD44</t>
  </si>
  <si>
    <t>SBWK38</t>
  </si>
  <si>
    <t>SYXT85</t>
  </si>
  <si>
    <t>TRTY28</t>
  </si>
  <si>
    <t>SRJB73</t>
  </si>
  <si>
    <t>DZIRE</t>
  </si>
  <si>
    <t>SLWF66</t>
  </si>
  <si>
    <t>VDHZ40</t>
  </si>
  <si>
    <t>LPDW72</t>
  </si>
  <si>
    <t>TSHJ91</t>
  </si>
  <si>
    <t>THHJ33</t>
  </si>
  <si>
    <t>RLZH14</t>
  </si>
  <si>
    <t>SSCF73</t>
  </si>
  <si>
    <t>RBSS14</t>
  </si>
  <si>
    <t>TBCV27</t>
  </si>
  <si>
    <t>SZTL44</t>
  </si>
  <si>
    <t>KZLZ61</t>
  </si>
  <si>
    <t>ALL NEW KONA</t>
  </si>
  <si>
    <t>TVPF15</t>
  </si>
  <si>
    <t>TJSH22</t>
  </si>
  <si>
    <t>SSSK55</t>
  </si>
  <si>
    <t>SPSZ86</t>
  </si>
  <si>
    <t>TDYH86</t>
  </si>
  <si>
    <t>PHFZ47</t>
  </si>
  <si>
    <t>SDGG34</t>
  </si>
  <si>
    <t>LZHZ73</t>
  </si>
  <si>
    <t>HKVW26</t>
  </si>
  <si>
    <t>GOL</t>
  </si>
  <si>
    <t>LDBD18</t>
  </si>
  <si>
    <t>LVWT64</t>
  </si>
  <si>
    <t>RZFB92</t>
  </si>
  <si>
    <t>SJJH11</t>
  </si>
  <si>
    <t>TJDF52</t>
  </si>
  <si>
    <t>TAOS</t>
  </si>
  <si>
    <t>TSYY76</t>
  </si>
  <si>
    <t>PLCG49</t>
  </si>
  <si>
    <t>PFCV36</t>
  </si>
  <si>
    <t>PTVL45</t>
  </si>
  <si>
    <t>TTVX64</t>
  </si>
  <si>
    <t>SYDS68</t>
  </si>
  <si>
    <t>FORESTER ALL NEW</t>
  </si>
  <si>
    <t>TBGT12</t>
  </si>
  <si>
    <t>SPTC41</t>
  </si>
  <si>
    <t>LPKG70</t>
  </si>
  <si>
    <t>TRHD83</t>
  </si>
  <si>
    <t>VHGB47</t>
  </si>
  <si>
    <t>JSWD14</t>
  </si>
  <si>
    <t>VKCY35</t>
  </si>
  <si>
    <t>PJRC48</t>
  </si>
  <si>
    <t>SVRR50</t>
  </si>
  <si>
    <t>YARIS ALL NEW</t>
  </si>
  <si>
    <t>KWXL74</t>
  </si>
  <si>
    <t>TZTB34</t>
  </si>
  <si>
    <t>RGLL51</t>
  </si>
  <si>
    <t>ALL NEW RAV4</t>
  </si>
  <si>
    <t>JPZB56</t>
  </si>
  <si>
    <t>VBBD31</t>
  </si>
  <si>
    <t>VHGG51</t>
  </si>
  <si>
    <t>VKCY69</t>
  </si>
  <si>
    <t>ALL NEW FORESTER</t>
  </si>
  <si>
    <t>TGVC32</t>
  </si>
  <si>
    <t>SKSZ53</t>
  </si>
  <si>
    <t>TFRD69</t>
  </si>
  <si>
    <t>LJYS48</t>
  </si>
  <si>
    <t>TXYV73</t>
  </si>
  <si>
    <t>VBBD25</t>
  </si>
  <si>
    <t>VBBD49</t>
  </si>
  <si>
    <t>TJLF16</t>
  </si>
  <si>
    <t>VFTJ38</t>
  </si>
  <si>
    <t>SBWK92</t>
  </si>
  <si>
    <t>COROLLA</t>
  </si>
  <si>
    <t>SKSY42</t>
  </si>
  <si>
    <t>TSGB47</t>
  </si>
  <si>
    <t>VBBD39</t>
  </si>
  <si>
    <t>FVDF38</t>
  </si>
  <si>
    <t>TDXB48</t>
  </si>
  <si>
    <t>JZGH53</t>
  </si>
  <si>
    <t>LDCV49</t>
  </si>
  <si>
    <t>TYWJ45</t>
  </si>
  <si>
    <t>NEW EXPERT</t>
  </si>
  <si>
    <t>VJTV94</t>
  </si>
  <si>
    <t>TPTW71</t>
  </si>
  <si>
    <t>TBCS70</t>
  </si>
  <si>
    <t>TSSB69</t>
  </si>
  <si>
    <t>SHLH64</t>
  </si>
  <si>
    <t>TDRP72</t>
  </si>
  <si>
    <t>THXR67</t>
  </si>
  <si>
    <t>RDVP83</t>
  </si>
  <si>
    <t>VGPL88</t>
  </si>
  <si>
    <t>TJLD73</t>
  </si>
  <si>
    <t>HUNTER</t>
  </si>
  <si>
    <t>LYSS82</t>
  </si>
  <si>
    <t>NUEVA COMBO</t>
  </si>
  <si>
    <t>TZHX27</t>
  </si>
  <si>
    <t>PFRP34</t>
  </si>
  <si>
    <t>RBLD20</t>
  </si>
  <si>
    <t>LYSS10</t>
  </si>
  <si>
    <t>PBPC27</t>
  </si>
  <si>
    <t>LLBT94</t>
  </si>
  <si>
    <t>SSSK58</t>
  </si>
  <si>
    <t>TDXC10</t>
  </si>
  <si>
    <t>VGWP72</t>
  </si>
  <si>
    <t>TVDJ39</t>
  </si>
  <si>
    <t>TBCS29</t>
  </si>
  <si>
    <t>LYPD47</t>
  </si>
  <si>
    <t>VBRX73</t>
  </si>
  <si>
    <t>RWJF61</t>
  </si>
  <si>
    <t>SHLW90</t>
  </si>
  <si>
    <t>JZJS18</t>
  </si>
  <si>
    <t>RKFZ66</t>
  </si>
  <si>
    <t>TVXD60</t>
  </si>
  <si>
    <t>RFVX78</t>
  </si>
  <si>
    <t>PDPZ57</t>
  </si>
  <si>
    <t>VBBD50</t>
  </si>
  <si>
    <t>SLZF65</t>
  </si>
  <si>
    <t>VCRR50</t>
  </si>
  <si>
    <t>PYDF59</t>
  </si>
  <si>
    <t>VKBG48</t>
  </si>
  <si>
    <t>NUEVA EXPEDITION</t>
  </si>
  <si>
    <t>VKCZ35</t>
  </si>
  <si>
    <t>TKTY67</t>
  </si>
  <si>
    <t>KCBP82</t>
  </si>
  <si>
    <t>PRHK23</t>
  </si>
  <si>
    <t>LRWC24</t>
  </si>
  <si>
    <t>RZFB61</t>
  </si>
  <si>
    <t>RTRL12</t>
  </si>
  <si>
    <t>EXPEDITION NEW</t>
  </si>
  <si>
    <t>LHCV29</t>
  </si>
  <si>
    <t>VBBB58</t>
  </si>
  <si>
    <t>TRTX13</t>
  </si>
  <si>
    <t>SSKY46</t>
  </si>
  <si>
    <t>TTCL96</t>
  </si>
  <si>
    <t>RSSY79</t>
  </si>
  <si>
    <t>FRONX</t>
  </si>
  <si>
    <t>SJJJ33</t>
  </si>
  <si>
    <t>RZCH97</t>
  </si>
  <si>
    <t>COOLRAY</t>
  </si>
  <si>
    <t>VJTS53</t>
  </si>
  <si>
    <t>SWZL74</t>
  </si>
  <si>
    <t>VKHG28</t>
  </si>
  <si>
    <t>TBCP54</t>
  </si>
  <si>
    <t>TBDF52</t>
  </si>
  <si>
    <t>TRJD39</t>
  </si>
  <si>
    <t>NUEVA OROCH</t>
  </si>
  <si>
    <t>STBT31</t>
  </si>
  <si>
    <t>RTFC54</t>
  </si>
  <si>
    <t>SSTT15</t>
  </si>
  <si>
    <t>TIGUAN</t>
  </si>
  <si>
    <t>LXDY17</t>
  </si>
  <si>
    <t>VKCY38</t>
  </si>
  <si>
    <t>PGBJ60</t>
  </si>
  <si>
    <t>VKCY44</t>
  </si>
  <si>
    <t>RCBK21</t>
  </si>
  <si>
    <t>SRFF33</t>
  </si>
  <si>
    <t>SKKG52</t>
  </si>
  <si>
    <t>SPGJ86</t>
  </si>
  <si>
    <t>NEW COROLLA CROSS</t>
  </si>
  <si>
    <t>PKVW62</t>
  </si>
  <si>
    <t>RBJH41</t>
  </si>
  <si>
    <t>TKTZ27</t>
  </si>
  <si>
    <t>VDBR24</t>
  </si>
  <si>
    <t>RSKV78</t>
  </si>
  <si>
    <t>SYDK29</t>
  </si>
  <si>
    <t>SBWP15</t>
  </si>
  <si>
    <t>SSVX14</t>
  </si>
  <si>
    <t>NEW T8 PRO</t>
  </si>
  <si>
    <t>TZHS85</t>
  </si>
  <si>
    <t>WRX</t>
  </si>
  <si>
    <t>TRTX91</t>
  </si>
  <si>
    <t>STBS36</t>
  </si>
  <si>
    <t>TJSH21</t>
  </si>
  <si>
    <t>SVRL16</t>
  </si>
  <si>
    <t>TYWT12</t>
  </si>
  <si>
    <t>VBBD47</t>
  </si>
  <si>
    <t>SCHJ82</t>
  </si>
  <si>
    <t>RZJH66</t>
  </si>
  <si>
    <t>VKCY36</t>
  </si>
  <si>
    <t>SXCC90</t>
  </si>
  <si>
    <t>TSZD25</t>
  </si>
  <si>
    <t>RSSY83</t>
  </si>
  <si>
    <t>VBBD27</t>
  </si>
  <si>
    <t>RJXH75</t>
  </si>
  <si>
    <t>TDYJ31</t>
  </si>
  <si>
    <t>KJYF55</t>
  </si>
  <si>
    <t>PHZH10</t>
  </si>
  <si>
    <t>RFKV24</t>
  </si>
  <si>
    <t>VGWR39</t>
  </si>
  <si>
    <t>TGVD36</t>
  </si>
  <si>
    <t>TBDF17</t>
  </si>
  <si>
    <t>TKTZ11</t>
  </si>
  <si>
    <t>TZHX28</t>
  </si>
  <si>
    <t>TYWT20</t>
  </si>
  <si>
    <t>RJZJ57</t>
  </si>
  <si>
    <t>VGWP78</t>
  </si>
  <si>
    <t>TSYY23</t>
  </si>
  <si>
    <t>LYLX11</t>
  </si>
  <si>
    <t>TYWS76</t>
  </si>
  <si>
    <t>SLWF54</t>
  </si>
  <si>
    <t>GLC220</t>
  </si>
  <si>
    <t>TVPF11</t>
  </si>
  <si>
    <t>KWXY97</t>
  </si>
  <si>
    <t>Q22</t>
  </si>
  <si>
    <t>SRZH20</t>
  </si>
  <si>
    <t>KRWK47</t>
  </si>
  <si>
    <t>TPZZ11</t>
  </si>
  <si>
    <t>HILUX ALL NEW</t>
  </si>
  <si>
    <t>KGLS13</t>
  </si>
  <si>
    <t>TLRR66</t>
  </si>
  <si>
    <t>TPJD69</t>
  </si>
  <si>
    <t>SZSC97</t>
  </si>
  <si>
    <t>TRBK26</t>
  </si>
  <si>
    <t>SVGJ66</t>
  </si>
  <si>
    <t>RVKH47</t>
  </si>
  <si>
    <t>LLBT34</t>
  </si>
  <si>
    <t>KFCD56</t>
  </si>
  <si>
    <t>RCBL73</t>
  </si>
  <si>
    <t>RWTF74</t>
  </si>
  <si>
    <t>TJSJ40</t>
  </si>
  <si>
    <t>LKXS93</t>
  </si>
  <si>
    <t>T6</t>
  </si>
  <si>
    <t>RVYL44</t>
  </si>
  <si>
    <t>ASX</t>
  </si>
  <si>
    <t>SDKF42</t>
  </si>
  <si>
    <t>SKCF75</t>
  </si>
  <si>
    <t>HZPF70</t>
  </si>
  <si>
    <t>RSTB84</t>
  </si>
  <si>
    <t>LLBS15</t>
  </si>
  <si>
    <t>SSVZ97</t>
  </si>
  <si>
    <t>SLSR95</t>
  </si>
  <si>
    <t>RPJB39</t>
  </si>
  <si>
    <t>LDBK71</t>
  </si>
  <si>
    <t>PTLW51</t>
  </si>
  <si>
    <t>LVTG59</t>
  </si>
  <si>
    <t>NEW 5</t>
  </si>
  <si>
    <t>RTLH97</t>
  </si>
  <si>
    <t>STBS66</t>
  </si>
  <si>
    <t>VPGG74</t>
  </si>
  <si>
    <t>TDWZ97</t>
  </si>
  <si>
    <t>RXRT90</t>
  </si>
  <si>
    <t>VBWW27</t>
  </si>
  <si>
    <t>TDYJ29</t>
  </si>
  <si>
    <t>SILVERADO NEW</t>
  </si>
  <si>
    <t>LCVY61</t>
  </si>
  <si>
    <t>PKDZ45</t>
  </si>
  <si>
    <t>VBWV94</t>
  </si>
  <si>
    <t>FIESTA</t>
  </si>
  <si>
    <t>JSWP87</t>
  </si>
  <si>
    <t>SRZG84</t>
  </si>
  <si>
    <t>TRTY31</t>
  </si>
  <si>
    <t>TSSC69</t>
  </si>
  <si>
    <t>SPZD28</t>
  </si>
  <si>
    <t>JXCV77</t>
  </si>
  <si>
    <t>TZHT42</t>
  </si>
  <si>
    <t>RPLG85</t>
  </si>
  <si>
    <t>RZCK43</t>
  </si>
  <si>
    <t>SVJR78</t>
  </si>
  <si>
    <t>TDXC58</t>
  </si>
  <si>
    <t>VJTS45</t>
  </si>
  <si>
    <t>RJBY54</t>
  </si>
  <si>
    <t>NEW UNO</t>
  </si>
  <si>
    <t>JDKD28</t>
  </si>
  <si>
    <t>JXDK27</t>
  </si>
  <si>
    <t>SCYT79</t>
  </si>
  <si>
    <t>KVWG55</t>
  </si>
  <si>
    <t>VSWS69</t>
  </si>
  <si>
    <t>RWSD83</t>
  </si>
  <si>
    <t>TTYT95</t>
  </si>
  <si>
    <t>SRHY29</t>
  </si>
  <si>
    <t>WINGLE 7</t>
  </si>
  <si>
    <t>SSGX53</t>
  </si>
  <si>
    <t>TFHR18</t>
  </si>
  <si>
    <t>TVPF40</t>
  </si>
  <si>
    <t>TRWT58</t>
  </si>
  <si>
    <t>TSYX23</t>
  </si>
  <si>
    <t>MAVERICK</t>
  </si>
  <si>
    <t>TTVV23</t>
  </si>
  <si>
    <t>TKHL37</t>
  </si>
  <si>
    <t>TSYZ74</t>
  </si>
  <si>
    <t>MUSSO</t>
  </si>
  <si>
    <t>LVWT58</t>
  </si>
  <si>
    <t>SPSY55</t>
  </si>
  <si>
    <t>TSSB24</t>
  </si>
  <si>
    <t>VKDD71</t>
  </si>
  <si>
    <t>THRJ32</t>
  </si>
  <si>
    <t>FASTBACK</t>
  </si>
  <si>
    <t>TDXD49</t>
  </si>
  <si>
    <t>RVVP60</t>
  </si>
  <si>
    <t>RWJJ98</t>
  </si>
  <si>
    <t>LWKP67</t>
  </si>
  <si>
    <t>TRBD44</t>
  </si>
  <si>
    <t>RFKV76</t>
  </si>
  <si>
    <t>PFRL78</t>
  </si>
  <si>
    <t>SGDR14</t>
  </si>
  <si>
    <t>SSSB96</t>
  </si>
  <si>
    <t>RJXD74</t>
  </si>
  <si>
    <t>RPFJ16</t>
  </si>
  <si>
    <t>SGCX88</t>
  </si>
  <si>
    <t>LSDT58</t>
  </si>
  <si>
    <t>SJPR10</t>
  </si>
  <si>
    <t>NIVUS</t>
  </si>
  <si>
    <t>SXYD94</t>
  </si>
  <si>
    <t>TLRS95</t>
  </si>
  <si>
    <t>TRJC22</t>
  </si>
  <si>
    <t>TKHL96</t>
  </si>
  <si>
    <t>TFFB86</t>
  </si>
  <si>
    <t>PCSY81</t>
  </si>
  <si>
    <t>LDVR13</t>
  </si>
  <si>
    <t>TLWP91</t>
  </si>
  <si>
    <t>SYPV94</t>
  </si>
  <si>
    <t>RFJK83</t>
  </si>
  <si>
    <t>TJSK25</t>
  </si>
  <si>
    <t>RLFY13</t>
  </si>
  <si>
    <t>VDBL62</t>
  </si>
  <si>
    <t>PYFS85</t>
  </si>
  <si>
    <t>TLRD44</t>
  </si>
  <si>
    <t>PTKB74</t>
  </si>
  <si>
    <t>RXPZ81</t>
  </si>
  <si>
    <t>RVYV26</t>
  </si>
  <si>
    <t>SBLF30</t>
  </si>
  <si>
    <t>TFDR53</t>
  </si>
  <si>
    <t>SVRS43</t>
  </si>
  <si>
    <t>SDKF76</t>
  </si>
  <si>
    <t>RZSJ34</t>
  </si>
  <si>
    <t>TKHT46</t>
  </si>
  <si>
    <t>PPCK78</t>
  </si>
  <si>
    <t>VDBL33</t>
  </si>
  <si>
    <t>PHSJ26</t>
  </si>
  <si>
    <t>TBZL22</t>
  </si>
  <si>
    <t>RKPR62</t>
  </si>
  <si>
    <t>TRBC25</t>
  </si>
  <si>
    <t>RPSZ52</t>
  </si>
  <si>
    <t>RHFG34</t>
  </si>
  <si>
    <t>VPDW40</t>
  </si>
  <si>
    <t>NUEVO Q3</t>
  </si>
  <si>
    <t>RXRX10</t>
  </si>
  <si>
    <t>PSHZ57</t>
  </si>
  <si>
    <t>TSSF90</t>
  </si>
  <si>
    <t>RKKP28</t>
  </si>
  <si>
    <t>PZKF31</t>
  </si>
  <si>
    <t>RLCT42</t>
  </si>
  <si>
    <t>VBWV23</t>
  </si>
  <si>
    <t>LCVY97</t>
  </si>
  <si>
    <t>TBCR93</t>
  </si>
  <si>
    <t>PSHZ87</t>
  </si>
  <si>
    <t>TBCS36</t>
  </si>
  <si>
    <t>SYMBOL NEW</t>
  </si>
  <si>
    <t>LHSK95</t>
  </si>
  <si>
    <t>TJSH86</t>
  </si>
  <si>
    <t>TKHP95</t>
  </si>
  <si>
    <t>VKCY57</t>
  </si>
  <si>
    <t>TJYK56</t>
  </si>
  <si>
    <t>TJSG77</t>
  </si>
  <si>
    <t>LRWB98</t>
  </si>
  <si>
    <t>RFKV98</t>
  </si>
  <si>
    <t>TZTC91</t>
  </si>
  <si>
    <t>KTCW94</t>
  </si>
  <si>
    <t>SHZP36</t>
  </si>
  <si>
    <t>RKGC62</t>
  </si>
  <si>
    <t>TTVW58</t>
  </si>
  <si>
    <t>THCY49</t>
  </si>
  <si>
    <t>VLYK19</t>
  </si>
  <si>
    <t>RBVY60</t>
  </si>
  <si>
    <t>TPZZ34</t>
  </si>
  <si>
    <t>CX-3</t>
  </si>
  <si>
    <t>RGHS78</t>
  </si>
  <si>
    <t>TPCR90</t>
  </si>
  <si>
    <t>TJSK45</t>
  </si>
  <si>
    <t>SXDD78</t>
  </si>
  <si>
    <t>JWCL30</t>
  </si>
  <si>
    <t>SCWX22</t>
  </si>
  <si>
    <t>TDYH73</t>
  </si>
  <si>
    <t>TTYT93</t>
  </si>
  <si>
    <t>X5</t>
  </si>
  <si>
    <t>PHVR65</t>
  </si>
  <si>
    <t>PKVP76</t>
  </si>
  <si>
    <t>VCRR67</t>
  </si>
  <si>
    <t>RZJJ37</t>
  </si>
  <si>
    <t>LJYP13</t>
  </si>
  <si>
    <t>VKBX87</t>
  </si>
  <si>
    <t>Modelo-version-año</t>
  </si>
  <si>
    <t>Suma de Unidad Venta</t>
  </si>
  <si>
    <t>Suma de Unidad Costo</t>
  </si>
  <si>
    <t/>
  </si>
  <si>
    <t>A3 HB 1.4 AUT</t>
  </si>
  <si>
    <t>A3 SEDAN 35 TFSI 1.4 AUT</t>
  </si>
  <si>
    <t>Q2</t>
  </si>
  <si>
    <t>Q2 35 TFSI 1.4 AUT</t>
  </si>
  <si>
    <t>Q3 35 TFSI 1.4 AUT</t>
  </si>
  <si>
    <t>Q3 35 TFSI SPORTBACK 1.4 AUT</t>
  </si>
  <si>
    <t>Q5</t>
  </si>
  <si>
    <t>Q5 TDI 2.0</t>
  </si>
  <si>
    <t>DTLC56</t>
  </si>
  <si>
    <t>Q5 TFSI 4X4 2.0 AUT</t>
  </si>
  <si>
    <t>Q7</t>
  </si>
  <si>
    <t>Q7 TDI 4X4 3.0 AUT</t>
  </si>
  <si>
    <t>X35 1.5</t>
  </si>
  <si>
    <t>X55 1.5T</t>
  </si>
  <si>
    <t>X55 ELITE 1.5</t>
  </si>
  <si>
    <t>X55 1.5 AUT</t>
  </si>
  <si>
    <t>X55 TM 1.5</t>
  </si>
  <si>
    <t>118</t>
  </si>
  <si>
    <t>118D HB 2.0 AUT</t>
  </si>
  <si>
    <t>114I BUSINESS 1.6</t>
  </si>
  <si>
    <t>118I HB 1.5 AUT</t>
  </si>
  <si>
    <t>118I MILLENNIAL 1.5 AUT</t>
  </si>
  <si>
    <t>318I LCI 1.5 AUT</t>
  </si>
  <si>
    <t>320 I 2.0 AUT</t>
  </si>
  <si>
    <t>418I GRAN COUPE 1.5 AUT</t>
  </si>
  <si>
    <t>420I GRAN COUPE 2.0 AUT</t>
  </si>
  <si>
    <t>X1 SDRIVE 18D LCI 2.0 AUT</t>
  </si>
  <si>
    <t>X1 SDRIVE18I LCI 1.5 AUT</t>
  </si>
  <si>
    <t>X3 XDRIVE 20D 4X4 2.0 AT</t>
  </si>
  <si>
    <t>X3 XDRIVE20D 2.0 AT</t>
  </si>
  <si>
    <t>X3 XDRIVE30I 4X4 2.0 AUT</t>
  </si>
  <si>
    <t>X4 XDRIVE 20I 4X4 2.0 AT</t>
  </si>
  <si>
    <t>X3</t>
  </si>
  <si>
    <t>X3 2.0 AUT</t>
  </si>
  <si>
    <t>X6</t>
  </si>
  <si>
    <t>X6 XDRIVE 30D 4X4 3.0 AUT</t>
  </si>
  <si>
    <t>ALSVIN 1.5 AT</t>
  </si>
  <si>
    <t>ALSVIN 1.4</t>
  </si>
  <si>
    <t>ALSVIN LUXURY 1.4</t>
  </si>
  <si>
    <t>CS15 1.5</t>
  </si>
  <si>
    <t>CS15 1.5 AUT</t>
  </si>
  <si>
    <t>CS15 HB 1.5</t>
  </si>
  <si>
    <t>KWXH31</t>
  </si>
  <si>
    <t>CS15 LUXURY 1.5</t>
  </si>
  <si>
    <t>CS35 LUXURY 1.6</t>
  </si>
  <si>
    <t>CS35 PLUS TURBO 1.4 AUT</t>
  </si>
  <si>
    <t>CS55 1.5</t>
  </si>
  <si>
    <t>CX70 1.6</t>
  </si>
  <si>
    <t>CX70 ELITE 1.5</t>
  </si>
  <si>
    <t>CX70 ELITE 1.5 AUT</t>
  </si>
  <si>
    <t>CX70 LUXURY 1.6</t>
  </si>
  <si>
    <t>CX70 OTTO 1.6</t>
  </si>
  <si>
    <t>CX70 T 1.5 AUT</t>
  </si>
  <si>
    <t>HUNTER 1.9</t>
  </si>
  <si>
    <t>HUNTER LUXURY 1.9</t>
  </si>
  <si>
    <t>NEW CS15 ELITE 1.5</t>
  </si>
  <si>
    <t>NEW CS15 ELITE HB 1.5</t>
  </si>
  <si>
    <t>NEW CS15 ELITE HB 1.5 AUT</t>
  </si>
  <si>
    <t>NEW CS35 LUX 1.4 AUT</t>
  </si>
  <si>
    <t>UNI T TURBO 1.5 AUT</t>
  </si>
  <si>
    <t>CS15 HB 4X2 1.5</t>
  </si>
  <si>
    <t>NEW CS15 LUXURY 1.5</t>
  </si>
  <si>
    <t>CS35</t>
  </si>
  <si>
    <t>CS35 PLUS 1.4 AUT</t>
  </si>
  <si>
    <t>M201</t>
  </si>
  <si>
    <t>M201 1.2</t>
  </si>
  <si>
    <t>MS201 1.2</t>
  </si>
  <si>
    <t>UNIT LUXURY 1.5 AUT</t>
  </si>
  <si>
    <t>ARRIZO 3 GLS 1.5</t>
  </si>
  <si>
    <t>LCBC86</t>
  </si>
  <si>
    <t>ARRIZO 5</t>
  </si>
  <si>
    <t>ARRIZO 5 1.5</t>
  </si>
  <si>
    <t>ARRIZO 5 GLS 1.5</t>
  </si>
  <si>
    <t>GRAND TIGGO</t>
  </si>
  <si>
    <t>GRAND TIGGO GLS 2.0</t>
  </si>
  <si>
    <t>K60 GLS 1.5</t>
  </si>
  <si>
    <t>TIGGO 2 1.5</t>
  </si>
  <si>
    <t>TIGGO 2 GL 1.5</t>
  </si>
  <si>
    <t>TIGGO 2 GLS 1.5</t>
  </si>
  <si>
    <t>TIGGO 2 GLS 1.5 AUT</t>
  </si>
  <si>
    <t>TIGGO 2 GLS CVT 1.5 AUT</t>
  </si>
  <si>
    <t>TIGGO 2 GLS MT 1.5</t>
  </si>
  <si>
    <t>TIGGO 2 GLX 1.5</t>
  </si>
  <si>
    <t>TIGGO 2 PRO GLS MT 1.5</t>
  </si>
  <si>
    <t>FL GLS 1.5</t>
  </si>
  <si>
    <t>TIGGO 2 GLS CVT PRO 1.5 AUT</t>
  </si>
  <si>
    <t>TIGGO 2 PRO GLX CVT 1.0 AUT</t>
  </si>
  <si>
    <t>TIGGO 3 CVT 1.5L AUT</t>
  </si>
  <si>
    <t>TIGGO 3 GL 1.5</t>
  </si>
  <si>
    <t>TIGGO 3 GLS 1.5</t>
  </si>
  <si>
    <t>TIGGO 3 GLX 1.6</t>
  </si>
  <si>
    <t>TIGGO 3 PRO GLS 1.5</t>
  </si>
  <si>
    <t>SFDX70</t>
  </si>
  <si>
    <t>TIGGO 3 PRO GLX 1.5 AUT</t>
  </si>
  <si>
    <t>TIGGO 4</t>
  </si>
  <si>
    <t>TIGGO 4 GLS 2.0</t>
  </si>
  <si>
    <t>TIGGO 7 GLX 1.5 AUT</t>
  </si>
  <si>
    <t>TIGGO 7 TURBO 1.5</t>
  </si>
  <si>
    <t>TIGGO 7 GLS CVT PRO 1.5 AUT</t>
  </si>
  <si>
    <t>TIGGO 8 1.5 AUT</t>
  </si>
  <si>
    <t>TIGGO 8 GLS 1.5</t>
  </si>
  <si>
    <t>TIGGO 8 PRO GLX DCT 1.6 AUT</t>
  </si>
  <si>
    <t>TIGGO 8 PRO MAX 4X4 2.0 AUT</t>
  </si>
  <si>
    <t>CAPTIVA 1.5</t>
  </si>
  <si>
    <t>CAPTIVA 1.5 AT</t>
  </si>
  <si>
    <t>CAPTIVA 1.5 AUT</t>
  </si>
  <si>
    <t>CAPTIVA LT 1.5 AUT</t>
  </si>
  <si>
    <t>CAPTIVA MT6 1.5</t>
  </si>
  <si>
    <t>CAPTIVA MT6 4X2 1.5</t>
  </si>
  <si>
    <t>CAPTIVA OTTO 1.5</t>
  </si>
  <si>
    <t>CAPTIVA PREMIER 1.5</t>
  </si>
  <si>
    <t>COLORADO 4WD 2.8 AUT</t>
  </si>
  <si>
    <t>COLORADO DCAB 4X4 2.8</t>
  </si>
  <si>
    <t>COLORADO DCAB 4X4 2.8 AT</t>
  </si>
  <si>
    <t>COLORADO II LS 2.8</t>
  </si>
  <si>
    <t>EQUINOX</t>
  </si>
  <si>
    <t>EQUINOX FWD 1.5 AUT</t>
  </si>
  <si>
    <t>GROOVE 1.5</t>
  </si>
  <si>
    <t>GROOVE LTZ 1.5</t>
  </si>
  <si>
    <t>ONIX HB 1.4</t>
  </si>
  <si>
    <t>ONIX HB PREMIER 1.0 AUT</t>
  </si>
  <si>
    <t>ONIX HB RS 1.0T</t>
  </si>
  <si>
    <t>ONIX LTZ 1.4</t>
  </si>
  <si>
    <t>ONIX NB LT 1.0T</t>
  </si>
  <si>
    <t>ONIX NB PREMIER 1.0T AUT</t>
  </si>
  <si>
    <t>ORLANDO</t>
  </si>
  <si>
    <t>ORLANDO LS 2.0</t>
  </si>
  <si>
    <t>GWYL71</t>
  </si>
  <si>
    <t>PRISMA 1.4</t>
  </si>
  <si>
    <t>PRISMA LTZ 1.4</t>
  </si>
  <si>
    <t>SAIL 1.5</t>
  </si>
  <si>
    <t>SAIL HB 1.5 AUT</t>
  </si>
  <si>
    <t>SAIL NB CVT 1.5</t>
  </si>
  <si>
    <t>SILVERADO CC DCAB 4X4 5.3 AUT</t>
  </si>
  <si>
    <t>SILVERADO DCAB LT 4WD 5.3 AUT</t>
  </si>
  <si>
    <t>SILVERADO LT 4X4 5.3 AUT</t>
  </si>
  <si>
    <t>SILVERADO LTZ 4WD 5.3</t>
  </si>
  <si>
    <t>SILVERADO LTZ 5.3</t>
  </si>
  <si>
    <t>SPARK</t>
  </si>
  <si>
    <t>SPARK DOHC 1.2</t>
  </si>
  <si>
    <t>SPARK GT LT 1.2</t>
  </si>
  <si>
    <t>TAHOE LT 4WD 5.3</t>
  </si>
  <si>
    <t>TAHOE LT SU 4WD 5.3 AUT</t>
  </si>
  <si>
    <t>TRACKER 1.2T AUT</t>
  </si>
  <si>
    <t>TRACKER 1.8</t>
  </si>
  <si>
    <t>TRACKER AWD 1.8 AUT</t>
  </si>
  <si>
    <t>TRACKER II FWD 1,8</t>
  </si>
  <si>
    <t>TRACKER II FWD 1.8</t>
  </si>
  <si>
    <t>TRACKER II LS 1.8</t>
  </si>
  <si>
    <t>TRACKER LS 1.8</t>
  </si>
  <si>
    <t>TRACKER LT 1.8</t>
  </si>
  <si>
    <t>TRAILBLAZER 4X4 2.8 AUT</t>
  </si>
  <si>
    <t>TRAILBLAZER LTZ AWD 2.8 AUT</t>
  </si>
  <si>
    <t>NG TRAVERSE AWD 3.6 AUT</t>
  </si>
  <si>
    <t>NG TRAVERSE FWD 3.6 AUT</t>
  </si>
  <si>
    <t>BERLINGO MULTISPACE BLUEHDI XL 1.5</t>
  </si>
  <si>
    <t>C3 1.2</t>
  </si>
  <si>
    <t>C3 AIRCROSS 1.5</t>
  </si>
  <si>
    <t>C3 AIRCROSS HDI HB 1.5</t>
  </si>
  <si>
    <t>C3 HDI 1.5</t>
  </si>
  <si>
    <t>C3 PURETECH 4X2 1.2</t>
  </si>
  <si>
    <t>C4 1.2 AT</t>
  </si>
  <si>
    <t>C4 1.5 AUT</t>
  </si>
  <si>
    <t>C4 1.6</t>
  </si>
  <si>
    <t>C4 CACTUS HDI 1.6</t>
  </si>
  <si>
    <t>C4 HDI 1.6</t>
  </si>
  <si>
    <t>C5 AIRCROSS BHDI 1.5 AUT</t>
  </si>
  <si>
    <t>C5 AIRCROSS BLUEHDI 1.5 AUT</t>
  </si>
  <si>
    <t>C5 AIRCROSS CVA8 STT 1.5 AUT</t>
  </si>
  <si>
    <t>C ELYSEE 1.2</t>
  </si>
  <si>
    <t>C ELYSEE 1.6</t>
  </si>
  <si>
    <t>SPACETOURER</t>
  </si>
  <si>
    <t>BUSINEES HDI 2.0</t>
  </si>
  <si>
    <t>DFLM</t>
  </si>
  <si>
    <t>JOYEAR</t>
  </si>
  <si>
    <t>JOYEAR SX5 1.6</t>
  </si>
  <si>
    <t>DFM</t>
  </si>
  <si>
    <t>AX4</t>
  </si>
  <si>
    <t>AX4 LUXURY 1.6 AUT</t>
  </si>
  <si>
    <t>T5L</t>
  </si>
  <si>
    <t>T5L LUX 1.8</t>
  </si>
  <si>
    <t>500</t>
  </si>
  <si>
    <t>500 1.5 CVT</t>
  </si>
  <si>
    <t>500 4X2 1.5</t>
  </si>
  <si>
    <t>SUV 500 1.5</t>
  </si>
  <si>
    <t>560</t>
  </si>
  <si>
    <t>560 1.8</t>
  </si>
  <si>
    <t>580</t>
  </si>
  <si>
    <t>580 1.5</t>
  </si>
  <si>
    <t>JWCJ51</t>
  </si>
  <si>
    <t>580 1.8</t>
  </si>
  <si>
    <t>580 LUXURY 1.5</t>
  </si>
  <si>
    <t>SUV GLORY 580 1.5</t>
  </si>
  <si>
    <t>CARGO</t>
  </si>
  <si>
    <t>CARGO VAN C25 1.3</t>
  </si>
  <si>
    <t>CARGO VAN C35 1.5</t>
  </si>
  <si>
    <t>SCGS46</t>
  </si>
  <si>
    <t>GBDZ39</t>
  </si>
  <si>
    <t>D1 COMFORT 2.3</t>
  </si>
  <si>
    <t>TRUCK CS C21 1.3</t>
  </si>
  <si>
    <t>TRUCK DC 1.0</t>
  </si>
  <si>
    <t>TRUCK DC 1.3</t>
  </si>
  <si>
    <t>TRUCK SERIE C DCAB 1.5</t>
  </si>
  <si>
    <t>DODGE</t>
  </si>
  <si>
    <t>NEW RAM1500 SLT SPORT 4X4 5.7 AUT</t>
  </si>
  <si>
    <t>RAM1500 LARAMIE 4X4 5.7</t>
  </si>
  <si>
    <t>DURANGO</t>
  </si>
  <si>
    <t>NEW DURANGO CITADEL AWD 5.7</t>
  </si>
  <si>
    <t>DBXP41</t>
  </si>
  <si>
    <t>JOURNEY</t>
  </si>
  <si>
    <t>JOURNEY 2.4 AUT</t>
  </si>
  <si>
    <t>DF6 4WD 2.5</t>
  </si>
  <si>
    <t>DF6 D CAB GL 4X4 2.5</t>
  </si>
  <si>
    <t>DS7</t>
  </si>
  <si>
    <t>DS7 CROSSBACK BLUEHDI 2.0 AUT</t>
  </si>
  <si>
    <t>EXEED VX 2.0T DCT UNLIMITED AWD</t>
  </si>
  <si>
    <t>LX UNLTD 1.5 AUT</t>
  </si>
  <si>
    <t>TXL DCT UNLIMITED 2.0 AUT</t>
  </si>
  <si>
    <t>500X</t>
  </si>
  <si>
    <t>500X CROSS 4X4 1.4 AUT</t>
  </si>
  <si>
    <t>ARGO TREKKING HATCHBACK 1.3</t>
  </si>
  <si>
    <t>CRONOS</t>
  </si>
  <si>
    <t>CRONOS DRIVE 1.3 MT</t>
  </si>
  <si>
    <t>CRONOS DRIVE 1.8 AUT</t>
  </si>
  <si>
    <t>PULSE HB MT 1.3</t>
  </si>
  <si>
    <t>PULSE IMPETUS TF200 1.0 AUT</t>
  </si>
  <si>
    <t>QUBO</t>
  </si>
  <si>
    <t>QUBO DYNAMIC 1.4</t>
  </si>
  <si>
    <t>UNO WAY</t>
  </si>
  <si>
    <t>UNO WAY 1.4</t>
  </si>
  <si>
    <t>UNO WAY EVO 1.3</t>
  </si>
  <si>
    <t>UNO WAY EVO 1.4</t>
  </si>
  <si>
    <t>UNO WAY EVO FL 1.3</t>
  </si>
  <si>
    <t>BRONCO SPORT 4X4 1.5 AUT</t>
  </si>
  <si>
    <t>BRONCO WILDTRAK 4X4 2.7 AUT</t>
  </si>
  <si>
    <t>ECOSPORT 1.5</t>
  </si>
  <si>
    <t>ECOSPORT 1.5 AUT</t>
  </si>
  <si>
    <t>ECOSPORT 1.6</t>
  </si>
  <si>
    <t>ECOSPORT 2.0 AUT</t>
  </si>
  <si>
    <t>ECOSPORT S 1.5</t>
  </si>
  <si>
    <t>ECOSPORT TITANIUM 1.5</t>
  </si>
  <si>
    <t>ECOSPORT TITANIUM 1.6</t>
  </si>
  <si>
    <t>ECOSPORT TITANIUM 2.0 AT</t>
  </si>
  <si>
    <t>GBWR76</t>
  </si>
  <si>
    <t>ECOSPORT TITANIUM 2.0 AUT</t>
  </si>
  <si>
    <t>EDGE 2.0 AUT</t>
  </si>
  <si>
    <t>EDGE 3.5 AUT</t>
  </si>
  <si>
    <t>EDGE 4X4 2.7 AUT</t>
  </si>
  <si>
    <t>PFSB69</t>
  </si>
  <si>
    <t>EDGE AWD 2.0 AT</t>
  </si>
  <si>
    <t>EDGE AWD 2.7 AUT</t>
  </si>
  <si>
    <t>EDGE OTTO 2.0 AUT</t>
  </si>
  <si>
    <t>EDGE SEL 2.0 AUT</t>
  </si>
  <si>
    <t>EDGE SEL 4X4 3.5 AUT</t>
  </si>
  <si>
    <t>ESCAPE 2.0 AUT</t>
  </si>
  <si>
    <t>ESCAPE 2.5 AT</t>
  </si>
  <si>
    <t>ESCAPE 2.5 AUT</t>
  </si>
  <si>
    <t>ESCAPE 4X4 2.0</t>
  </si>
  <si>
    <t>ESCAPE 4X4 2.0 AUT</t>
  </si>
  <si>
    <t>ESCAPE 4X4 2.0L AUT</t>
  </si>
  <si>
    <t>ESCAPE AWD 2.0 AUT</t>
  </si>
  <si>
    <t>ESCAPE TITANIUM 4X4 2.0 AUT</t>
  </si>
  <si>
    <t>EXPEDITION LIMITED 4X4 3.5 AUT</t>
  </si>
  <si>
    <t>EXPEDITION LTD 4X4 3.5 AUT</t>
  </si>
  <si>
    <t>EXPLORER 2.3</t>
  </si>
  <si>
    <t>EXPLORER 2.3 AUT</t>
  </si>
  <si>
    <t>EXPLORER 2WD 2.3 AUT</t>
  </si>
  <si>
    <t>EXPLORER 4WD 2.3 AUT</t>
  </si>
  <si>
    <t>RVVS53</t>
  </si>
  <si>
    <t>EXPLORER 4X4 2.3 AUT</t>
  </si>
  <si>
    <t>EXPLORER 4X4 3.0 AT</t>
  </si>
  <si>
    <t>EXPLORER ECOBOOST 2.3 AUT</t>
  </si>
  <si>
    <t>EXPLORER LTD 3.5 AUT</t>
  </si>
  <si>
    <t>EXPLORER LTD 4X4 2.3 AT</t>
  </si>
  <si>
    <t>EXPLORER LTD 4X4 3.5 AUT</t>
  </si>
  <si>
    <t>EXPLORER PLATINUM 4X4 2.3 AUT</t>
  </si>
  <si>
    <t>EXPLORER XLT 2.3 AUT</t>
  </si>
  <si>
    <t>EXPLORER XLT 3.5 AUT</t>
  </si>
  <si>
    <t>EXPLORER XLT 4X4 3.5 AUT</t>
  </si>
  <si>
    <t>F 150 LARIAT SPORT 4X4 5.0</t>
  </si>
  <si>
    <t>F150 DCAB 3.5 AT</t>
  </si>
  <si>
    <t>F150 DCAB XLT 4X4 5.0 AUT</t>
  </si>
  <si>
    <t>F150 LARIAT 4X4 5.0</t>
  </si>
  <si>
    <t>F150 LARIAT 4X4 5.0 AUT</t>
  </si>
  <si>
    <t>F150 LARIAT LUXURY 4X4 3.0 AUT</t>
  </si>
  <si>
    <t>RGLK93</t>
  </si>
  <si>
    <t>F150 LARIAT SPORT 4X4 5.0 AUT</t>
  </si>
  <si>
    <t>F150 LARIAT SPORT 4X4 5.0L AUT</t>
  </si>
  <si>
    <t>F150 PLATINIUM 4X4 3.5 AT</t>
  </si>
  <si>
    <t>F150 PLATINUM 4X4 3.5 AUT</t>
  </si>
  <si>
    <t>F150 XLT 3.3 AUT</t>
  </si>
  <si>
    <t>F150 XLT 3.5 AUT</t>
  </si>
  <si>
    <t>F150 XLT 3.7</t>
  </si>
  <si>
    <t>DCFR79</t>
  </si>
  <si>
    <t>F150 XLT 4X4 5.0 AUT</t>
  </si>
  <si>
    <t>F150 XLT CC 3.3 AUT</t>
  </si>
  <si>
    <t>F150 XLT DCAB 3.3 AUT</t>
  </si>
  <si>
    <t>F150 XLT PICKUP 4X4 3.3 AUT</t>
  </si>
  <si>
    <t>FIESTA 1.6</t>
  </si>
  <si>
    <t>FOCUS 2.0</t>
  </si>
  <si>
    <t>FOCUS 2.0 AUT</t>
  </si>
  <si>
    <t>LHCL88</t>
  </si>
  <si>
    <t>FUSION</t>
  </si>
  <si>
    <t>FUSION 2.0 AUT</t>
  </si>
  <si>
    <t>MAVERICK LARIAT 4X4 2.0 AUT</t>
  </si>
  <si>
    <t>MUSTANG</t>
  </si>
  <si>
    <t>MUSTANG COUPE 5.0 AUT</t>
  </si>
  <si>
    <t>MUSTANG COUPE GT 5.0 AT</t>
  </si>
  <si>
    <t>NEW RANGER RAPTOR 4X4 2.0 AUT</t>
  </si>
  <si>
    <t>PZJJ11</t>
  </si>
  <si>
    <t>RANGER  XL  2.5</t>
  </si>
  <si>
    <t>RANGER 3.2</t>
  </si>
  <si>
    <t>RANGER 4X2 2.5</t>
  </si>
  <si>
    <t>RANGER DCAB 4X4 3.2 AUT</t>
  </si>
  <si>
    <t>RANGER DCAB XLS 4X4 3.2</t>
  </si>
  <si>
    <t>RANGER DCAB XLT 3.2</t>
  </si>
  <si>
    <t>RANGER DCAB XLT 4X4 3.2</t>
  </si>
  <si>
    <t>RANGER FX4 4X4 3.2 AT</t>
  </si>
  <si>
    <t>RANGER LTD 4X4 3.2</t>
  </si>
  <si>
    <t>RANGER LTD 4X4 3.2 AUT</t>
  </si>
  <si>
    <t>RANGER STORM 4X4 3.2</t>
  </si>
  <si>
    <t>RANGER XL 4X4 2.2</t>
  </si>
  <si>
    <t>RANGER XL M 4X4 2.2</t>
  </si>
  <si>
    <t>RANGER XLS DCAB 4X4 3.2</t>
  </si>
  <si>
    <t>RANGER XLT 2.0 AUT</t>
  </si>
  <si>
    <t>RANGER XLT 3.2</t>
  </si>
  <si>
    <t>RANGER XLT 4X4 2.0</t>
  </si>
  <si>
    <t>RANGER XLT 4X4 2.0 AUT</t>
  </si>
  <si>
    <t>RANGER XLT 4X4 3.2</t>
  </si>
  <si>
    <t>NEW TERRITORY TITANIUM 1.5 AUT</t>
  </si>
  <si>
    <t>NEW TERRITORY TREND 1.5 AUT</t>
  </si>
  <si>
    <t>TERRITORY 4X2 1.5 AUT</t>
  </si>
  <si>
    <t>TERRITORY TITANIUM 1.5 AUT</t>
  </si>
  <si>
    <t>TERRITORY TREND 1.5 AT</t>
  </si>
  <si>
    <t>TERRITORY TREND 1.5 AUT</t>
  </si>
  <si>
    <t>TERRITORY TREND 4X2 1.5 AUT</t>
  </si>
  <si>
    <t>TRANSIT 2.2</t>
  </si>
  <si>
    <t>KJYT41</t>
  </si>
  <si>
    <t>TRANSIT CUSTOM FURGON 2.2</t>
  </si>
  <si>
    <t>FOTON</t>
  </si>
  <si>
    <t>TM3 MAS 1.5</t>
  </si>
  <si>
    <t>G7</t>
  </si>
  <si>
    <t>G7 MT 4X2 2.0</t>
  </si>
  <si>
    <t>EMZOOM 1.5 T</t>
  </si>
  <si>
    <t>EMZOOM 1.5 AUT</t>
  </si>
  <si>
    <t>GS4 POWER 1.5</t>
  </si>
  <si>
    <t>GS4 POWER 1.5 AUT</t>
  </si>
  <si>
    <t>GS3 1.5L</t>
  </si>
  <si>
    <t>GS3 GE 1.3 AUT</t>
  </si>
  <si>
    <t>GS3 MT 1.5</t>
  </si>
  <si>
    <t>GS3 POWER 1.5</t>
  </si>
  <si>
    <t>GS4 POWER 1.5T</t>
  </si>
  <si>
    <t>AZKARRA 1.5 AUT</t>
  </si>
  <si>
    <t>COOLRAY 1.5 AUT</t>
  </si>
  <si>
    <t>3 2.0</t>
  </si>
  <si>
    <t>C30 ELITE 1.5</t>
  </si>
  <si>
    <t>H6 1.5</t>
  </si>
  <si>
    <t>H6 LUXURY 1.5</t>
  </si>
  <si>
    <t>M4 HB 1.5</t>
  </si>
  <si>
    <t>M4 LE 1.5</t>
  </si>
  <si>
    <t>NEW HAVAL H3 LE 2.0</t>
  </si>
  <si>
    <t>POER 4X4 2.0</t>
  </si>
  <si>
    <t>POER DELUXE 2.0</t>
  </si>
  <si>
    <t>POER DELUXE 4X4 2.0</t>
  </si>
  <si>
    <t>POER PLUS 4X4 2.0 AUT</t>
  </si>
  <si>
    <t>WINGLE 4P 2.2</t>
  </si>
  <si>
    <t>WINGLE 5 2.2</t>
  </si>
  <si>
    <t>WINGLE 5 G ELITE 2.2</t>
  </si>
  <si>
    <t>WINGLE 7 2.4</t>
  </si>
  <si>
    <t>WINGLE 7 TM 4X4 2.4</t>
  </si>
  <si>
    <t>WINGLE</t>
  </si>
  <si>
    <t>WINGLE 5 ELITE 2.0</t>
  </si>
  <si>
    <t>DARGO</t>
  </si>
  <si>
    <t>DARGO 4X4 2.0 AUT</t>
  </si>
  <si>
    <t>H6 DELUXE 2.0 AUT</t>
  </si>
  <si>
    <t>H6 ELITE 1.5</t>
  </si>
  <si>
    <t>H6 ELITE 2.0 AUT</t>
  </si>
  <si>
    <t>H6 HEV TURBO 1.5 AUT</t>
  </si>
  <si>
    <t>H6 TURBO DCT 2.0 AUT</t>
  </si>
  <si>
    <t>JOLION 4X2 1.5 AUT</t>
  </si>
  <si>
    <t>JOLION 4X2 1.5 MT</t>
  </si>
  <si>
    <t>JOLION ELITE 1.5</t>
  </si>
  <si>
    <t>JOLION TURBO 1.5</t>
  </si>
  <si>
    <t>CITY</t>
  </si>
  <si>
    <t>CITY LX 1.5 AUT</t>
  </si>
  <si>
    <t>HR V EXL 4X4 1.8 AUT</t>
  </si>
  <si>
    <t>HR V LXS 1.8 AUT</t>
  </si>
  <si>
    <t>HRV 1.8</t>
  </si>
  <si>
    <t>PILOT</t>
  </si>
  <si>
    <t>PILOT TOURING 4X4 3.5 AUT</t>
  </si>
  <si>
    <t>WR</t>
  </si>
  <si>
    <t>WR V EXL 1.5 AUT</t>
  </si>
  <si>
    <t>WR V LX 1.5 AUT</t>
  </si>
  <si>
    <t>ACCENT GL 1.6 AUT</t>
  </si>
  <si>
    <t>ACCENT HCI 1.4</t>
  </si>
  <si>
    <t>ACCENT RB 1.4</t>
  </si>
  <si>
    <t>ACCENT RB GL 1.6</t>
  </si>
  <si>
    <t>ATOS 1.1</t>
  </si>
  <si>
    <t>ATOS AH2 HB 1.1</t>
  </si>
  <si>
    <t>CRETA GLS 1.6</t>
  </si>
  <si>
    <t>CRETA GRAND MPI 2.0</t>
  </si>
  <si>
    <t>CRETA GRAND MPI 2.0 AUT</t>
  </si>
  <si>
    <t>CRETA GS 1.6</t>
  </si>
  <si>
    <t>CRETA GS 1.6 AT</t>
  </si>
  <si>
    <t>CRETA GS PE 1.6</t>
  </si>
  <si>
    <t>CRETA SU2I 1.5</t>
  </si>
  <si>
    <t>CRETA SU2I CVT 1.5 AUT</t>
  </si>
  <si>
    <t>CRETA SU2ID MPI 1.5</t>
  </si>
  <si>
    <t>ELANTRA 1.6</t>
  </si>
  <si>
    <t>ELANTRA AD 1.6 AUT</t>
  </si>
  <si>
    <t>LBGR63</t>
  </si>
  <si>
    <t>ELANTRA CN7 1.6</t>
  </si>
  <si>
    <t>ELANTRA CN7 2.0 AT</t>
  </si>
  <si>
    <t>GRAND I10 1.0</t>
  </si>
  <si>
    <t>GRAND I10 4X2 1.2</t>
  </si>
  <si>
    <t>GRAND I10 AI3 4X2 1.2</t>
  </si>
  <si>
    <t>GRAND I10 AI3 HB MT 1.2</t>
  </si>
  <si>
    <t>GRAND I10 BA GL 1.2</t>
  </si>
  <si>
    <t>GRAND I10 BA GLS 1.2</t>
  </si>
  <si>
    <t>GRAND I10 BA PE HB 1.2</t>
  </si>
  <si>
    <t>GRAND I10 HB 1.2</t>
  </si>
  <si>
    <t>I20 BI3 1.4</t>
  </si>
  <si>
    <t>SANTA FE 2.2 AUT</t>
  </si>
  <si>
    <t>SANTA FE 2.5 AT</t>
  </si>
  <si>
    <t>SANTA FE CRDI 8DCT 2.2 AUT</t>
  </si>
  <si>
    <t>SANTA FE GLS 2.4 AT</t>
  </si>
  <si>
    <t>SANTA FE GLS 4WD 2.4 AT</t>
  </si>
  <si>
    <t>TUCSON 2.0</t>
  </si>
  <si>
    <t>TUCSON 4WD 2.0 AUT</t>
  </si>
  <si>
    <t>TUCSON NX4 1.6 AUT</t>
  </si>
  <si>
    <t>TUCSON NX4 2.0</t>
  </si>
  <si>
    <t>TUCSON NX4 GDI 7DCT 1.6 AUT</t>
  </si>
  <si>
    <t>TUCSON NX4 MPI 2.0</t>
  </si>
  <si>
    <t>TUCSON TL 2.0</t>
  </si>
  <si>
    <t>TUCSON TL 2.0 AT</t>
  </si>
  <si>
    <t>TUCSON TL 2.0 AUT</t>
  </si>
  <si>
    <t>TUCSON TL GL ACTIVE 2.0</t>
  </si>
  <si>
    <t>TUCSON TL GL ADVANCE 2.0</t>
  </si>
  <si>
    <t>VELOSTER GLS 1.6</t>
  </si>
  <si>
    <t>VELOSTER GLS FULL 1.6</t>
  </si>
  <si>
    <t>VELOSTER JS HB 2.0</t>
  </si>
  <si>
    <t>VENUE QX 1.6</t>
  </si>
  <si>
    <t>VERNA 1.4</t>
  </si>
  <si>
    <t>VERNA CB 1.4</t>
  </si>
  <si>
    <t>TODAS</t>
  </si>
  <si>
    <t>TUCSON NX4 CRDI 8AT 2.0 AUT</t>
  </si>
  <si>
    <t>INTERNATIONAL</t>
  </si>
  <si>
    <t>4300</t>
  </si>
  <si>
    <t>YW3244</t>
  </si>
  <si>
    <t>GRAND S3 HB 1.6</t>
  </si>
  <si>
    <t>JS2 HB 1.5</t>
  </si>
  <si>
    <t>JS3 1.6</t>
  </si>
  <si>
    <t>JS3 HB 1.6</t>
  </si>
  <si>
    <t>S1 HB 1.3</t>
  </si>
  <si>
    <t>S2 1.5 AUT</t>
  </si>
  <si>
    <t>S2 CE 1.5</t>
  </si>
  <si>
    <t>S2 CE CVT 1.5</t>
  </si>
  <si>
    <t>S2 CE SPORT 1.5</t>
  </si>
  <si>
    <t>S3 1.6</t>
  </si>
  <si>
    <t>T8 CE 4X4 2.0</t>
  </si>
  <si>
    <t>JS</t>
  </si>
  <si>
    <t>JS2 HATCHBACK 1.5</t>
  </si>
  <si>
    <t>JS2 LUXURY HB 1.5</t>
  </si>
  <si>
    <t>JS2 MPI 1.5</t>
  </si>
  <si>
    <t>JS4 TURBO CVT 1.5 AUT</t>
  </si>
  <si>
    <t>JS8 TURBO DCT 1.5 AUT</t>
  </si>
  <si>
    <t>S2 HB 1.5</t>
  </si>
  <si>
    <t>T8 XE ADVANCE 2.0</t>
  </si>
  <si>
    <t>T8 XE ADVANCE 4X4 2.0</t>
  </si>
  <si>
    <t>TODOS</t>
  </si>
  <si>
    <t>JS2 LUXURY HB 1.5 AUT</t>
  </si>
  <si>
    <t>JS6 TURBO DCT 1.5 AUT</t>
  </si>
  <si>
    <t>JS8 LUXURY 1.5</t>
  </si>
  <si>
    <t>S3 LUXURY HB 1.6</t>
  </si>
  <si>
    <t>7</t>
  </si>
  <si>
    <t>J7 PRIME 1.6 AUT</t>
  </si>
  <si>
    <t>CHEROKEE</t>
  </si>
  <si>
    <t>CHEROKEE LONGITUDE 2.4 AUT</t>
  </si>
  <si>
    <t>COMMANDER</t>
  </si>
  <si>
    <t>COMMANDER OVERLAND 4X4 2.0 AUT</t>
  </si>
  <si>
    <t>SRZH97</t>
  </si>
  <si>
    <t>ALL NEW COMPASS 4X4 2.4 AUT</t>
  </si>
  <si>
    <t>ALL NEW COMPASS LONGITUDE 2.4 AUT</t>
  </si>
  <si>
    <t>ALL NEW COMPASS SPORT 2.4</t>
  </si>
  <si>
    <t>ALL NEW COMPASS SPORT LX 2.4</t>
  </si>
  <si>
    <t>COMPASS LONGITUDE 1.3 AUT</t>
  </si>
  <si>
    <t>COMPASS SPORT 2.4</t>
  </si>
  <si>
    <t>COMPASS SPORT AT6 2.4 AUT</t>
  </si>
  <si>
    <t>GRAND CHEROKEE LAREDO 3.6</t>
  </si>
  <si>
    <t>GRAND CHEROKEE LAREDO 3.6 AUT</t>
  </si>
  <si>
    <t>GRAND CHEROKEE LAREDO 4X4 3.6 AUT</t>
  </si>
  <si>
    <t>GRAND CHEROKEE LAREDO S 3.6 AUT</t>
  </si>
  <si>
    <t>GRAND CHEROKEE LAREDO SPORT 3.6 AUT</t>
  </si>
  <si>
    <t>GRAND CHEROKEE LIMITED 4X4 3.6 AT</t>
  </si>
  <si>
    <t>GRAND CHEROKEE LIMITED 4X4 3.6 AUT</t>
  </si>
  <si>
    <t>NEW GRAND CHEROKEE LTD 4X4 3.6 AUT</t>
  </si>
  <si>
    <t>RENEGADE LX 1.8</t>
  </si>
  <si>
    <t>RENEGADE LX SPORT 1.7</t>
  </si>
  <si>
    <t>RENEGADE SPORT 1.8</t>
  </si>
  <si>
    <t>RENEGADE SPORT 1.8 AUT</t>
  </si>
  <si>
    <t>RENEGADE SPORT LX 1.8</t>
  </si>
  <si>
    <t>RENEGADE SPORT LX 1.8 AUT</t>
  </si>
  <si>
    <t>WRANGLER</t>
  </si>
  <si>
    <t>WRANGLER SAHARA UNLIMITED 3.6 AUT</t>
  </si>
  <si>
    <t>WRANGLER UNLTD SPORT 4X4 3.6 AUT</t>
  </si>
  <si>
    <t>KWYH36</t>
  </si>
  <si>
    <t>DASHING 1.6 AUT</t>
  </si>
  <si>
    <t>X70 1.5</t>
  </si>
  <si>
    <t>GRAND AVENUE 4X2 2.3</t>
  </si>
  <si>
    <t>GRAND AVENUE 4X4 2.3</t>
  </si>
  <si>
    <t>GRAND AVENUE 4X4 2.3 AUT</t>
  </si>
  <si>
    <t>VIGUS 4X4 2.0</t>
  </si>
  <si>
    <t>VIGUS PRO 2.0 AUT</t>
  </si>
  <si>
    <t>VIGUS PICK UP</t>
  </si>
  <si>
    <t>.</t>
  </si>
  <si>
    <t>VIGUS PLUS 2.4</t>
  </si>
  <si>
    <t>VIGUS WORK 2.5</t>
  </si>
  <si>
    <t>VIGUS WORK LX 4X4</t>
  </si>
  <si>
    <t>VIGUS WORK TM 4X4 2.5</t>
  </si>
  <si>
    <t>Q22 4X2 1.3</t>
  </si>
  <si>
    <t>CARENS</t>
  </si>
  <si>
    <t>CARENS EX 1.4 AUT</t>
  </si>
  <si>
    <t>CARENS LX 1.5</t>
  </si>
  <si>
    <t>CARNIVAL</t>
  </si>
  <si>
    <t>GRAND CARNIVAL EX 2.2 AUT</t>
  </si>
  <si>
    <t>GRAND CARNIVAL LX 3.3 AT</t>
  </si>
  <si>
    <t>CERATO EX 1.6</t>
  </si>
  <si>
    <t>CERATO EX 1.6 AUT</t>
  </si>
  <si>
    <t>CERATO EX 4X2 1.6 AUT</t>
  </si>
  <si>
    <t>CERATO SX 1.6</t>
  </si>
  <si>
    <t>FRONTIER D CAB 2.5</t>
  </si>
  <si>
    <t>K3 CROSS EX 1.4</t>
  </si>
  <si>
    <t>K3 SEDAN</t>
  </si>
  <si>
    <t>K3 EX MPI 1.6</t>
  </si>
  <si>
    <t>MORNING 1.2</t>
  </si>
  <si>
    <t>MORNING EX 1.2</t>
  </si>
  <si>
    <t>MORNING EX 1.2 MEC A/C DAB</t>
  </si>
  <si>
    <t>GFZH53</t>
  </si>
  <si>
    <t>MORNING MPI 1.0</t>
  </si>
  <si>
    <t>MORNING MPI 1.2</t>
  </si>
  <si>
    <t>MORNING MPI 1.2 AUT</t>
  </si>
  <si>
    <t>NIRO LX GDI 1.6 AUT</t>
  </si>
  <si>
    <t>RIO</t>
  </si>
  <si>
    <t>RIO 4 6MT 1.4</t>
  </si>
  <si>
    <t>RIO 4 EX 1.2</t>
  </si>
  <si>
    <t>RIO 4 EX 1.4</t>
  </si>
  <si>
    <t>JKGK34</t>
  </si>
  <si>
    <t>RIO 4 LX 1.4</t>
  </si>
  <si>
    <t>RIO 4 SEDAN 1.4</t>
  </si>
  <si>
    <t>RIO 5 1.4L AT</t>
  </si>
  <si>
    <t>RIO 5 6MT 1.4</t>
  </si>
  <si>
    <t>RIO 5 EX 1.4</t>
  </si>
  <si>
    <t>RIO 5 EX SPORT 1.4</t>
  </si>
  <si>
    <t>RIO 5 HATCH BACK 1.4</t>
  </si>
  <si>
    <t>RIO 5 HATCH BACK 1.6</t>
  </si>
  <si>
    <t>SELTOS EX 1.5</t>
  </si>
  <si>
    <t>THHJ27</t>
  </si>
  <si>
    <t>SELTOS EX 1.6</t>
  </si>
  <si>
    <t>SELTOS EX IVT 1.5 AUT</t>
  </si>
  <si>
    <t>SELTOS MPI 1.6 AUT</t>
  </si>
  <si>
    <t>SELTOS MPI 6MT 1.6</t>
  </si>
  <si>
    <t>SOLUTO 1.4</t>
  </si>
  <si>
    <t>SOLUTO LX 1.4</t>
  </si>
  <si>
    <t>LZPC80</t>
  </si>
  <si>
    <t>SOLUTO MPI 1.4</t>
  </si>
  <si>
    <t>SONET EX 1.5</t>
  </si>
  <si>
    <t>SONET EX 4X2 MT 1.5</t>
  </si>
  <si>
    <t>SONET EX IVT 1.5 AUT</t>
  </si>
  <si>
    <t>SORENTO 2.2 AUT</t>
  </si>
  <si>
    <t>SORENTO 2WD 2.5 AUT</t>
  </si>
  <si>
    <t>SORENTO DOHC 2.4</t>
  </si>
  <si>
    <t>SORENTO DOHC 2.4 AT</t>
  </si>
  <si>
    <t>SORENTO EX 2.2</t>
  </si>
  <si>
    <t>SORENTO EX 2.2 AUT</t>
  </si>
  <si>
    <t>SORENTO EX 2.4</t>
  </si>
  <si>
    <t>SORENTO EX 2.4 AT</t>
  </si>
  <si>
    <t>SORENTO EX 2.4 AUT</t>
  </si>
  <si>
    <t>SORENTO EX 2WD 2.2</t>
  </si>
  <si>
    <t>SORENTO EX 4X4 2.2 AUT</t>
  </si>
  <si>
    <t>SOUL</t>
  </si>
  <si>
    <t>SOUL EX 1.6</t>
  </si>
  <si>
    <t>SOUL EX 1.6 AUT</t>
  </si>
  <si>
    <t>SPORTAGE 2.0</t>
  </si>
  <si>
    <t>SPORTAGE 2.0 AUT</t>
  </si>
  <si>
    <t>SPORTAGE EX 2.0</t>
  </si>
  <si>
    <t>SPORTAGE EX DSL 2.0 AUT</t>
  </si>
  <si>
    <t>SHDF37</t>
  </si>
  <si>
    <t>SPORTAGE EX DVGT 4X4 1.6 AUT</t>
  </si>
  <si>
    <t>SPORTAGE LX  2.0</t>
  </si>
  <si>
    <t>SPORTAGE LX 2.0</t>
  </si>
  <si>
    <t>SPORTAGE LX 2.0 AT</t>
  </si>
  <si>
    <t>SPORTAGE LX 4X4 2.0</t>
  </si>
  <si>
    <t>SPORTAGE QL 2.0 AUT</t>
  </si>
  <si>
    <t>SPORTAGE QL MT 2.0</t>
  </si>
  <si>
    <t>LEXUS</t>
  </si>
  <si>
    <t>RX350 4X4 3.5 AT</t>
  </si>
  <si>
    <t>LIFAN</t>
  </si>
  <si>
    <t>LF X7 SX 1.8</t>
  </si>
  <si>
    <t>KUV100 ELITE 1.2</t>
  </si>
  <si>
    <t>XUV 500 2.2 AUT</t>
  </si>
  <si>
    <t>XUV500 FL CRDE 2.2</t>
  </si>
  <si>
    <t>T60 DCAB 2.8</t>
  </si>
  <si>
    <t>T60 DCAB 4X4 2.0 AUT</t>
  </si>
  <si>
    <t>T90 4WD 2.0 AUT</t>
  </si>
  <si>
    <t>T90 4X4 2.0 AUT</t>
  </si>
  <si>
    <t>ALL NEW CX30 GTX 4X4 2.0 AUT</t>
  </si>
  <si>
    <t>3  1.6</t>
  </si>
  <si>
    <t>3 SEDAN 2.0</t>
  </si>
  <si>
    <t>ALL NEW 2 SPORT GT HB 1.5</t>
  </si>
  <si>
    <t>ALL NEW 3 2.0</t>
  </si>
  <si>
    <t>ALL NEW 3 HB 2.0</t>
  </si>
  <si>
    <t>ALL NEW 6 2.0</t>
  </si>
  <si>
    <t>ALL NEW CX 3 R 2.0 AUT</t>
  </si>
  <si>
    <t>ALL NEW CX 5 2.0 AUT</t>
  </si>
  <si>
    <t>ALL NEW CX 5 R 2.0 AUT</t>
  </si>
  <si>
    <t>ALL NEW CX 5 R 4X4 2.0</t>
  </si>
  <si>
    <t>ALL NEW CX 5 R 4X4 2.0 AUT</t>
  </si>
  <si>
    <t>ALL NEW CX30 2.0</t>
  </si>
  <si>
    <t>ALL NEW CX30 2.0 AUT</t>
  </si>
  <si>
    <t>ALL NEW CX30 GTX 2.0 AUT</t>
  </si>
  <si>
    <t>BT 50 4X4 2.2</t>
  </si>
  <si>
    <t>BT 50 4X4 DCAB 3.2 AUT</t>
  </si>
  <si>
    <t>CX 5 GT 4WD 2.0 AUT</t>
  </si>
  <si>
    <t>CX5 OTTO 2.0</t>
  </si>
  <si>
    <t>CX5 OTTO 2.0 AUT</t>
  </si>
  <si>
    <t>NEW 3 1.6</t>
  </si>
  <si>
    <t>NEW 3 1.6 AUT</t>
  </si>
  <si>
    <t>NEW 3 HB 2.0</t>
  </si>
  <si>
    <t>NEW 6 2.0</t>
  </si>
  <si>
    <t>NEW 6 2.5 AUT</t>
  </si>
  <si>
    <t>NEW 6 V 2.0 AUT</t>
  </si>
  <si>
    <t>NEW CX 3 GT 4X4 2.0 AUT</t>
  </si>
  <si>
    <t>NEW CX 3 R 2.0</t>
  </si>
  <si>
    <t>NEW CX 5 R 2.0</t>
  </si>
  <si>
    <t>NEW CX 5 R 2.0 AUT</t>
  </si>
  <si>
    <t>NEW CX 9 GTX 4X4 2.5 AUT</t>
  </si>
  <si>
    <t>NEW CX3 2.0</t>
  </si>
  <si>
    <t>NEW CX5 GT 4X4 2.2 AUT</t>
  </si>
  <si>
    <t>NEW CX 5</t>
  </si>
  <si>
    <t>NEW CX 5 4X4 2.0 AUT</t>
  </si>
  <si>
    <t>NEW CX 5 R 2.0 AT</t>
  </si>
  <si>
    <t>A200 HATCH BACK 1.3 AUT</t>
  </si>
  <si>
    <t>E200 COUPE</t>
  </si>
  <si>
    <t>FFZW59</t>
  </si>
  <si>
    <t>GLC 220D COUPE 4X4 1.9</t>
  </si>
  <si>
    <t>3 1.5</t>
  </si>
  <si>
    <t>350 1.5</t>
  </si>
  <si>
    <t>FTJX39</t>
  </si>
  <si>
    <t>MG3</t>
  </si>
  <si>
    <t>3 1.5 AT</t>
  </si>
  <si>
    <t>3 1.5 AUT</t>
  </si>
  <si>
    <t>3 HATCH BACK 1.5</t>
  </si>
  <si>
    <t>3 HATCH BACK 1.5 AUT</t>
  </si>
  <si>
    <t>NEW 3 1.5</t>
  </si>
  <si>
    <t>NEW 3 1.5 AUT</t>
  </si>
  <si>
    <t>MGGT</t>
  </si>
  <si>
    <t>GT 1.5</t>
  </si>
  <si>
    <t>GT SEDAN 1.5</t>
  </si>
  <si>
    <t>MGHS</t>
  </si>
  <si>
    <t>HS 2.0T DCT TROPHY AWD</t>
  </si>
  <si>
    <t>HS DCT 4X4 2.0 AUT</t>
  </si>
  <si>
    <t>MGRX5</t>
  </si>
  <si>
    <t>RX5 1.5</t>
  </si>
  <si>
    <t>RX5 1.5 AT</t>
  </si>
  <si>
    <t>MGZS</t>
  </si>
  <si>
    <t>ZS 1.5</t>
  </si>
  <si>
    <t>ZS 1.5 AT</t>
  </si>
  <si>
    <t>ZS 1.5 AUT</t>
  </si>
  <si>
    <t>ZS 5P 1.5</t>
  </si>
  <si>
    <t>KZWF50</t>
  </si>
  <si>
    <t>MGZX</t>
  </si>
  <si>
    <t>ZX 1.5</t>
  </si>
  <si>
    <t>ZX CVT 1.5 AUT</t>
  </si>
  <si>
    <t>ASK 1.6</t>
  </si>
  <si>
    <t>ASX 1.6</t>
  </si>
  <si>
    <t>ASX 4X2 2.0 AUT</t>
  </si>
  <si>
    <t>ASX GL 4X2 1.6</t>
  </si>
  <si>
    <t>ECLIPSE CROSS EURO 6C</t>
  </si>
  <si>
    <t>ECLIPSE CROSS RS 1.5 AUT</t>
  </si>
  <si>
    <t>ECLIPSE CROSS RX 1.5 AUT</t>
  </si>
  <si>
    <t>L200 DAKAR HP 4X4 2.4</t>
  </si>
  <si>
    <t>L200 DAKAR HP DCAB 4X4 2.4 AUT</t>
  </si>
  <si>
    <t>L200 KATANA CRT 4X4 2.4</t>
  </si>
  <si>
    <t>L200 KATANA XRT 4X4 2.4</t>
  </si>
  <si>
    <t>L200 WORK 2.4</t>
  </si>
  <si>
    <t>L200 WORK CR WF 2.4</t>
  </si>
  <si>
    <t>L-200</t>
  </si>
  <si>
    <t>L200 DAKAR XR 4X4 2.4 AUT</t>
  </si>
  <si>
    <t>NEW L200 KATANA CR 2.4</t>
  </si>
  <si>
    <t>LANCER</t>
  </si>
  <si>
    <t>LANCER 1.6</t>
  </si>
  <si>
    <t>MONTERO</t>
  </si>
  <si>
    <t>MONTERO SPORT 2.4</t>
  </si>
  <si>
    <t>MONTERO SPORT 2.4 AUT</t>
  </si>
  <si>
    <t>MONTERO SPORT 3.0 AUT</t>
  </si>
  <si>
    <t>MONTERO SPORT 4X4 2.4</t>
  </si>
  <si>
    <t>MONTERO SPORT 4X4 2.4 AUT</t>
  </si>
  <si>
    <t>MONTERO SPORT 4X4 3.0 AUT</t>
  </si>
  <si>
    <t>MONTERO SPORT LTD 4X4 3.0 AUT</t>
  </si>
  <si>
    <t>NEW OUTLANDER 2.0</t>
  </si>
  <si>
    <t>OUTLANDER 2.0</t>
  </si>
  <si>
    <t>OUTLANDER 2.0 AUT</t>
  </si>
  <si>
    <t>OUTLANDER 4X4 2.4 AUT</t>
  </si>
  <si>
    <t>OUTLANDER CVT 2.0 AUT</t>
  </si>
  <si>
    <t>OUTLANDER GLX 2.5 AUT</t>
  </si>
  <si>
    <t>OUTLANDER GLX 4X4 2.4</t>
  </si>
  <si>
    <t>OUTLANDER GLX 4X4 2.4 AUT</t>
  </si>
  <si>
    <t>XPANDER 1.5 AUT</t>
  </si>
  <si>
    <t>XPANDER CROSS 1.5 AUT</t>
  </si>
  <si>
    <t>XPANDER GLX 1.5</t>
  </si>
  <si>
    <t>MARCH</t>
  </si>
  <si>
    <t>MARCH 1.6</t>
  </si>
  <si>
    <t>MARCH SPORT DRIVE 1.6</t>
  </si>
  <si>
    <t>JUKE SENSE 1.6 AUT</t>
  </si>
  <si>
    <t>KICKS 1.6</t>
  </si>
  <si>
    <t>KICKS 1.6 AT</t>
  </si>
  <si>
    <t>KICKS 1.6 AUT</t>
  </si>
  <si>
    <t>KICKS 4X2 1.6 AUT</t>
  </si>
  <si>
    <t>KICKS ADVANCE 1.6</t>
  </si>
  <si>
    <t>KICKS ADVANCE 1.6 AUT</t>
  </si>
  <si>
    <t>KICKS CVT 1.6 AUT</t>
  </si>
  <si>
    <t>KICKS MT 1.6</t>
  </si>
  <si>
    <t>SRHY86</t>
  </si>
  <si>
    <t>KICKS SENSE 1.6</t>
  </si>
  <si>
    <t>KICKS SENSE 2.0</t>
  </si>
  <si>
    <t>MURANO Z52 4X4 3.5 AUT</t>
  </si>
  <si>
    <t>NEW MURANO 4X4 3.5 AUT</t>
  </si>
  <si>
    <t>NAVARA D CAB 2.3</t>
  </si>
  <si>
    <t>NAVARA D CAB 4X4 2.3 AT</t>
  </si>
  <si>
    <t>NAVARA D CAB MT 4X4 2.3</t>
  </si>
  <si>
    <t>NAVARA DCAB SE 4X4 2.5</t>
  </si>
  <si>
    <t>NP300 NAVARA DCAB 2.3</t>
  </si>
  <si>
    <t>NP300 2.3</t>
  </si>
  <si>
    <t>NP300 DCAB 2.3</t>
  </si>
  <si>
    <t>NP300 DCAB LE 4X4 2.3</t>
  </si>
  <si>
    <t>NP300 DCAB LE 4X4 2.3 AUT</t>
  </si>
  <si>
    <t>NP300 NAVARA DCAB 4X4 2.3</t>
  </si>
  <si>
    <t>NP300 NAVARA DCAB XE 2.3</t>
  </si>
  <si>
    <t>PATHFINDER 3.5 AUT</t>
  </si>
  <si>
    <t>PATHFINDER 4X4 3.5 AUT</t>
  </si>
  <si>
    <t>PATHFINDER R53 3.5 AUT</t>
  </si>
  <si>
    <t>PATHFINDER SENSE 3.5 AUT</t>
  </si>
  <si>
    <t>NEW QASHQAI ADVANCE 2.0</t>
  </si>
  <si>
    <t>QASHQAI 1.3 AUT</t>
  </si>
  <si>
    <t>QASHQAI 4WD 2.0 AUT</t>
  </si>
  <si>
    <t>QASHQAI 4X4 2.0 AUT</t>
  </si>
  <si>
    <t>QASHQAI ADVANCE 2.0</t>
  </si>
  <si>
    <t>QASHQAI ADVANCE 2.0 AUT</t>
  </si>
  <si>
    <t>QASHQAI CVT 2.0 AUT</t>
  </si>
  <si>
    <t>QASHQAI J11 2.0</t>
  </si>
  <si>
    <t>QASHQAI SENSE 2.0</t>
  </si>
  <si>
    <t>QASHQAI TURBO 4X4 1.3 AUT</t>
  </si>
  <si>
    <t>SENTRA 2.0</t>
  </si>
  <si>
    <t>SENTRA B17 1.8</t>
  </si>
  <si>
    <t>SENTRA B18 CVT 2.0 AUT</t>
  </si>
  <si>
    <t>SENTRA MT 2.0</t>
  </si>
  <si>
    <t>SENTRA SENSE 1.8</t>
  </si>
  <si>
    <t>URVAN</t>
  </si>
  <si>
    <t>URVAN 4X2 2.5</t>
  </si>
  <si>
    <t>V DRIVE N17 1.6</t>
  </si>
  <si>
    <t>SCWX34</t>
  </si>
  <si>
    <t>VERSA DRIVE 1.6</t>
  </si>
  <si>
    <t>VERSA MT 1.6</t>
  </si>
  <si>
    <t>SBWT14</t>
  </si>
  <si>
    <t>VERSA MT 4X2 1.6</t>
  </si>
  <si>
    <t>VERSA SEDAN 1.6</t>
  </si>
  <si>
    <t>VERSA SENCE 1.6</t>
  </si>
  <si>
    <t>LDVR12</t>
  </si>
  <si>
    <t>VERSA SENSE  1.6</t>
  </si>
  <si>
    <t>VERSA V-DRIVE</t>
  </si>
  <si>
    <t>X TRAIL 2.5 AUT</t>
  </si>
  <si>
    <t>X TRAIL 4X4 7P CVT 2.5</t>
  </si>
  <si>
    <t>X TRAIL 7P 4X4 2.5 AUT</t>
  </si>
  <si>
    <t>X TRAIL ADVANCE 2.5 AUT</t>
  </si>
  <si>
    <t>X TRAIL CVT 2.5</t>
  </si>
  <si>
    <t>FTDZ66</t>
  </si>
  <si>
    <t>X TRAIL CVT 2.5 AT</t>
  </si>
  <si>
    <t>X TRAIL CVT 4X4 2.5 AT</t>
  </si>
  <si>
    <t>X TRAIL SENSE 2.5 AUT</t>
  </si>
  <si>
    <t>JXKR56</t>
  </si>
  <si>
    <t>X TRAIL SENSE 4WD 2.5 AUT</t>
  </si>
  <si>
    <t>X TRAIL T32 CVT 2.5 AUT</t>
  </si>
  <si>
    <t>XTRAIL 1.5 4X4 AUT</t>
  </si>
  <si>
    <t>SRZJ29</t>
  </si>
  <si>
    <t>XTRAIL 2.5 AT</t>
  </si>
  <si>
    <t>XTRAIL 4X4 2.5 AUT</t>
  </si>
  <si>
    <t>XTRAIL SENSE 2.5 AT</t>
  </si>
  <si>
    <t>1.5L CVT URBAN</t>
  </si>
  <si>
    <t>TZHV34</t>
  </si>
  <si>
    <t>C5 1.6 AUT</t>
  </si>
  <si>
    <t>CORSA 100 1.2 AUT</t>
  </si>
  <si>
    <t>CORSA BLUE HDI 100 1.5</t>
  </si>
  <si>
    <t>CORSA HB 1.2 AUT</t>
  </si>
  <si>
    <t>CORSA HB5 1.4</t>
  </si>
  <si>
    <t>CORSA TD 100 1.5</t>
  </si>
  <si>
    <t>CROSSLAND</t>
  </si>
  <si>
    <t>CROSSLAND MT6 1.2T</t>
  </si>
  <si>
    <t>CROSSLAND TD MT6 1.5</t>
  </si>
  <si>
    <t>GRANDLAND</t>
  </si>
  <si>
    <t>GRANDLAND 1.6 AUT</t>
  </si>
  <si>
    <t>GRANDLAND 130 1.2T AUT</t>
  </si>
  <si>
    <t>MOKKA</t>
  </si>
  <si>
    <t>MOKKA 1.2T</t>
  </si>
  <si>
    <t>MOKKA 1.2T AUT</t>
  </si>
  <si>
    <t>MOKKA 1.4 AUT</t>
  </si>
  <si>
    <t>MOKKA 1.5 TD</t>
  </si>
  <si>
    <t>4008 FELINE 4WD 2.0 AUT</t>
  </si>
  <si>
    <t>2008</t>
  </si>
  <si>
    <t>2008 ACTIVE 1.2</t>
  </si>
  <si>
    <t>2008 ACTIVE 130 1.2</t>
  </si>
  <si>
    <t>2008 ACTIVE BLUEHDI 1.5</t>
  </si>
  <si>
    <t>2008 ACTIVE BLUEHDI 1.6</t>
  </si>
  <si>
    <t>2008 ALLURE 130 1.2</t>
  </si>
  <si>
    <t>2008 ALLURE BLUEHDI 1.5 AUT</t>
  </si>
  <si>
    <t>2008 ALLURE BLUEHDI 1.6</t>
  </si>
  <si>
    <t>2008 BLUE HDI 1.5</t>
  </si>
  <si>
    <t>2008 BLUE HDI 100 4X2 1.5</t>
  </si>
  <si>
    <t>2008 BLUE HDI 100 TM 1.5</t>
  </si>
  <si>
    <t>2008 BLUE HDI 130 1.5 AUT</t>
  </si>
  <si>
    <t>PJPH58</t>
  </si>
  <si>
    <t>PJPJ81</t>
  </si>
  <si>
    <t>PPGG86</t>
  </si>
  <si>
    <t>2008 BLUE HDI 130 EAT8 1.5 AUT</t>
  </si>
  <si>
    <t>SPZB66</t>
  </si>
  <si>
    <t>2008 PREMIERE BLUEHDI 1.5 AUT</t>
  </si>
  <si>
    <t>2008 PURETECH 130 4X2 1.2</t>
  </si>
  <si>
    <t>2008 PURETECH 130 EAT8 1.2 AUT</t>
  </si>
  <si>
    <t>E 2008 ELECTRIC AUT</t>
  </si>
  <si>
    <t>208</t>
  </si>
  <si>
    <t>208 ACTIVE 1.2</t>
  </si>
  <si>
    <t>208 ALLURE HDI 1.4</t>
  </si>
  <si>
    <t>208 ALLURE VTI 1.6</t>
  </si>
  <si>
    <t>208 BLUE HDI 100 4X2 1.5</t>
  </si>
  <si>
    <t>208 BLUE HDI HB 1.5</t>
  </si>
  <si>
    <t>208 PURE TECH HB 1.2</t>
  </si>
  <si>
    <t>208 PURETECH 130 EAT8 1.2 AUT</t>
  </si>
  <si>
    <t>208 PURETECH 4X2 1.2</t>
  </si>
  <si>
    <t>208 PURETECH 75 1.2</t>
  </si>
  <si>
    <t>208 PURETECH 75 MT 1.2</t>
  </si>
  <si>
    <t>208 SIGNATURE 1.2</t>
  </si>
  <si>
    <t>208 SIGNATURE BLUEHDI 1.5</t>
  </si>
  <si>
    <t>208 STYLE PURETECH 75 1.2</t>
  </si>
  <si>
    <t>3008</t>
  </si>
  <si>
    <t>3008 ACTIVE 1.2</t>
  </si>
  <si>
    <t>3008 ACTIVE 1.6 AUT</t>
  </si>
  <si>
    <t>3008 ACTIVE BLUEHDI 1.5</t>
  </si>
  <si>
    <t>3008 ACTIVE BLUEHDI 1.5 AT</t>
  </si>
  <si>
    <t>LHRT16</t>
  </si>
  <si>
    <t>3008 ACTIVE BLUEHDI 1.6</t>
  </si>
  <si>
    <t>3008 ALLURE 1.6</t>
  </si>
  <si>
    <t>3008 ALLURE 1.6 AUT</t>
  </si>
  <si>
    <t>3008 ALLURE BLUEHDI 1.5 AT</t>
  </si>
  <si>
    <t>3008 ALLURE BLUEHDI 1.5 AUT</t>
  </si>
  <si>
    <t>3008 ALLURE E HDI 1.6</t>
  </si>
  <si>
    <t>3008 BLUE HDI 1.6 AUT</t>
  </si>
  <si>
    <t>3008 BLUE HDI 130 EAT8 1.5 AUT</t>
  </si>
  <si>
    <t>SHLV14</t>
  </si>
  <si>
    <t>3008 BLUEHDI</t>
  </si>
  <si>
    <t>3008 GT 1.2 AUT</t>
  </si>
  <si>
    <t>3008 GT BLUEHDI 2.0 AUT</t>
  </si>
  <si>
    <t>3008 GT LINE 1.6</t>
  </si>
  <si>
    <t>3008 GT LINE 1.6 AT</t>
  </si>
  <si>
    <t>3008 GT LINE BLUEHDI 1.5 AUT</t>
  </si>
  <si>
    <t>3008 PURETECH 180 EAT8 1.6 AUT</t>
  </si>
  <si>
    <t>301</t>
  </si>
  <si>
    <t>301 HDI 92HP 1.6</t>
  </si>
  <si>
    <t>308</t>
  </si>
  <si>
    <t>308 ALLURE 1.2 AT</t>
  </si>
  <si>
    <t>308 ALLURE 1.6</t>
  </si>
  <si>
    <t>308 ALLURE BLUE HDI 1.6</t>
  </si>
  <si>
    <t>308 BLUE HDI 130 1.5</t>
  </si>
  <si>
    <t>308 BLUEHDI 1.5 AUT</t>
  </si>
  <si>
    <t>308 FELINE BLUE HDI 1.6</t>
  </si>
  <si>
    <t>308 FELINE BLUEHDI 1.5 AUT</t>
  </si>
  <si>
    <t>308 PURETECH 1.2 AUT</t>
  </si>
  <si>
    <t>308 PURETECH HB OTTO 1.2</t>
  </si>
  <si>
    <t>4008</t>
  </si>
  <si>
    <t>4008 FELINE 4WD 2.0 AT</t>
  </si>
  <si>
    <t>5008</t>
  </si>
  <si>
    <t>5008 ACTIVE BLUEHDI 1.5 AUT</t>
  </si>
  <si>
    <t>5008 ALLURE 1.6</t>
  </si>
  <si>
    <t>5008 ALLURE 1.6 AUT</t>
  </si>
  <si>
    <t>5008 ALLURE BLUEHDI 1.5 AUT</t>
  </si>
  <si>
    <t>5008 ALLURE BLUEHDI 2.0</t>
  </si>
  <si>
    <t>5008 BLUE HDI 1.5 AT</t>
  </si>
  <si>
    <t>5008 GT BLUEHDI 1.5 AUT</t>
  </si>
  <si>
    <t>5008 GT BLUEHDI 2.0 AUT</t>
  </si>
  <si>
    <t>5008 GT LINE BLUEHDI 1.5 AUT</t>
  </si>
  <si>
    <t>5008 THP 165 1.6 AUT</t>
  </si>
  <si>
    <t>BOXER BLUEHDI 2.0</t>
  </si>
  <si>
    <t>LANDTREK 4X4 1.9</t>
  </si>
  <si>
    <t>LANDTREK 4X4 2.4 AUT</t>
  </si>
  <si>
    <t>LANDTREK BLUE HDI 180 4X4 2.2</t>
  </si>
  <si>
    <t>LANDTREK HDI 1.9</t>
  </si>
  <si>
    <t>PARTNER HDI 92 L2 1.6</t>
  </si>
  <si>
    <t>PARTNER L2 BLUE HDI 100 1.5</t>
  </si>
  <si>
    <t>RIFTER ALLURE BLUEHDI 1.5 AUT</t>
  </si>
  <si>
    <t>RIFTER ALLURE BLUEHDI 1.6</t>
  </si>
  <si>
    <t>RIFTER BLUE HDI 100 1.6</t>
  </si>
  <si>
    <t>RIFTER PURETECH 130 1.2 AUT</t>
  </si>
  <si>
    <t>RITTER ALLURE 1.5</t>
  </si>
  <si>
    <t>TRAVELLER L3 BLUE HDI 150 2.0</t>
  </si>
  <si>
    <t>TRAVELLER L3 BLUE HDI 180 2.0</t>
  </si>
  <si>
    <t>PORSCHE</t>
  </si>
  <si>
    <t>CAYENE 3.0</t>
  </si>
  <si>
    <t>RAM 1000</t>
  </si>
  <si>
    <t>1000 BIG HORN 1.8 AUT</t>
  </si>
  <si>
    <t>1000 BIG HORN DCAB 1.8 AUT</t>
  </si>
  <si>
    <t>1000 DCAB 1.8 AUT</t>
  </si>
  <si>
    <t>1500 BIG HORN 4X4 3.6 AT</t>
  </si>
  <si>
    <t>1500 BIG HORN CREW CAB 4X4 3.6 AUT</t>
  </si>
  <si>
    <t>1500 CREW CAB LARAMIE 4X4 3.0 AUT</t>
  </si>
  <si>
    <t>1500 LARAMIE 4X4 3.0 AUT</t>
  </si>
  <si>
    <t>1500 LARAMIE CREW CAB 4X4 5.7 AUT</t>
  </si>
  <si>
    <t>1500 QUAD CAB SLT DCAB 4X4 3.6 AUT</t>
  </si>
  <si>
    <t>NEW RAM 1500 4X4 5.7 AUT</t>
  </si>
  <si>
    <t>NEW RAM1500 DCAB SLT 4X4 3.6 AUT</t>
  </si>
  <si>
    <t>RAM1500 4X4 3.6 AUT</t>
  </si>
  <si>
    <t>RAM 700</t>
  </si>
  <si>
    <t>700 ADVENTURE DCAB 1.6</t>
  </si>
  <si>
    <t>700 BIGHORN CD 1.4</t>
  </si>
  <si>
    <t>700 BIGHORN D CAB 4X2 1.4</t>
  </si>
  <si>
    <t>700 EXPRESS 1.4</t>
  </si>
  <si>
    <t>700 EXPRESS CS 1.4</t>
  </si>
  <si>
    <t>700 LARAMIE 4X2 1.3</t>
  </si>
  <si>
    <t>700 LARAMIE CD 1.3</t>
  </si>
  <si>
    <t>700 SLT DCAB 1.4</t>
  </si>
  <si>
    <t>RAM V700</t>
  </si>
  <si>
    <t>VAN 700 RAPID 1.4</t>
  </si>
  <si>
    <t>CAPTUR SOHC 1.5</t>
  </si>
  <si>
    <t>CLIO HB EXPRESSION 1.2</t>
  </si>
  <si>
    <t>CLIO IV HB 1.2</t>
  </si>
  <si>
    <t>DUSTER 1.6</t>
  </si>
  <si>
    <t>DUSTER DYNAMIQUE 1.6</t>
  </si>
  <si>
    <t>DUSTER LIFE 1.6</t>
  </si>
  <si>
    <t>DUSTER ZEN 2.0</t>
  </si>
  <si>
    <t>KWID HB 1.0</t>
  </si>
  <si>
    <t>OROCH 2.0</t>
  </si>
  <si>
    <t>OROCH ZEN 1.6</t>
  </si>
  <si>
    <t>SYMBOL 1.6</t>
  </si>
  <si>
    <t>DUSTER 4X2 1.6</t>
  </si>
  <si>
    <t>KOLEOS 2.5 AUT</t>
  </si>
  <si>
    <t>KOLEOS 4X4 2.5 AUT</t>
  </si>
  <si>
    <t>SYMBOL SOHC 1.6</t>
  </si>
  <si>
    <t>ATECA 4X4 1.4 AUT</t>
  </si>
  <si>
    <t>ACTYON</t>
  </si>
  <si>
    <t>ACTYON SPORT 2.2</t>
  </si>
  <si>
    <t>KORANDO 1.5</t>
  </si>
  <si>
    <t>KORANDO 2.2</t>
  </si>
  <si>
    <t>KORANDO 2.2 AUT</t>
  </si>
  <si>
    <t>NEW KORANDO GLX 1.5</t>
  </si>
  <si>
    <t>NEW KORANDO GLX 1.5 AUT</t>
  </si>
  <si>
    <t>NEW KORANDO GLX FULL 1.6 AUT</t>
  </si>
  <si>
    <t>NEW KORANDO LIMITED 1.5 AUT</t>
  </si>
  <si>
    <t>MUSSO GRAND EURO 6B</t>
  </si>
  <si>
    <t>MUSSO DCAB 4X4 2.2 AUT</t>
  </si>
  <si>
    <t>MUSSO GRAND 2.2</t>
  </si>
  <si>
    <t>MUSSO GRAND 4X4 2.2</t>
  </si>
  <si>
    <t>NEW MUSSO E6</t>
  </si>
  <si>
    <t>GRAND MUSSO 4X4 2.2</t>
  </si>
  <si>
    <t>MUSSO DCAB 4X4 2.2</t>
  </si>
  <si>
    <t>NEW REXTON 2.0 AT</t>
  </si>
  <si>
    <t>NEW REXTON LX 4X4 2.0 AUT</t>
  </si>
  <si>
    <t>NEW REXTON E6 SA</t>
  </si>
  <si>
    <t>REXTON 2.2 AUT</t>
  </si>
  <si>
    <t>NEW REXTON 2.0</t>
  </si>
  <si>
    <t>NEW REXTON 2.0 AUT</t>
  </si>
  <si>
    <t>NEW REXTON 2.2</t>
  </si>
  <si>
    <t>NEW REXTON 2.2 AUT</t>
  </si>
  <si>
    <t>NEW REXTON 4X4 2.2 AUT</t>
  </si>
  <si>
    <t>NEW REXTON GLX TD 2.2 AUT</t>
  </si>
  <si>
    <t>NEW REXTON OTTO 2.0</t>
  </si>
  <si>
    <t>TIVOLI</t>
  </si>
  <si>
    <t>TIVOLI  1.6</t>
  </si>
  <si>
    <t>TIVOLI 1.6 AUT</t>
  </si>
  <si>
    <t>TIVOLI GLX 1.6</t>
  </si>
  <si>
    <t>TORRES GLX 1.5 AUT</t>
  </si>
  <si>
    <t>TORRES GLX 4X4 1.5 AUT</t>
  </si>
  <si>
    <t>EVOLTIS LIMITED 4X4 2.4 AUT</t>
  </si>
  <si>
    <t>EVOLTIS TOURING 4X4 2.4 AUT</t>
  </si>
  <si>
    <t>ALL NEW FORESTER XS AWD CVT 2.0I</t>
  </si>
  <si>
    <t>FORESTER 4X4 2.0 AT</t>
  </si>
  <si>
    <t>RVYJ30</t>
  </si>
  <si>
    <t>FORESTER 4X4 2.0I AUT</t>
  </si>
  <si>
    <t>FORESTER AWD 2.0</t>
  </si>
  <si>
    <t>FORESTER AWD 2.0 AUT</t>
  </si>
  <si>
    <t>FORESTER AWD 2.0I</t>
  </si>
  <si>
    <t>FORESTER CVT 4X4 2.0 AUT</t>
  </si>
  <si>
    <t>FORESTER CVT 4X4 2.5 AUT</t>
  </si>
  <si>
    <t>FORESTER XS 2.0 AUT</t>
  </si>
  <si>
    <t>FORESTER XS 4X4 2.0I AUT</t>
  </si>
  <si>
    <t>NEW FORESTER AWD CVT 2.0I</t>
  </si>
  <si>
    <t>IMPREZA</t>
  </si>
  <si>
    <t>IMPREZA 4X4 CVT 2.0 AT</t>
  </si>
  <si>
    <t>NEW IMPREZA 4X4 1.6 AUT</t>
  </si>
  <si>
    <t>NEW IMPREZA SPORT 4X4 1.6 AUT</t>
  </si>
  <si>
    <t>LYLX18</t>
  </si>
  <si>
    <t>ALL NEW OUTBACK 4X4 2.5I AUT</t>
  </si>
  <si>
    <t>ALL NEW OUTBACK LTD 4X4 2.5I AUT</t>
  </si>
  <si>
    <t>NEW OUTBACK 3.6R AWD AUT</t>
  </si>
  <si>
    <t>OUTBACK 4X4 2.5 AT</t>
  </si>
  <si>
    <t>OUTBACK 4X4 CVT 2.5 AT</t>
  </si>
  <si>
    <t>OUTBACK (exclusivo servicio)</t>
  </si>
  <si>
    <t>OUTBACK AWD 2.5I AUT</t>
  </si>
  <si>
    <t>NEW XV 4X4 1.6I AUT</t>
  </si>
  <si>
    <t>NEW XV 4x4 2.0I</t>
  </si>
  <si>
    <t>NEW XV 4X4 2.0I AUT</t>
  </si>
  <si>
    <t>NEW XV AWD 1.6I AUT</t>
  </si>
  <si>
    <t>NEW XV AWD 2.0I AUT</t>
  </si>
  <si>
    <t>NEW XV AWD CVT 2.0I</t>
  </si>
  <si>
    <t>XV AWD 1.6I</t>
  </si>
  <si>
    <t>XV AWD CVT 2.0</t>
  </si>
  <si>
    <t>XV CVT 2.0 AUT</t>
  </si>
  <si>
    <t>XV DYNAMIC AWD 2.0I AUT</t>
  </si>
  <si>
    <t>JBVC35</t>
  </si>
  <si>
    <t>ALTO 4X2 1.0</t>
  </si>
  <si>
    <t>ALTO 800</t>
  </si>
  <si>
    <t>ALTO DLX HB 800CC</t>
  </si>
  <si>
    <t>ALTO GL 800 CC</t>
  </si>
  <si>
    <t>ALTO GL HB 800CC</t>
  </si>
  <si>
    <t>ALTO GLX HB 800 CC</t>
  </si>
  <si>
    <t>BALENO 4X2 1.5 AUT</t>
  </si>
  <si>
    <t>BALENO GLS 1.4 AUT</t>
  </si>
  <si>
    <t>BALENO GLS HB 1.4</t>
  </si>
  <si>
    <t>BALENO GLS HB 1.4 AUT</t>
  </si>
  <si>
    <t>BALENO GLX HB 1.4</t>
  </si>
  <si>
    <t>BALENO HB 1.4</t>
  </si>
  <si>
    <t>NEW BALENO GLX 1.5</t>
  </si>
  <si>
    <t>NEW BALENO GLX HB 1.5</t>
  </si>
  <si>
    <t>CELERIO GA HB 1.0</t>
  </si>
  <si>
    <t>CELERIO GLX HB 1.0</t>
  </si>
  <si>
    <t>CELERIO HB MT 1.0</t>
  </si>
  <si>
    <t>DZIRE GL 1.2</t>
  </si>
  <si>
    <t>DZIRE SEDAN 1.2</t>
  </si>
  <si>
    <t>ERTIGA</t>
  </si>
  <si>
    <t>ERTIGA GLS 1.4</t>
  </si>
  <si>
    <t>GRAND NOMADE GLX  2.4</t>
  </si>
  <si>
    <t>GRAND NOMADE GLX 4X4 2.4</t>
  </si>
  <si>
    <t>IGNIS</t>
  </si>
  <si>
    <t>IGNIS GL HB 1.2</t>
  </si>
  <si>
    <t>JIMNY GLX 4X4 1.5</t>
  </si>
  <si>
    <t>S CROSS</t>
  </si>
  <si>
    <t>S CROSS GL 1.6</t>
  </si>
  <si>
    <t>S CROSS GLX 1.4 AUT</t>
  </si>
  <si>
    <t>SPRESSO</t>
  </si>
  <si>
    <t>S PRESSO HB 1.0</t>
  </si>
  <si>
    <t>SPRESSO 1.0</t>
  </si>
  <si>
    <t>SPRESSO GLX 1.0</t>
  </si>
  <si>
    <t>SWIFT 2WD 1.2 AUT</t>
  </si>
  <si>
    <t>SWIFT 4X2 1.2</t>
  </si>
  <si>
    <t>SWIFT GA 1.2</t>
  </si>
  <si>
    <t>SWIFT GL 1.2</t>
  </si>
  <si>
    <t>SWIFT GL SPORT 1.2</t>
  </si>
  <si>
    <t>SWIFT GLA SPORT 1.2</t>
  </si>
  <si>
    <t>SWIFT HB 1.2 AT</t>
  </si>
  <si>
    <t>SX4</t>
  </si>
  <si>
    <t>SX4 S CROSS 4X4 1.6</t>
  </si>
  <si>
    <t>GRAND VITARA 1.6</t>
  </si>
  <si>
    <t>GRAND VITARA 2WD 1.5 AT</t>
  </si>
  <si>
    <t>GRAND VITARA GLX 4X4 1.6</t>
  </si>
  <si>
    <t>VITARA GLS 1.6</t>
  </si>
  <si>
    <t>VITARA GLX 4X4 1.4</t>
  </si>
  <si>
    <t>VITARA II GLX 1.6</t>
  </si>
  <si>
    <t>VITARA OTTO 1.6</t>
  </si>
  <si>
    <t>SWM</t>
  </si>
  <si>
    <t>G03F</t>
  </si>
  <si>
    <t>G03F 1.5</t>
  </si>
  <si>
    <t>4 RUNNER</t>
  </si>
  <si>
    <t>4 RUNNER 4.0  AUT</t>
  </si>
  <si>
    <t>4RUNNER SR5 4.0 AUT</t>
  </si>
  <si>
    <t>AURIS</t>
  </si>
  <si>
    <t>AURIS LEI 1.6 AUT</t>
  </si>
  <si>
    <t>COROLLA CROSS 2.0</t>
  </si>
  <si>
    <t>COROLLA CROSS CVT 1.8</t>
  </si>
  <si>
    <t>COROLLA CROSS CVT 2.0 AUT</t>
  </si>
  <si>
    <t>COROLLA CROSS CVT HEV 1.8 AUT</t>
  </si>
  <si>
    <t>NEW COROLLA XLI 1.6</t>
  </si>
  <si>
    <t>FORTUNER</t>
  </si>
  <si>
    <t>FORTUNER 2.7</t>
  </si>
  <si>
    <t>FORTUNER 2.7 AUT</t>
  </si>
  <si>
    <t>FORTUNER 4X2 2.7 AUT</t>
  </si>
  <si>
    <t>FORTUNER 4X4 2.8 AUT</t>
  </si>
  <si>
    <t>FORTUNER 4X4 AUT 2.8</t>
  </si>
  <si>
    <t>HI LUX 2.4</t>
  </si>
  <si>
    <t>HI LUX D CAB 2.4</t>
  </si>
  <si>
    <t>HI LUX DX 2.4</t>
  </si>
  <si>
    <t>HILUX 2.7</t>
  </si>
  <si>
    <t>HILUX PICKUP 4P 4X4 2.4</t>
  </si>
  <si>
    <t>HILUX SR 4X4 2.4</t>
  </si>
  <si>
    <t>RAIZE 1.2</t>
  </si>
  <si>
    <t>RAV</t>
  </si>
  <si>
    <t>NEW RAV4 CVT 2.0</t>
  </si>
  <si>
    <t>RAV 4 2.0</t>
  </si>
  <si>
    <t>RAV 4 2.0 AUT</t>
  </si>
  <si>
    <t>RAV 4 LE 2.0</t>
  </si>
  <si>
    <t>RAV 4 LE 2.0 AUT</t>
  </si>
  <si>
    <t>RAV4 2.5 AUT</t>
  </si>
  <si>
    <t>RAV4 4X4 2.5 AUT</t>
  </si>
  <si>
    <t>RAV4 HYBRID CVT 2.5 AUT</t>
  </si>
  <si>
    <t>RAV4 OTTO 2.0 AUT</t>
  </si>
  <si>
    <t>RUSH 1.5</t>
  </si>
  <si>
    <t>RUSH 1.5 MT</t>
  </si>
  <si>
    <t>RUSH 4X4 1.5</t>
  </si>
  <si>
    <t>RUSH XLI 1.5</t>
  </si>
  <si>
    <t>RUSH XLI 1.5 AUT</t>
  </si>
  <si>
    <t>AYGO HB 1.0</t>
  </si>
  <si>
    <t>YARIS</t>
  </si>
  <si>
    <t>YARIS 1.5</t>
  </si>
  <si>
    <t>YARIS GLI 1.5</t>
  </si>
  <si>
    <t>YARIS HB OTTO 1.5</t>
  </si>
  <si>
    <t>YARIS SD 1.5</t>
  </si>
  <si>
    <t>YARIS SPORT HB 1.5</t>
  </si>
  <si>
    <t>UAZ</t>
  </si>
  <si>
    <t>HUNTER SPORT 4X4 2.7</t>
  </si>
  <si>
    <t>AMAROK COMFORT 2.0</t>
  </si>
  <si>
    <t>AMAROK COMFORTLINE 2.0</t>
  </si>
  <si>
    <t>AMAROK HIGHLINE 4X4 2.0 AT</t>
  </si>
  <si>
    <t>BEETLE</t>
  </si>
  <si>
    <t>BEETLE DESIGN 1.4</t>
  </si>
  <si>
    <t>CROSS</t>
  </si>
  <si>
    <t>T CROSS 1.6</t>
  </si>
  <si>
    <t>T CROSS 4X2 1.6 AUT</t>
  </si>
  <si>
    <t>T CROSS TRENDLINE 1.6</t>
  </si>
  <si>
    <t>T ROSS 1.6</t>
  </si>
  <si>
    <t>GOL HB 1.6</t>
  </si>
  <si>
    <t>GOL HIGHLINE 1.6</t>
  </si>
  <si>
    <t>GOL TRENDLINE 1.6</t>
  </si>
  <si>
    <t>GOLF HATCHBACK 1.6</t>
  </si>
  <si>
    <t>NIVUS TSI 1.0</t>
  </si>
  <si>
    <t>NIVUS TSI 1.0 AUT</t>
  </si>
  <si>
    <t>NIVUS TSI HIGHLINE 1.0 AUT</t>
  </si>
  <si>
    <t>POLO 1.6</t>
  </si>
  <si>
    <t>POLO HIGHLINE 1.6</t>
  </si>
  <si>
    <t>SAVEIRO CD 1.6</t>
  </si>
  <si>
    <t>SAVEIRO D CAB 1.6</t>
  </si>
  <si>
    <t>T CROSS</t>
  </si>
  <si>
    <t>T CROSS TSI 1.0</t>
  </si>
  <si>
    <t>TAOS TSI 1.4 AT</t>
  </si>
  <si>
    <t>TIGUAN 1.4</t>
  </si>
  <si>
    <t>TIGUAN OTTO 1.4 AUT</t>
  </si>
  <si>
    <t>TIGUAN TSI 1.4 AUT</t>
  </si>
  <si>
    <t>TIGUAN TSI 4X2 1.4 AUT</t>
  </si>
  <si>
    <t>VIRTUS TRENDLINE 1.6</t>
  </si>
  <si>
    <t>VOYAGE 1.6</t>
  </si>
  <si>
    <t>VOYAGE TRENDLINE 1.6</t>
  </si>
  <si>
    <t>VOLVO</t>
  </si>
  <si>
    <t>V40 D2 MOMENTUM 2.0</t>
  </si>
  <si>
    <t>V60CC T5 4X4 2.0 AUT</t>
  </si>
  <si>
    <t>XC40</t>
  </si>
  <si>
    <t>XC40 B4 ULTIMATE 2.0 AUT</t>
  </si>
  <si>
    <t>ZX</t>
  </si>
  <si>
    <t>TERRALORD D CAB LUX 2.5</t>
  </si>
  <si>
    <t>Empresa</t>
  </si>
  <si>
    <t>Sucursal</t>
  </si>
  <si>
    <t>Folio Venta</t>
  </si>
  <si>
    <t>Venta</t>
  </si>
  <si>
    <t>Estado Venta</t>
  </si>
  <si>
    <t>Fecha Venta</t>
  </si>
  <si>
    <t>Tipo Documento (Folio)</t>
  </si>
  <si>
    <t>Vendedor</t>
  </si>
  <si>
    <t>Fecha Ingreso</t>
  </si>
  <si>
    <t>Fecha Facturación</t>
  </si>
  <si>
    <t>Numero VIN</t>
  </si>
  <si>
    <t>Código Versión</t>
  </si>
  <si>
    <t>Kilometraje</t>
  </si>
  <si>
    <t>Código Interno</t>
  </si>
  <si>
    <t>Condición Vehículo</t>
  </si>
  <si>
    <t>Color Exterior</t>
  </si>
  <si>
    <t>Color Interior</t>
  </si>
  <si>
    <t>Precio Venta Total</t>
  </si>
  <si>
    <t>Estado AutoPro</t>
  </si>
  <si>
    <t>Días Stock</t>
  </si>
  <si>
    <t>Bodega</t>
  </si>
  <si>
    <t>Equipamiento</t>
  </si>
  <si>
    <t>Numero Motor</t>
  </si>
  <si>
    <t>Numero Chasis</t>
  </si>
  <si>
    <t>Proveedor</t>
  </si>
  <si>
    <t>Fecha Disponibilidad</t>
  </si>
  <si>
    <t>Factura Compra</t>
  </si>
  <si>
    <t>Vencimiento Documento</t>
  </si>
  <si>
    <t>Fecha Compra</t>
  </si>
  <si>
    <t>Fecha Vencto. Revisión Técnica</t>
  </si>
  <si>
    <t>N° Propietarios</t>
  </si>
  <si>
    <t>Folio Retoma</t>
  </si>
  <si>
    <t>Fecha Retoma</t>
  </si>
  <si>
    <t>Días Reservado</t>
  </si>
  <si>
    <t>Precio Compra Neto</t>
  </si>
  <si>
    <t>Gasto</t>
  </si>
  <si>
    <t>Accesorios</t>
  </si>
  <si>
    <t>Total Costo</t>
  </si>
  <si>
    <t>Precio Lista</t>
  </si>
  <si>
    <t>Margen</t>
  </si>
  <si>
    <t>Margen %</t>
  </si>
  <si>
    <t>IMPORTADORA TRENTO LTDA</t>
  </si>
  <si>
    <t>LOCAL PREMIUM CAR SALES</t>
  </si>
  <si>
    <t>3P1L</t>
  </si>
  <si>
    <t>USADO</t>
  </si>
  <si>
    <t>GRIS ARTENSE</t>
  </si>
  <si>
    <t>POR DEFINIR</t>
  </si>
  <si>
    <t>Disponible</t>
  </si>
  <si>
    <t>PREMIUM CAR SALES</t>
  </si>
  <si>
    <t>AE,CC,EE,AAC,ABS,LL,VC,AISO,AAUTO,CRE,MAV,ACD,SR,U</t>
  </si>
  <si>
    <t>1GNSK7KC8 KR384750</t>
  </si>
  <si>
    <t>CHTAH4X453AT</t>
  </si>
  <si>
    <t>TCHSTWU000319</t>
  </si>
  <si>
    <t>GRIS METALICO</t>
  </si>
  <si>
    <t>AE,CC,EE,AAC,ABS,LL,TC,VC,AISO,AAUTO,CRE,MAV,ACD,S</t>
  </si>
  <si>
    <t>CKR384750</t>
  </si>
  <si>
    <t>RAUL EDUARDO HUERTA DIAZ</t>
  </si>
  <si>
    <t>AZUL</t>
  </si>
  <si>
    <t>AE,CC,EE,NB,ABS,LL,VC,AC,AISO,AAUTO,CRE,MAV,ACD,SR</t>
  </si>
  <si>
    <t>SEGURIDAD PRIVADA Y ASEO INDUSTRIAL GUILLERMO DE JESUS NEIRA ARAYA SPA . .</t>
  </si>
  <si>
    <t>VF3MCYHZUSL001353</t>
  </si>
  <si>
    <t>5008BH130</t>
  </si>
  <si>
    <t>TPESTWU000451</t>
  </si>
  <si>
    <t>BLANCO NACARADO</t>
  </si>
  <si>
    <t>AE,CC,EE,AAC,ABS,LL,VC,AISO,ACP,AAUTO,CRE,MAV,ACD,</t>
  </si>
  <si>
    <t>10Q3EJ1989595</t>
  </si>
  <si>
    <t>CAMILA MONSERRAT COLLAO CASTILLO</t>
  </si>
  <si>
    <t>MEGACENTRO OVALLE</t>
  </si>
  <si>
    <t>VF3M45GZWJS004343</t>
  </si>
  <si>
    <t>P7R9</t>
  </si>
  <si>
    <t>TPESTWU000443</t>
  </si>
  <si>
    <t>ROJO ULTIMATE</t>
  </si>
  <si>
    <t>BODEGA OVALLEveih</t>
  </si>
  <si>
    <t>AE,CC,EE,ABS,LL,VC,AC,AISO,AAUTO,CRE,MAV,ACD,SR,UD</t>
  </si>
  <si>
    <t>10FJCC2344377</t>
  </si>
  <si>
    <t>mario lagunas</t>
  </si>
  <si>
    <t>LOCAL USADOS COPIAPO</t>
  </si>
  <si>
    <t>KPTE0A1YS PP010412</t>
  </si>
  <si>
    <t>SSTO4X215MT</t>
  </si>
  <si>
    <t>TSYSTWU000339</t>
  </si>
  <si>
    <t>AZUL METALICO</t>
  </si>
  <si>
    <t>BODEGA LOS CARRERA COPIAPO</t>
  </si>
  <si>
    <t>AE,CC,EE,NB,AAC,ABS,LL,VC,AISO,AAUTO,CRE,MAV,ACD,S</t>
  </si>
  <si>
    <t>GONZALO ANTONIO DELGADO COFRÉ</t>
  </si>
  <si>
    <t>VF3MCYHZRLS003227</t>
  </si>
  <si>
    <t>PCM10</t>
  </si>
  <si>
    <t>TPESTWU000283</t>
  </si>
  <si>
    <t>AE,CC,EE,NB,ABS,LL,AC,AISO,AAUTO,CRE,ACD,SR,DLL,6A</t>
  </si>
  <si>
    <t>10Q3BC0371833</t>
  </si>
  <si>
    <t>PRUDENCIA LEONELLY VALDIVIA PLAZA</t>
  </si>
  <si>
    <t>KMFYFX71AMU043854</t>
  </si>
  <si>
    <t>HYSTAMTDSL</t>
  </si>
  <si>
    <t>THYFRGU000001</t>
  </si>
  <si>
    <t>BLANCO</t>
  </si>
  <si>
    <t>AE,CC,EE,2AB,ABS,AC,AISO,AAUTO,MAV,ACD,UD,DLL</t>
  </si>
  <si>
    <t>D4HBNU232537</t>
  </si>
  <si>
    <t>ELISEO SERGIO GAJARDO VALDERRAMA</t>
  </si>
  <si>
    <t>LOCAL USADOS</t>
  </si>
  <si>
    <t>BODEGA VEHICULOS</t>
  </si>
  <si>
    <t>SOCIEDAD HERMANAS CALLEGARI LTDA</t>
  </si>
  <si>
    <t>VR3KAHPY6 SS009601</t>
  </si>
  <si>
    <t>3008ALLUSA</t>
  </si>
  <si>
    <t>TPESTWU000425</t>
  </si>
  <si>
    <t>AE,CC,EE,AAC,ABS,LL,AISO,AAUTO,CRE,MAV,ACD,SR,UD,D</t>
  </si>
  <si>
    <t>10ZA040090603</t>
  </si>
  <si>
    <t>PEDRO ANDRES NARVAEZ FLORES</t>
  </si>
  <si>
    <t>LOCAL SALAMANCA</t>
  </si>
  <si>
    <t>9V8FF4HY1RA800991</t>
  </si>
  <si>
    <t>PELANHDI4X422AT</t>
  </si>
  <si>
    <t>TPECMTU000016</t>
  </si>
  <si>
    <t>GRIS ALUMINIUM</t>
  </si>
  <si>
    <t>10VRAC4002861</t>
  </si>
  <si>
    <t>JONATHAN JAVIER LARA BARRAZA</t>
  </si>
  <si>
    <t>LOCAL PDI</t>
  </si>
  <si>
    <t>KNCSJX76AF7939699</t>
  </si>
  <si>
    <t>17--1336</t>
  </si>
  <si>
    <t>TKICMTN000002</t>
  </si>
  <si>
    <t>BLANCO INVIERNO</t>
  </si>
  <si>
    <t>NO DEFINIDO</t>
  </si>
  <si>
    <t>BODEGA PDI</t>
  </si>
  <si>
    <t>D4CBF677399</t>
  </si>
  <si>
    <t>SERVICIOS DE INGENIERIA Y MINERIA SPA</t>
  </si>
  <si>
    <t>BLANCO BANQUISE</t>
  </si>
  <si>
    <t>LGHT12173E9700288</t>
  </si>
  <si>
    <t>2012--CARGOBOX1</t>
  </si>
  <si>
    <t>TDFCMTU000001</t>
  </si>
  <si>
    <t>EQ474I-3013074700</t>
  </si>
  <si>
    <t>MEGACENTRO COPIAPO</t>
  </si>
  <si>
    <t>LGHT12177E9700276</t>
  </si>
  <si>
    <t>TDFCMTU000004</t>
  </si>
  <si>
    <t>BOD. Veh. MEGA COPIAPO</t>
  </si>
  <si>
    <t>EQ474I-3013074677</t>
  </si>
  <si>
    <t>***//*.+*********</t>
  </si>
  <si>
    <t>22--010</t>
  </si>
  <si>
    <t>TNISTWU000449</t>
  </si>
  <si>
    <t>BLANCO PERLA</t>
  </si>
  <si>
    <t>HR16411356R</t>
  </si>
  <si>
    <t>SJNFBAF15GA090279</t>
  </si>
  <si>
    <t>SERGIO H OLIVARES ORTIZ  Y CIA LTDA</t>
  </si>
  <si>
    <t>/////**++**++////</t>
  </si>
  <si>
    <t>MZCX60PR4X433AT</t>
  </si>
  <si>
    <t>TMASTWU000104</t>
  </si>
  <si>
    <t>ROJO CRISTAL</t>
  </si>
  <si>
    <t>AE,EE,AAC,ABS,LL,TC,VC,AISO,ACP,AAUTO,AELE,CRE,MAV</t>
  </si>
  <si>
    <t>H3 10225780</t>
  </si>
  <si>
    <t>JM7KH1HD2R1101438</t>
  </si>
  <si>
    <t>ISABEL SOLEDAD CORTES DURAN</t>
  </si>
  <si>
    <t>////////******++.</t>
  </si>
  <si>
    <t>HYSTF4X425AT</t>
  </si>
  <si>
    <t>THYSTWU000544</t>
  </si>
  <si>
    <t>PLATEADO PLATA</t>
  </si>
  <si>
    <t>AE,CC,EE,ABS,LL,VC,AC,AISO,CRE,MAV,ACD,SR,DLL,6AB,</t>
  </si>
  <si>
    <t>G4KNRA851884</t>
  </si>
  <si>
    <t>KMHP281JD RU030971</t>
  </si>
  <si>
    <t>RODOLFO ANDRES SALGADO MARILEO</t>
  </si>
  <si>
    <t>LVVDB21B8 ND055115</t>
  </si>
  <si>
    <t>T7PRODEV</t>
  </si>
  <si>
    <t>TCYSTWU000340</t>
  </si>
  <si>
    <t>BLANCO METALIZADO</t>
  </si>
  <si>
    <t>AE,CC,EE,AAC,ABS,LL,AISO,AAUTO,CRE,MAV,TELE,ACD,SR</t>
  </si>
  <si>
    <t>SQRE4T15CAPNA00418</t>
  </si>
  <si>
    <t>MARIA ANTONIETA DEL CARMEN WHITTAKER ROA</t>
  </si>
  <si>
    <t>3N1AB7AE8LY202955</t>
  </si>
  <si>
    <t>NISEN18AT</t>
  </si>
  <si>
    <t>TNIAUTU000649</t>
  </si>
  <si>
    <t>AE,CC,EE,NB,ABS,LL,4AB,AC,AISO,AAUTO,ACD,DLL</t>
  </si>
  <si>
    <t>MRA8720448J</t>
  </si>
  <si>
    <t>RUPERTO ALEJANDRO GALLEGOS GUTIERREZ</t>
  </si>
  <si>
    <t>3FMCR9E91RRF05973</t>
  </si>
  <si>
    <t>BRUS7</t>
  </si>
  <si>
    <t>TFOSTWU001397</t>
  </si>
  <si>
    <t>GRIS AZULADO</t>
  </si>
  <si>
    <t>AE,CC,EE,AAC,ABS,LL,VC,ESP,AISO,AAUTO,CRE,ACD,SR,U</t>
  </si>
  <si>
    <t>RRF05973</t>
  </si>
  <si>
    <t>RUTH ESTER OSSANDON NARBONA</t>
  </si>
  <si>
    <t>LVVDB21B8SD022028</t>
  </si>
  <si>
    <t>OMC515AT</t>
  </si>
  <si>
    <t>TOMOSTWU000003</t>
  </si>
  <si>
    <t>AE,CC,EE,NB,AAC,ABS,LL,AISO,AAUTO,CRE,MAV,ACD,UD,G</t>
  </si>
  <si>
    <t>SQRE4T15CCHRD00089</t>
  </si>
  <si>
    <t>ANDREA ALEJANDRA LIBERON LIBERON</t>
  </si>
  <si>
    <t>/..+/+++///++*...</t>
  </si>
  <si>
    <t>CR566</t>
  </si>
  <si>
    <t>TCIAUTU000131</t>
  </si>
  <si>
    <t>GRIS SATINADO T BLANCO</t>
  </si>
  <si>
    <t>AE,CC,EE,2AB,ABS,LL,AC,AISO,AAUTO,MAV,ACD,DLL</t>
  </si>
  <si>
    <t>10XK132270863</t>
  </si>
  <si>
    <t>VF72RHNZWJ4344809</t>
  </si>
  <si>
    <t>MYRIAM LORENA ALVAREZ DIAZ</t>
  </si>
  <si>
    <t>VF3M45GFUPS010582</t>
  </si>
  <si>
    <t>PE5008PT16AT</t>
  </si>
  <si>
    <t>TPESTWU000446</t>
  </si>
  <si>
    <t>10FKBL3003916</t>
  </si>
  <si>
    <t>JOHNNY SEBASTIAN DIAZ ZAMORANO</t>
  </si>
  <si>
    <t>JN1JAAT33PW000133</t>
  </si>
  <si>
    <t>XXTT22</t>
  </si>
  <si>
    <t>TNISTWU000607</t>
  </si>
  <si>
    <t>PR25206464F</t>
  </si>
  <si>
    <t>ROXANA DE LOURDES VALLE GALLEGUILLOS</t>
  </si>
  <si>
    <t>9BGEN76C0 PB119398</t>
  </si>
  <si>
    <t>TU8000</t>
  </si>
  <si>
    <t>TCHSTWU000300</t>
  </si>
  <si>
    <t>L4H 221104607</t>
  </si>
  <si>
    <t>MARITZA XIMENA FLORES NAVARRO</t>
  </si>
  <si>
    <t>1FTEW1E51LFC25883</t>
  </si>
  <si>
    <t>FOF150LA4X450AT</t>
  </si>
  <si>
    <t>TFOCMTU001144</t>
  </si>
  <si>
    <t>PLATEADO METALICO</t>
  </si>
  <si>
    <t>AE,CC,EE,NB,AAC,ABS,LL,AISO,AAUTO,CRE,MAV,SR,DLL,6</t>
  </si>
  <si>
    <t>LFC25883</t>
  </si>
  <si>
    <t>GILBERTO ALEJANDRO PARDO ALCAYAGA</t>
  </si>
  <si>
    <t>98859125B TKS03533</t>
  </si>
  <si>
    <t>RARAMCSLA4X420AT</t>
  </si>
  <si>
    <t>TRACMTU000050</t>
  </si>
  <si>
    <t>PLATEADO PLATA BILLET</t>
  </si>
  <si>
    <t>AE,CC,EE,AAC,ABS,LL,VC,AC,AISO,AAUTO,CRE,MAV,ACD,S</t>
  </si>
  <si>
    <t>BERNARDO MAURICIO CORTES AVALOS</t>
  </si>
  <si>
    <t>JS3TD04V3K4101439</t>
  </si>
  <si>
    <t>SZGRANNOGLX24AT</t>
  </si>
  <si>
    <t>TSZSTWU000469</t>
  </si>
  <si>
    <t>NEGRO</t>
  </si>
  <si>
    <t>AE,CC,EE,ABS,LL,AC,AISO,AAUTO,CRE,MAV,ACD,UD,DLL</t>
  </si>
  <si>
    <t>J24B-1339542</t>
  </si>
  <si>
    <t>JENNIFER JOHANNA TAPIA AGUILERA</t>
  </si>
  <si>
    <t>1FTFW1E50 MFA34669</t>
  </si>
  <si>
    <t>F150AUT</t>
  </si>
  <si>
    <t>TFOCMTU001159</t>
  </si>
  <si>
    <t>ROJO METALICO</t>
  </si>
  <si>
    <t>AE,CC,EE,NB,AAC,ABS,LL,TC,VC,AISO,ACP,AAUTO,CRE,MA</t>
  </si>
  <si>
    <t>MFA34669</t>
  </si>
  <si>
    <t>FREDDY ORLANDO ARIAS CHOQUE</t>
  </si>
  <si>
    <t>LVVDB21B5SC004219</t>
  </si>
  <si>
    <t>JE7AWD16AT</t>
  </si>
  <si>
    <t>TJAESTWU000004</t>
  </si>
  <si>
    <t>GRIS ARTEMIS</t>
  </si>
  <si>
    <t>AE,CC,EE,AAC,ABS,LL,TC,AISO,AAUTO,CRE,MAV,ACD,SR,U</t>
  </si>
  <si>
    <t>SQRF4J16CAHRE00160</t>
  </si>
  <si>
    <t>LVVDB21B5 SC004219</t>
  </si>
  <si>
    <t>JOSE LUIS ALE DAIRE CALLEGARI</t>
  </si>
  <si>
    <t>LJXCU2BB8SHF74852</t>
  </si>
  <si>
    <t>FOTETI15AT</t>
  </si>
  <si>
    <t>TFOSTWU001404</t>
  </si>
  <si>
    <t>NEGRO PANTERA</t>
  </si>
  <si>
    <t>AE,CC,EE,AAC,ABS,LL,TC,VC,AISO,ACP,AAUTO,CRE,MAV,A</t>
  </si>
  <si>
    <t>S3G021632</t>
  </si>
  <si>
    <t>GUILLERMO MARCELO CUELLO PIZARRO</t>
  </si>
  <si>
    <t>VF3M45GYWPS011277</t>
  </si>
  <si>
    <t>PE3008AT</t>
  </si>
  <si>
    <t>TPESTWU000452</t>
  </si>
  <si>
    <t>10FJCX3008191</t>
  </si>
  <si>
    <t>MARIO ANDRES TABILO ABARCA</t>
  </si>
  <si>
    <t>LTA12H2UX N9100771</t>
  </si>
  <si>
    <t>ZXTERRA4X425AT</t>
  </si>
  <si>
    <t>TZXCMTU000003</t>
  </si>
  <si>
    <t>AE,CC,EE,NB,ABS,LL,AC,AISO,AAUTO,CRE,MAV,ACD,SR,UD</t>
  </si>
  <si>
    <t>FRANCISCO JAVIER RODRIGO MAJMUD VICUÑA</t>
  </si>
  <si>
    <t>9V8FF4HY1 RA800320</t>
  </si>
  <si>
    <t>PELNDDHI4X422AT</t>
  </si>
  <si>
    <t>TPECMTU000018</t>
  </si>
  <si>
    <t>AE,CC,EE,NB,AAC,ABS,LL,VC,AISO,AAUTO,CRE,ACD,SR,UD</t>
  </si>
  <si>
    <t>10VRAC4001968</t>
  </si>
  <si>
    <t>RODRIGO ALEJANDRO FUENTES ARAYA</t>
  </si>
  <si>
    <t>LPE19W2A6TF007924</t>
  </si>
  <si>
    <t>BYDSHA15AT</t>
  </si>
  <si>
    <t>TBYCMTU000001</t>
  </si>
  <si>
    <t>AE,CC,EE,NB,AAC,ABS,LL,TC,AISO,AAUTO,CRE,ACD,SR,UD</t>
  </si>
  <si>
    <t>BYD476ZQFT25007008</t>
  </si>
  <si>
    <t>1FTFW1E52 PFB48046</t>
  </si>
  <si>
    <t>F11111</t>
  </si>
  <si>
    <t>TFOCMTU001160</t>
  </si>
  <si>
    <t>BLANCO OXFORD</t>
  </si>
  <si>
    <t>AE,CC,EE,NB,AAC,ABS,LL,TC,VC,SS,AISO,ACP,AAUTO,CRE</t>
  </si>
  <si>
    <t>PFB48046</t>
  </si>
  <si>
    <t>TIERNA DAFNE KENDALL VASQUEZ</t>
  </si>
  <si>
    <t>LGWEE4A40LH899522</t>
  </si>
  <si>
    <t>HL1</t>
  </si>
  <si>
    <t>THASTWU000022</t>
  </si>
  <si>
    <t>GW4G15B1805110609</t>
  </si>
  <si>
    <t>YORMAN JOSE HERNANDEZ USECHE</t>
  </si>
  <si>
    <t>/////+++/./++*...</t>
  </si>
  <si>
    <t>CHNEARRI3GLS15MT</t>
  </si>
  <si>
    <t>TCYAUTU000147</t>
  </si>
  <si>
    <t>ROJO METALIZADO</t>
  </si>
  <si>
    <t>AE,CC,EE,2AB,AC,AISO,AAUTO,SR,UD,DLL</t>
  </si>
  <si>
    <t>SQRD4G15BBLD00056</t>
  </si>
  <si>
    <t>LVVDC11B1MD013133</t>
  </si>
  <si>
    <t>MAURICIO ANDRÉS VALENZUELA SOLAR</t>
  </si>
  <si>
    <t>//.//+*+///++*...</t>
  </si>
  <si>
    <t>NOI09</t>
  </si>
  <si>
    <t>TMISTWU000373</t>
  </si>
  <si>
    <t>GRIS GRAFITO</t>
  </si>
  <si>
    <t>PR25 573855F</t>
  </si>
  <si>
    <t>JMYXTGM4WSZ002020</t>
  </si>
  <si>
    <t>LUIS GASTÓN ALCAYAGA NUÑEZ</t>
  </si>
  <si>
    <t>1FMCU9JZ4PUA50384</t>
  </si>
  <si>
    <t>FOESFEHV20AT</t>
  </si>
  <si>
    <t>TFOSTWU001410</t>
  </si>
  <si>
    <t>AZUL ATLAS</t>
  </si>
  <si>
    <t>AE,CC,EE,AAC,ABS,LL,VC,SS,AISO,ACP,AAUTO,CRE,MAV,A</t>
  </si>
  <si>
    <t>PUA50384</t>
  </si>
  <si>
    <t>RAUL LUIS ARQUEROS ARANCIBIA</t>
  </si>
  <si>
    <t>MPBAR2F18 PX515886</t>
  </si>
  <si>
    <t>FORNGRP30AT</t>
  </si>
  <si>
    <t>TFOCMTU001149</t>
  </si>
  <si>
    <t>NARANJO NARANJA TIERRA</t>
  </si>
  <si>
    <t>DD2XPX515886</t>
  </si>
  <si>
    <t>SERVICIOS ASEO AMC SPA</t>
  </si>
  <si>
    <t>/**//+.+///++*...</t>
  </si>
  <si>
    <t>HYSTFMX525AT</t>
  </si>
  <si>
    <t>THYSTWU000548</t>
  </si>
  <si>
    <t>AE,CC,EE,ABS,LL,TC,VC,AC,AISO,ACP,AAUTO,CRE,MAV,AC</t>
  </si>
  <si>
    <t>G4KNRA734924</t>
  </si>
  <si>
    <t>KMHP281JBRU017462</t>
  </si>
  <si>
    <t>MARIA PAZ GONZALEZ ARAYA</t>
  </si>
  <si>
    <t>VF3MRHNSM RS002587</t>
  </si>
  <si>
    <t>TPESTWU000455</t>
  </si>
  <si>
    <t>AE,CC,EE,AAC,ABS,LL,VC,AISO,AAUTO,CRE,MAV,SR,DLL,6</t>
  </si>
  <si>
    <t>10Z1AJ0024780</t>
  </si>
  <si>
    <t>PABLO ALEJANDRO IGNACIO FIGUEROA TELLO</t>
  </si>
  <si>
    <t>1FMJK1HT4GEF47400</t>
  </si>
  <si>
    <t>RT7777</t>
  </si>
  <si>
    <t>TFOSTWU001266</t>
  </si>
  <si>
    <t>NEGRO PROFUNDO</t>
  </si>
  <si>
    <t>AE,CC,EE,2AB,NB,ABS,LL,VC,4AB,ESP,AC,AISO,AAUTO,CR</t>
  </si>
  <si>
    <t>GEF47400</t>
  </si>
  <si>
    <t>JEAN PAUL GALLEGOS ARRAÑO</t>
  </si>
  <si>
    <t>LGXC74C40R0005634</t>
  </si>
  <si>
    <t>BYSONP15AT</t>
  </si>
  <si>
    <t>TBYSTWU000006</t>
  </si>
  <si>
    <t>ROJO</t>
  </si>
  <si>
    <t>AE,CC,EE,AAC,ABS,LL,AISO,AAUTO,CRE,MAV,SR,UD,DLL,6</t>
  </si>
  <si>
    <t>BYD472QA S23333377</t>
  </si>
  <si>
    <t>EMILIO ANDRES ORDENES ROJAS</t>
  </si>
  <si>
    <t>1C4RJFAM4DC548094</t>
  </si>
  <si>
    <t>MIP</t>
  </si>
  <si>
    <t>TJESTWU000395</t>
  </si>
  <si>
    <t>CC,EE,2AB,NB,AAC,ABS,LL,VC,ESP,CT,AELE,CRE,MAV,ACD</t>
  </si>
  <si>
    <t>DC548094</t>
  </si>
  <si>
    <t>ERICK DARNEY VERGARA ROJAS</t>
  </si>
  <si>
    <t>//.//+++/+/++*...</t>
  </si>
  <si>
    <t>TJAESTWU000001</t>
  </si>
  <si>
    <t>ROJO NEGRO RUBI</t>
  </si>
  <si>
    <t>SQRF4J16CAMPM02301</t>
  </si>
  <si>
    <t>LVVDB21B5 RC012704</t>
  </si>
  <si>
    <t>LEONARDO JORGE ESTEBAN BOLTON MONTALVA</t>
  </si>
  <si>
    <t>*---****.../*....</t>
  </si>
  <si>
    <t>JAT8PRO4X420MT</t>
  </si>
  <si>
    <t>TJACMTU000006</t>
  </si>
  <si>
    <t>GRIS</t>
  </si>
  <si>
    <t>N4127324</t>
  </si>
  <si>
    <t>LJ11PABD8 PC091786</t>
  </si>
  <si>
    <t>CARLOS GABRIEL ROMERO PINO</t>
  </si>
  <si>
    <t>98859121B SKR89716</t>
  </si>
  <si>
    <t>RARAMBH4X420AT</t>
  </si>
  <si>
    <t>TRACMTU000052</t>
  </si>
  <si>
    <t>BLANCO POLAR</t>
  </si>
  <si>
    <t>JORGE ANTONIO AGUILERA CÁCERES</t>
  </si>
  <si>
    <t>LVTDB21B7PD021629</t>
  </si>
  <si>
    <t>EXLXADV15AT</t>
  </si>
  <si>
    <t>TEXESTWU000005</t>
  </si>
  <si>
    <t>GRIS PHANTOM</t>
  </si>
  <si>
    <t>SQRE4T15CAPNE00204</t>
  </si>
  <si>
    <t>ELIANA DEL CARMEN GONZÁLEZ ARAYA</t>
  </si>
  <si>
    <t>/////++++//++*...</t>
  </si>
  <si>
    <t>GWPOER4X2MT20</t>
  </si>
  <si>
    <t>TGWCMTU000019</t>
  </si>
  <si>
    <t>GW4D20M23597131983</t>
  </si>
  <si>
    <t>LGWCCF190 RJ615909</t>
  </si>
  <si>
    <t>SERVICIO AUTOMOTRIZ MARIO EDINSON TAPIA RIVEROS EIRL . .</t>
  </si>
  <si>
    <t>VF3MCYHZU PS006748</t>
  </si>
  <si>
    <t>TPESTWU000433</t>
  </si>
  <si>
    <t>10Q4EP0125437</t>
  </si>
  <si>
    <t>YOANA ELENA ROJAS HENRIQUEZ</t>
  </si>
  <si>
    <t>2FMPK4J94KBB16022</t>
  </si>
  <si>
    <t>EDD900</t>
  </si>
  <si>
    <t>TFOSTWU001240</t>
  </si>
  <si>
    <t>AE,CC,EE,NB,AAC,ABS,LL,TC,VC,ESP,CT,SS,AISO,ACP,AA</t>
  </si>
  <si>
    <t>KBB16022</t>
  </si>
  <si>
    <t>BARBARA YEIME CEA URRIAGA</t>
  </si>
  <si>
    <t>KNABE511AET622431</t>
  </si>
  <si>
    <t>17--1416E4</t>
  </si>
  <si>
    <t>TKIAUTU001659</t>
  </si>
  <si>
    <t>ROJO SIGNAL</t>
  </si>
  <si>
    <t>G3LADP101529</t>
  </si>
  <si>
    <t>JUAN CARLOS MORALES GODOY</t>
  </si>
  <si>
    <t>KPTG0B1TSFP339581</t>
  </si>
  <si>
    <t>05--12345678</t>
  </si>
  <si>
    <t>TSYSTWU000306</t>
  </si>
  <si>
    <t>AE,CC,2AB,NB,ABS,AC,AISO,CRE,MAV</t>
  </si>
  <si>
    <t>ALEJANDRA DEL CARMEN URTUBIA MENDIETA</t>
  </si>
  <si>
    <t>KPT60A1USMP040811</t>
  </si>
  <si>
    <t>NK80</t>
  </si>
  <si>
    <t>TSYSTWU000337</t>
  </si>
  <si>
    <t>AE,CC,EE,ABS,LL,VC,4AB,AC,AISO,AAUTO,CRE,SR,DLL</t>
  </si>
  <si>
    <t>CAROLINA MARICELA PIZARRO CASTRO</t>
  </si>
  <si>
    <t>2FMPK4J93PBA47752</t>
  </si>
  <si>
    <t>FED001</t>
  </si>
  <si>
    <t>TFOSTWU001301</t>
  </si>
  <si>
    <t>BLANCO METALICO</t>
  </si>
  <si>
    <t>AE,CC,EE,AAC,ABS,LL,TC,VC,ESP,SS,AISO,ACP,AAUTO,AE</t>
  </si>
  <si>
    <t>PBA47752</t>
  </si>
  <si>
    <t>LORETO ROXANA REBOLLEDO RISSETTI</t>
  </si>
  <si>
    <t>/////+/+///++*.*.</t>
  </si>
  <si>
    <t>JAJS4LUX15MT</t>
  </si>
  <si>
    <t>TJASTWU000025</t>
  </si>
  <si>
    <t>R3305832</t>
  </si>
  <si>
    <t>LJ12EKS31S4700355</t>
  </si>
  <si>
    <t>ANDREA CAROLINA VILCHES ABARCA</t>
  </si>
  <si>
    <t>VF3M45GZWJS004469</t>
  </si>
  <si>
    <t>PALL7</t>
  </si>
  <si>
    <t>TPESTWU000279</t>
  </si>
  <si>
    <t>GRIS HURRICANE</t>
  </si>
  <si>
    <t>AE,CC,EE,2AB,NB,AAC,ABS,LL,TC,VC,4AB,ESP,CT,SS,AIS</t>
  </si>
  <si>
    <t>10FJCC2346652</t>
  </si>
  <si>
    <t>OSCAR ARMANDO PIZARRO BEMBOW</t>
  </si>
  <si>
    <t>VF3MCYHZM NS002292</t>
  </si>
  <si>
    <t>P300815</t>
  </si>
  <si>
    <t>TPESTWU000435</t>
  </si>
  <si>
    <t>AE,CC,EE,AAC,ABS,LL,AISO,AAUTO,CRE,MAV,SR,DLL,6AB</t>
  </si>
  <si>
    <t>10Q4EL0002967</t>
  </si>
  <si>
    <t>ADOLFO MARCELO ACUÑA MADRIGAL</t>
  </si>
  <si>
    <t>///-*/*-.+-*/.+//</t>
  </si>
  <si>
    <t>RA1500REBDC4X457AT</t>
  </si>
  <si>
    <t>TRACMTU000051</t>
  </si>
  <si>
    <t>NEGRO METALICO</t>
  </si>
  <si>
    <t>NN224561</t>
  </si>
  <si>
    <t>1C6SRFLT6NN224561</t>
  </si>
  <si>
    <t>SERVICIOS A LA MINERIA OMINT SPA</t>
  </si>
  <si>
    <t>1FMCU0BZ6 NUB02251</t>
  </si>
  <si>
    <t>TFOSTWU001399</t>
  </si>
  <si>
    <t>AE,CC,EE,AAC,ABS,LL,VC,ESP,SS,AISO,ACP,AAUTO,CRE,M</t>
  </si>
  <si>
    <t>NUB02251</t>
  </si>
  <si>
    <t>KARLA NIKOL FLORES CASTILLO</t>
  </si>
  <si>
    <t>KNACP81EG P5055975</t>
  </si>
  <si>
    <t>KINIRO16AT</t>
  </si>
  <si>
    <t>TKISTWU001335</t>
  </si>
  <si>
    <t>G4LLNS082877</t>
  </si>
  <si>
    <t>MARY CARMEN ALFARO AHUMADA</t>
  </si>
  <si>
    <t>JMYXTGM4W NZ000993</t>
  </si>
  <si>
    <t>MIOUTGL25AT</t>
  </si>
  <si>
    <t>TMISTWU000370</t>
  </si>
  <si>
    <t>PR25 251342</t>
  </si>
  <si>
    <t>DANIELA ALEJANDRA DONAIRE FREDES</t>
  </si>
  <si>
    <t>LJNTGUC52 RN409084</t>
  </si>
  <si>
    <t>DFD1LUX4X423MT</t>
  </si>
  <si>
    <t>TDFCMTU000013</t>
  </si>
  <si>
    <t>AE,CC,EE,2AB,ABS,LL,VC,AC,AISO,AAUTO,CRE,MAV,ACD,S</t>
  </si>
  <si>
    <t>M9T 60A Q1012197</t>
  </si>
  <si>
    <t>FIDEL ANDRES ROJAS ARAYA</t>
  </si>
  <si>
    <t>8AFAR22Z9PJ320092</t>
  </si>
  <si>
    <t>01--TFOCMTU216</t>
  </si>
  <si>
    <t>TFOCMTU001157</t>
  </si>
  <si>
    <t>AE,CC,EE,AAC,ABS,LL,VC,AISO,AAUTO,CRE,MAV,ACD,SR,D</t>
  </si>
  <si>
    <t>EV2S PJ320092</t>
  </si>
  <si>
    <t>EVENTOS GUAYACAN SPA</t>
  </si>
  <si>
    <t>MALB241CAPM142324</t>
  </si>
  <si>
    <t>HYGRDI10SDN12MT</t>
  </si>
  <si>
    <t>THYAUTU000584</t>
  </si>
  <si>
    <t>ROJO PASION</t>
  </si>
  <si>
    <t>AE,CC,EE,NB,ABS,LL,4AB,AC,AISO,AAUTO,CRE,MAV,ACD,U</t>
  </si>
  <si>
    <t>G4LANM260060</t>
  </si>
  <si>
    <t>ROBINSON LORENZO CASTILLO BERRIOS</t>
  </si>
  <si>
    <t>8AFBR00E1RJ404211</t>
  </si>
  <si>
    <t>FORANXLS20MT</t>
  </si>
  <si>
    <t>TFOCMTU001145</t>
  </si>
  <si>
    <t>AE,CC,EE,AAC,ABS,LL,VC,ESP,AISO,AAUTO,CRE,MAV,SR,U</t>
  </si>
  <si>
    <t>P02X RJ404211</t>
  </si>
  <si>
    <t>MATIAS OLAZO SPA</t>
  </si>
  <si>
    <t>KNAPB811BE7498300</t>
  </si>
  <si>
    <t>17--0120</t>
  </si>
  <si>
    <t>TKISTWU001135</t>
  </si>
  <si>
    <t>ROJO ORANGE</t>
  </si>
  <si>
    <t>G4KDDH424564</t>
  </si>
  <si>
    <t>KNARH81BHR5259144</t>
  </si>
  <si>
    <t>KISO4WD2.2AT</t>
  </si>
  <si>
    <t>TKISTWU001330</t>
  </si>
  <si>
    <t>GRIS ACERO</t>
  </si>
  <si>
    <t>D4HEPH357028</t>
  </si>
  <si>
    <t>OPERACIONES JORGE ALEJANDRO VARAS VARAS E.I.R.L</t>
  </si>
  <si>
    <t>KMHJB81DB RU268314</t>
  </si>
  <si>
    <t>HT01</t>
  </si>
  <si>
    <t>THYSTWU000553</t>
  </si>
  <si>
    <t>G4NLPU935907</t>
  </si>
  <si>
    <t>SAMUEL ALEJANDRO PULGAR LOPEZ</t>
  </si>
  <si>
    <t>LVVDB11B7 MD082945</t>
  </si>
  <si>
    <t>T315</t>
  </si>
  <si>
    <t>TCYSTWU000320</t>
  </si>
  <si>
    <t>AZUL METALIZADO</t>
  </si>
  <si>
    <t>AE,CC,EE,ABS,LL,4AB,AC,AISO,AAUTO,CRE,ACD,SR,UD,DL</t>
  </si>
  <si>
    <t>SQRE4G15BATMC00062</t>
  </si>
  <si>
    <t>MILENKA SUSANA NEGRON CABALLERO</t>
  </si>
  <si>
    <t>MPBUR2366NX379509</t>
  </si>
  <si>
    <t>FRR20</t>
  </si>
  <si>
    <t>TFOCMTU001154</t>
  </si>
  <si>
    <t>NEGRO ABSOLUTO</t>
  </si>
  <si>
    <t>YN2SXM379509</t>
  </si>
  <si>
    <t>SOCIEDAD AGRICOLA, GANADERA, FORESTAL Y DE TRANSPORTES SANTO TOMAS LIMITADA</t>
  </si>
  <si>
    <t>/////+*+///++*...</t>
  </si>
  <si>
    <t>SIL4X4</t>
  </si>
  <si>
    <t>TCHCMTU000483</t>
  </si>
  <si>
    <t>LM2 TNG625504</t>
  </si>
  <si>
    <t>3GCUD9ET6 NG625504</t>
  </si>
  <si>
    <t>1C6RR7LG8 NS154084</t>
  </si>
  <si>
    <t>RA1500CRSPDC4X436AT</t>
  </si>
  <si>
    <t>TRACMTU000047</t>
  </si>
  <si>
    <t>NS154084</t>
  </si>
  <si>
    <t>MIXY GRACIELA CORNEJO BASTIAS SOCIEDAD GASTRONOMICA E.I.R.L</t>
  </si>
  <si>
    <t>KNAPV81DB P7090666</t>
  </si>
  <si>
    <t>TY100</t>
  </si>
  <si>
    <t>TKISTWU001339</t>
  </si>
  <si>
    <t>G4NLMH010969</t>
  </si>
  <si>
    <t>ATALIA NAZARET QUINTEROS CORTES</t>
  </si>
  <si>
    <t>BLANCO OXFOR</t>
  </si>
  <si>
    <t>8AFBR01K1 RJ394381</t>
  </si>
  <si>
    <t>RANGERDEV</t>
  </si>
  <si>
    <t>TFOCMTU001136</t>
  </si>
  <si>
    <t>GRIS MERCURIO</t>
  </si>
  <si>
    <t>BF2X RJ394381</t>
  </si>
  <si>
    <t>DRILLING SERVICES AND SOLUTIONS SPA</t>
  </si>
  <si>
    <t>3N1CN8AE1NL804585</t>
  </si>
  <si>
    <t>NVC7</t>
  </si>
  <si>
    <t>TNIAUTU000640</t>
  </si>
  <si>
    <t>PLATEADO</t>
  </si>
  <si>
    <t>AE,CC,EE,ABS,LL,AC,AISO,AAUTO,CRE,MAV,ACD,SR,UD,DL</t>
  </si>
  <si>
    <t>HR16-332561V</t>
  </si>
  <si>
    <t>CARLOS ALBERTO DAZA GONZALEZ</t>
  </si>
  <si>
    <t>LJXCU2BB4MTP00962</t>
  </si>
  <si>
    <t>FTU1</t>
  </si>
  <si>
    <t>TFOSTWU001235</t>
  </si>
  <si>
    <t>AE,CC,EE,NB,AAC,ABS,LL,VC,4AB,ESP,AISO,ACP,AAUTO,A</t>
  </si>
  <si>
    <t>L5G014983</t>
  </si>
  <si>
    <t>GLADYS ISABEL CAMPOS LEDEZMA</t>
  </si>
  <si>
    <t>KL1FC1CU8GB533760</t>
  </si>
  <si>
    <t>CHCAPLS24AT</t>
  </si>
  <si>
    <t>TCHSTWU000305</t>
  </si>
  <si>
    <t>LE9161750229</t>
  </si>
  <si>
    <t>CRISTIAN OMAR MALUENDA LEON</t>
  </si>
  <si>
    <t>1FMCU0BZ6NUB03562</t>
  </si>
  <si>
    <t>TFOSTWU001396</t>
  </si>
  <si>
    <t>NUB03562</t>
  </si>
  <si>
    <t>SOCIEDAD COMERCIAL HERMANOS GODOY ARAYA SPA</t>
  </si>
  <si>
    <t>1FM5K8FH7KGA98168</t>
  </si>
  <si>
    <t>EXPUS1</t>
  </si>
  <si>
    <t>TFOSTWU001401</t>
  </si>
  <si>
    <t>BLANCO METAL</t>
  </si>
  <si>
    <t>KGA98168</t>
  </si>
  <si>
    <t>CLAUDIO VALENZUELA CELIS</t>
  </si>
  <si>
    <t>LVVDB21B7 SC004108</t>
  </si>
  <si>
    <t>TJAESTWU000003</t>
  </si>
  <si>
    <t>PLATEADO NEGRO</t>
  </si>
  <si>
    <t>AE,CC,EE,AAC,ABS,LL,AISO,ACP,AAUTO,CRE,MAV,ACD,SR,</t>
  </si>
  <si>
    <t>SQRF4J16CAHRE00209</t>
  </si>
  <si>
    <t>WILSON ELOY PIZARRO GERALDO</t>
  </si>
  <si>
    <t>///***++///++*...</t>
  </si>
  <si>
    <t>VOSAVECD16</t>
  </si>
  <si>
    <t>TVOCMTU000041</t>
  </si>
  <si>
    <t>BLANCO CANDY</t>
  </si>
  <si>
    <t>AE,CC,EE,2AB,NB,ABS,LL,AC,AISO,AAUTO,ACD,UD,DLL</t>
  </si>
  <si>
    <t>CWS 588198</t>
  </si>
  <si>
    <t>9BWJL45U9 PP056766</t>
  </si>
  <si>
    <t>BARBARA ANDREINA CASTILLO MAVARES</t>
  </si>
  <si>
    <t>/////+/+///++*...</t>
  </si>
  <si>
    <t>TPECMTU000019</t>
  </si>
  <si>
    <t>10VRAC4001684</t>
  </si>
  <si>
    <t>9V8FF4HY1 PA800951</t>
  </si>
  <si>
    <t>SAFETY CIRCLE SERVICIOS INTEGRALES SPA</t>
  </si>
  <si>
    <t>/////++***/++*...</t>
  </si>
  <si>
    <t>ZXTERRDCDLX25MT</t>
  </si>
  <si>
    <t>TZXCMTU000004</t>
  </si>
  <si>
    <t>AE,CC,EE,NB,ABS,LL,VC,4AB,AC,AISO,AAUTO,MAV,ACD,UD</t>
  </si>
  <si>
    <t>20-36100283</t>
  </si>
  <si>
    <t>LTA1222U2N9101636</t>
  </si>
  <si>
    <t>ALFONSO SEGUNDO CARVAJAL ROJAS</t>
  </si>
  <si>
    <t>LVVDD21B9RC025336</t>
  </si>
  <si>
    <t>JA716ATSUMMIT</t>
  </si>
  <si>
    <t>TJAESTWU000006</t>
  </si>
  <si>
    <t>BLANCO AURA</t>
  </si>
  <si>
    <t>SQRF4J16CAMRA00471</t>
  </si>
  <si>
    <t>TRANSPORTE DOBLE C SPA</t>
  </si>
  <si>
    <t>VR3FDAHDE P3009377</t>
  </si>
  <si>
    <t>L666MT</t>
  </si>
  <si>
    <t>TPECMTU000014</t>
  </si>
  <si>
    <t>AE,CC,EE,ABS,VC,AC,AISO,AAUTO,CRE,MAV,ACD,SR,UD,DL</t>
  </si>
  <si>
    <t>A5D22003815</t>
  </si>
  <si>
    <t>DANIEL ALEJANDRO RODRIGUEZ LETELIER</t>
  </si>
  <si>
    <t>SJNTAAJ12 PA121164</t>
  </si>
  <si>
    <t>ASTR77</t>
  </si>
  <si>
    <t>TNISTWU000600</t>
  </si>
  <si>
    <t>HR13460529A</t>
  </si>
  <si>
    <t>PATRICIA JESUS PAYACAN PALACIOS</t>
  </si>
  <si>
    <t>LJXCU2BB5 NTF05473</t>
  </si>
  <si>
    <t>TFOSTWU001363</t>
  </si>
  <si>
    <t>M9G068199</t>
  </si>
  <si>
    <t>JAIME NICOLAS MUÑOZ RODRIGUEZ</t>
  </si>
  <si>
    <t>LVZA53P91 NA129835</t>
  </si>
  <si>
    <t>S560</t>
  </si>
  <si>
    <t>TDFSTWU000054</t>
  </si>
  <si>
    <t>AE,CC,EE,2AB,ABS,LL,AC,AISO,AAUTO,MAV,ACD,SR,UD,DL</t>
  </si>
  <si>
    <t>SFG18-22348600</t>
  </si>
  <si>
    <t>MELISSA VALESKA SAEZ FUENTES</t>
  </si>
  <si>
    <t>JM7DM2W7AS0309501</t>
  </si>
  <si>
    <t>MACX3020AT</t>
  </si>
  <si>
    <t>TMASTWU000106</t>
  </si>
  <si>
    <t>AZUL OSCURO METALIZADO</t>
  </si>
  <si>
    <t>PE 22028517</t>
  </si>
  <si>
    <t>COMPAÑÍA DE ASISTENCIA MEDICA DOMICILIARIA A INSTITUCIONES PÚBL</t>
  </si>
  <si>
    <t>VR3EDYHT0 TJ505511</t>
  </si>
  <si>
    <t>PEPART15MT</t>
  </si>
  <si>
    <t>TPEFRGU000059</t>
  </si>
  <si>
    <t>BLANCO HIELO</t>
  </si>
  <si>
    <t>10Q4EU0509634</t>
  </si>
  <si>
    <t>AE,CC,EE,AAC,ABS,LL,VC,AISO,AAUTO,CRE,ACD,SR,UD,DL</t>
  </si>
  <si>
    <t>//////////+++..*+</t>
  </si>
  <si>
    <t>TPESTWU000414</t>
  </si>
  <si>
    <t>GRIS PLATINIUM</t>
  </si>
  <si>
    <t>10FKBL3036897</t>
  </si>
  <si>
    <t>VF3M45GFURS001123</t>
  </si>
  <si>
    <t>AMEL  RUBENICA MICHELANGELLI ROJAS</t>
  </si>
  <si>
    <t>1FMSK7DH5 PGB01768</t>
  </si>
  <si>
    <t>EX7878</t>
  </si>
  <si>
    <t>TFOSTWU001385</t>
  </si>
  <si>
    <t>PGB01768</t>
  </si>
  <si>
    <t>MONICA DE LOURDES FREDES TALAMILLA</t>
  </si>
  <si>
    <t>VF3M45GYW PS010176</t>
  </si>
  <si>
    <t>TPESTWU000438</t>
  </si>
  <si>
    <t>10FJCX3000757</t>
  </si>
  <si>
    <t>MARCELO SEBASTIAN GARRIDO JERALDO</t>
  </si>
  <si>
    <t>VF3MCYHZUNL000473</t>
  </si>
  <si>
    <t>TPESTWU000450</t>
  </si>
  <si>
    <t>10Q3EJ1170226</t>
  </si>
  <si>
    <t>JESSICA ALEJANDRA MELLA TAPIA</t>
  </si>
  <si>
    <t>*/+--....../*....</t>
  </si>
  <si>
    <t>VWA44</t>
  </si>
  <si>
    <t>TVOCMTU000037</t>
  </si>
  <si>
    <t>GRIS INDIO METALIZADO</t>
  </si>
  <si>
    <t>AE,CC,EE,NB,AAC,ABS,LL,TC,VC,ESP,SS,AISO,AAUTO,CRE</t>
  </si>
  <si>
    <t>CSH 255654</t>
  </si>
  <si>
    <t>WV1ZZZ2HZPA010091</t>
  </si>
  <si>
    <t>INMOBILIA ROJAS ALVAREZ LTDA</t>
  </si>
  <si>
    <t>MALGT41DASM115787</t>
  </si>
  <si>
    <t>20--ACC90</t>
  </si>
  <si>
    <t>THYAUTU000585</t>
  </si>
  <si>
    <t>G4FLRQ356179</t>
  </si>
  <si>
    <t>JESSICA DEL CARMEN CHILLA CAMPILLAY</t>
  </si>
  <si>
    <t>LVZA53P93 PAA16703</t>
  </si>
  <si>
    <t>DF56018MT</t>
  </si>
  <si>
    <t>TDFSTWU000055</t>
  </si>
  <si>
    <t>GRIS CLARO</t>
  </si>
  <si>
    <t>SFG18-22372086</t>
  </si>
  <si>
    <t>MARIA JOSE SOLEDAD MOROSO NAVEA</t>
  </si>
  <si>
    <t>LVVDB21B4 SC023313</t>
  </si>
  <si>
    <t>CHTIG3PRGLS15AT</t>
  </si>
  <si>
    <t>TCYSTWU000352</t>
  </si>
  <si>
    <t>GRIS PLATA</t>
  </si>
  <si>
    <t>SQRE4G15CBDRL00035</t>
  </si>
  <si>
    <t>LGWEE4A59PK600630</t>
  </si>
  <si>
    <t>HAJOL15AT</t>
  </si>
  <si>
    <t>THASTWU000023</t>
  </si>
  <si>
    <t>GW4G15K21499027556</t>
  </si>
  <si>
    <t>MARIA JOSE CASTILLO ARAYA</t>
  </si>
  <si>
    <t>9FBHSRA95LM023521</t>
  </si>
  <si>
    <t>124FG</t>
  </si>
  <si>
    <t>TRESTWU000047</t>
  </si>
  <si>
    <t>GRIS ESTRELLA</t>
  </si>
  <si>
    <t>AE,CC,EE,2AB,NB,ABS,LL,AC,AISO,MAV,SR,UD,DLL</t>
  </si>
  <si>
    <t>K4M2842Q234165</t>
  </si>
  <si>
    <t>MIRIAM ELIANA ROJAS PAEZ</t>
  </si>
  <si>
    <t>9BGJK7560LB180490</t>
  </si>
  <si>
    <t>CHSPI18MT</t>
  </si>
  <si>
    <t>TCHSTWU000321</t>
  </si>
  <si>
    <t>AZUL ATLANTICO</t>
  </si>
  <si>
    <t>JWJ001279</t>
  </si>
  <si>
    <t>ROBERTO EMILIO VILLABLANCA VERA</t>
  </si>
  <si>
    <t>///./+++++/++*...</t>
  </si>
  <si>
    <t>HAH6GT4X420AT</t>
  </si>
  <si>
    <t>THASTWU000024</t>
  </si>
  <si>
    <t>GW4N2023401031045</t>
  </si>
  <si>
    <t>LGWFF6A58 RH923399</t>
  </si>
  <si>
    <t>VICTORIA PAZ MILLA SOTO</t>
  </si>
  <si>
    <t>/////+++++****...</t>
  </si>
  <si>
    <t>TNISTWU000581</t>
  </si>
  <si>
    <t>AE,CC,EE,2AB,ABS,LL,VC,AC,AISO,AAUTO,CRE,SR,UD,DLL</t>
  </si>
  <si>
    <t>HR13510927A</t>
  </si>
  <si>
    <t>SJNTAAJ12PA169942</t>
  </si>
  <si>
    <t>RODRIGO ANDRES LEDESMA RITCHIE</t>
  </si>
  <si>
    <t>VF3MRHNSM PS004241</t>
  </si>
  <si>
    <t>TPESTWU000424</t>
  </si>
  <si>
    <t>AE,CC,EE,AAC,ABS,LL,VC,AISO,AAUTO,CRE,MAV,SR,UD,DL</t>
  </si>
  <si>
    <t>10TMAF0001673</t>
  </si>
  <si>
    <t>CECILIA BEATRIZ TAPIA CASTRO</t>
  </si>
  <si>
    <t>1FTFW1RG1KFC72541</t>
  </si>
  <si>
    <t>FRK7</t>
  </si>
  <si>
    <t>TFOCMTU001137</t>
  </si>
  <si>
    <t>AE,CC,EE,AAC,ABS,TC,VC,AISO,AAUTO,CRE,MAV,ACD,SR,U</t>
  </si>
  <si>
    <t>KFC72541</t>
  </si>
  <si>
    <t>ARRIAGADA DIAZ MANUEL ANTONIO Y PINTO OÑATE MARIA BELEN LTDA</t>
  </si>
  <si>
    <t>1FTFW1RGXKFC93274</t>
  </si>
  <si>
    <t>TFOCMTU001138</t>
  </si>
  <si>
    <t>AE,CC,EE,AAC,ABS,LL,TC,VC,SS,AISO,AAUTO,CRE,MAV,AC</t>
  </si>
  <si>
    <t>KFC93274</t>
  </si>
  <si>
    <t>VR7ACYHZRLL001059</t>
  </si>
  <si>
    <t>TCISTWU000009</t>
  </si>
  <si>
    <t>10Q3AR0085523</t>
  </si>
  <si>
    <t>LUIS ANTONIO CASTRO BALAIC</t>
  </si>
  <si>
    <t>MA1VE2RJC M6E84266</t>
  </si>
  <si>
    <t>MAKUV100HB12MT</t>
  </si>
  <si>
    <t>TMHAUTU000006</t>
  </si>
  <si>
    <t>AE,CC,AC,AISO,ACD</t>
  </si>
  <si>
    <t>RJMZE50719</t>
  </si>
  <si>
    <t>FRANK EDWARD ECHANDIA HERNÁNDEZ</t>
  </si>
  <si>
    <t>30-04-2026 17:13:00</t>
  </si>
  <si>
    <t>30-04-2026 0:00:00</t>
  </si>
  <si>
    <t>30-04-2026 17:12:42</t>
  </si>
  <si>
    <t>28-02-2027 0:00:00</t>
  </si>
  <si>
    <t>28-02-2026 16:17:28</t>
  </si>
  <si>
    <t>8AFBR01C4RJ372982</t>
  </si>
  <si>
    <t>FORANXLT4X420MT</t>
  </si>
  <si>
    <t>TFOCMTU001156</t>
  </si>
  <si>
    <t>YN2X RJ372982</t>
  </si>
  <si>
    <t>HECTOR LIAZ CAYULEF HUICHICOY</t>
  </si>
  <si>
    <t>28-02-2026 0:00:00</t>
  </si>
  <si>
    <t>28-02-2026 16:16:52</t>
  </si>
  <si>
    <t>06-04-2026 14:59:49</t>
  </si>
  <si>
    <t>06-04-2026 0:00:00</t>
  </si>
  <si>
    <t>06-04-2026 14:59:18</t>
  </si>
  <si>
    <t>30-04-2026 16:15:08</t>
  </si>
  <si>
    <t>30-04-2026 16:09:10</t>
  </si>
  <si>
    <t>08-06-2022 9:26:11</t>
  </si>
  <si>
    <t>08-06-2022 0:00:00</t>
  </si>
  <si>
    <t>08-06-2022 9:25:50</t>
  </si>
  <si>
    <t>18-05-2026 12:54:42</t>
  </si>
  <si>
    <t>LVZZU3P96SCB03062</t>
  </si>
  <si>
    <t>US500</t>
  </si>
  <si>
    <t>TDFAUTU000002</t>
  </si>
  <si>
    <t>SFG15A 24402834</t>
  </si>
  <si>
    <t>JOSE MIGUEL NUÑEZ ALVARADO</t>
  </si>
  <si>
    <t>18-05-2026 0:00:00</t>
  </si>
  <si>
    <t>18-05-2026 12:54:06</t>
  </si>
  <si>
    <t>16-05-2026 0:00:00</t>
  </si>
  <si>
    <t>06-04-2026 15:27:31</t>
  </si>
  <si>
    <t>06-04-2026 15:26:56</t>
  </si>
  <si>
    <t>20-03-2020 12:53:54</t>
  </si>
  <si>
    <t>20-03-2020 0:00:00</t>
  </si>
  <si>
    <t>13-04-2020 0:00:00</t>
  </si>
  <si>
    <t>13-04-2020 10:05:55</t>
  </si>
  <si>
    <t>25-05-2026 10:42:35</t>
  </si>
  <si>
    <t>LVTDD24B3 PD064404</t>
  </si>
  <si>
    <t>VX UNLIMITED 4X4 2.0 AUT</t>
  </si>
  <si>
    <t>EXVXUN4X420AT</t>
  </si>
  <si>
    <t>TEXESTWU000006</t>
  </si>
  <si>
    <t>BLANCO QUARTZ</t>
  </si>
  <si>
    <t>SQRF4J20CADNK03753</t>
  </si>
  <si>
    <t>MICHEL ALEJANDRO PEMJEAN GALLEGUILLOS</t>
  </si>
  <si>
    <t>25-05-2026 0:00:00</t>
  </si>
  <si>
    <t>25-05-2026 10:39:17</t>
  </si>
  <si>
    <t>06-04-2026 11:44:19</t>
  </si>
  <si>
    <t>06-04-2026 11:43:26</t>
  </si>
  <si>
    <t>31-05-2026 0:00:00</t>
  </si>
  <si>
    <t>18-03-2026 11:24:08</t>
  </si>
  <si>
    <t>18-03-2026 0:00:00</t>
  </si>
  <si>
    <t>18-03-2026 11:23:40</t>
  </si>
  <si>
    <t>30-11-2027 0:00:00</t>
  </si>
  <si>
    <t>06-04-2026 11:01:03</t>
  </si>
  <si>
    <t>06-04-2026 11:00:30</t>
  </si>
  <si>
    <t>22-05-2026 17:42:59</t>
  </si>
  <si>
    <t>VR3USHNSK SJ500220</t>
  </si>
  <si>
    <t>PE2008ACT12MT</t>
  </si>
  <si>
    <t>TPESTWU000456</t>
  </si>
  <si>
    <t>BLANCO OKENITE</t>
  </si>
  <si>
    <t>10Z1AC0194696</t>
  </si>
  <si>
    <t>FRANCISCA DANIELA JADRANKA NEIRA VUSKOVIC</t>
  </si>
  <si>
    <t>22-05-2026 0:00:00</t>
  </si>
  <si>
    <t>22-05-2026 17:42:16</t>
  </si>
  <si>
    <t>10-11-2025 18:59:30</t>
  </si>
  <si>
    <t>10-11-2025 0:00:00</t>
  </si>
  <si>
    <t>10-11-2025 18:58:34</t>
  </si>
  <si>
    <t>02-01-2026 15:09:11</t>
  </si>
  <si>
    <t>02-01-2026 0:00:00</t>
  </si>
  <si>
    <t>10-03-2026 22:23:00</t>
  </si>
  <si>
    <t>30-06-2026 0:00:00</t>
  </si>
  <si>
    <t>18-04-2026 0:00:00</t>
  </si>
  <si>
    <t>12-09-2025 18:26:55</t>
  </si>
  <si>
    <t>12-09-2025 0:00:00</t>
  </si>
  <si>
    <t>12-09-2025 18:26:22</t>
  </si>
  <si>
    <t>06-04-2026 18:13:21</t>
  </si>
  <si>
    <t>06-04-2026 18:11:36</t>
  </si>
  <si>
    <t>03-01-2017 1:36:33</t>
  </si>
  <si>
    <t>09-11-2015 0:00:00</t>
  </si>
  <si>
    <t>10-11-2015 0:00:00</t>
  </si>
  <si>
    <t>12-11-2020 15:42:13</t>
  </si>
  <si>
    <t>06-04-2026 12:38:49</t>
  </si>
  <si>
    <t>06-04-2026 12:34:16</t>
  </si>
  <si>
    <t>23-12-2025 18:40:06</t>
  </si>
  <si>
    <t>23-12-2025 0:00:00</t>
  </si>
  <si>
    <t>23-12-2025 18:39:16</t>
  </si>
  <si>
    <t>30-06-2027 0:00:00</t>
  </si>
  <si>
    <t>06-04-2026 18:46:12</t>
  </si>
  <si>
    <t>06-04-2026 18:45:47</t>
  </si>
  <si>
    <t>31-01-2027 0:00:00</t>
  </si>
  <si>
    <t>06-05-2026 18:11:52</t>
  </si>
  <si>
    <t>06-05-2026 0:00:00</t>
  </si>
  <si>
    <t>06-05-2026 18:11:32</t>
  </si>
  <si>
    <t>22-01-2026 12:55:07</t>
  </si>
  <si>
    <t>22-01-2026 0:00:00</t>
  </si>
  <si>
    <t>22-01-2026 12:54:40</t>
  </si>
  <si>
    <t>24-09-2025 17:50:46</t>
  </si>
  <si>
    <t>24-09-2025 0:00:00</t>
  </si>
  <si>
    <t>24-09-2025 17:50:08</t>
  </si>
  <si>
    <t>01-04-2026 12:48:10</t>
  </si>
  <si>
    <t>01-04-2026 0:00:00</t>
  </si>
  <si>
    <t>01-04-2026 12:45:35</t>
  </si>
  <si>
    <t>30-09-2026 0:00:00</t>
  </si>
  <si>
    <t>06-05-2026 17:51:31</t>
  </si>
  <si>
    <t>06-05-2026 17:48:56</t>
  </si>
  <si>
    <t>18-02-2026 10:03:09</t>
  </si>
  <si>
    <t>18-02-2026 0:00:00</t>
  </si>
  <si>
    <t>18-02-2026 10:02:46</t>
  </si>
  <si>
    <t>18-02-2026 9:30:32</t>
  </si>
  <si>
    <t>18-02-2026 9:30:04</t>
  </si>
  <si>
    <t>27-05-2026 11:54:28</t>
  </si>
  <si>
    <t>*.**/+++///++*...</t>
  </si>
  <si>
    <t>JOLION 4X2 1.5</t>
  </si>
  <si>
    <t>HAJO4X215</t>
  </si>
  <si>
    <t>THASTWU000025</t>
  </si>
  <si>
    <t>SYDR45</t>
  </si>
  <si>
    <t>BLANCO TITANIO</t>
  </si>
  <si>
    <t>AE,CC,EE,AAC,ABS,LL,4AB,AISO,AAUTO,CRE,MAV,ACD,SR,</t>
  </si>
  <si>
    <t>GW4G15K23498019895</t>
  </si>
  <si>
    <t>LGWEE4A50RK603581</t>
  </si>
  <si>
    <t>HECTOR MIGUEL MONROY SABOGAL</t>
  </si>
  <si>
    <t>27-05-2026 0:00:00</t>
  </si>
  <si>
    <t>27-05-2026 11:53:49</t>
  </si>
  <si>
    <t>13-05-2026 12:22:14</t>
  </si>
  <si>
    <t>13-05-2026 0:00:00</t>
  </si>
  <si>
    <t>13-05-2026 12:21:23</t>
  </si>
  <si>
    <t>08-01-2026 15:20:40</t>
  </si>
  <si>
    <t>08-01-2026 0:00:00</t>
  </si>
  <si>
    <t>08-01-2026 15:16:26</t>
  </si>
  <si>
    <t>03-10-2025 18:06:52</t>
  </si>
  <si>
    <t>03-10-2025 0:00:00</t>
  </si>
  <si>
    <t>03-10-2025 18:06:12</t>
  </si>
  <si>
    <t>05-02-2026 13:04:12</t>
  </si>
  <si>
    <t>05-02-2026 0:00:00</t>
  </si>
  <si>
    <t>05-02-2026 13:00:32</t>
  </si>
  <si>
    <t>30-09-2027 0:00:00</t>
  </si>
  <si>
    <t>11-06-2014 0:00:00</t>
  </si>
  <si>
    <t>30-12-2024 11:00:44</t>
  </si>
  <si>
    <t>7912</t>
  </si>
  <si>
    <t>30-12-2024 0:00:00</t>
  </si>
  <si>
    <t>30-12-2024 10:53:26</t>
  </si>
  <si>
    <t>31-07-2025 0:00:00</t>
  </si>
  <si>
    <t>05-02-2026 13:13:22</t>
  </si>
  <si>
    <t>05-02-2026 13:12:44</t>
  </si>
  <si>
    <t>04-03-2025 17:16:08</t>
  </si>
  <si>
    <t>04-03-2025 0:00:00</t>
  </si>
  <si>
    <t>04-03-2025 17:00:37</t>
  </si>
  <si>
    <t>24-04-2026 18:17:03</t>
  </si>
  <si>
    <t>24-04-2026 0:00:00</t>
  </si>
  <si>
    <t>24-04-2026 18:16:25</t>
  </si>
  <si>
    <t>30-04-2028 0:00:00</t>
  </si>
  <si>
    <t>28-04-2026 11:00:49</t>
  </si>
  <si>
    <t>28-04-2026 0:00:00</t>
  </si>
  <si>
    <t>28-04-2026 11:00:18</t>
  </si>
  <si>
    <t>27-01-2023 10:03:02</t>
  </si>
  <si>
    <t>27-01-2023 0:00:00</t>
  </si>
  <si>
    <t>27-01-2023 10:02:29</t>
  </si>
  <si>
    <t>25-05-2026 16:44:02</t>
  </si>
  <si>
    <t>3KPA251AA PE534052</t>
  </si>
  <si>
    <t>PATAN</t>
  </si>
  <si>
    <t>TKIAUTU002214</t>
  </si>
  <si>
    <t>G4LCNE709367</t>
  </si>
  <si>
    <t>CLAUDIA CECILIA HERRERA MUÑOZ</t>
  </si>
  <si>
    <t>25-05-2026 16:43:21</t>
  </si>
  <si>
    <t>14-08-2018 18:36:12</t>
  </si>
  <si>
    <t>14-08-2018 0:00:00</t>
  </si>
  <si>
    <t>05-12-2025 18:11:39</t>
  </si>
  <si>
    <t>05-12-2025 0:00:00</t>
  </si>
  <si>
    <t>05-12-2025 18:11:02</t>
  </si>
  <si>
    <t>27-05-2026 17:54:58</t>
  </si>
  <si>
    <t>JF1SK7LL5RG259442</t>
  </si>
  <si>
    <t>SF99</t>
  </si>
  <si>
    <t>TSUSTWU000399</t>
  </si>
  <si>
    <t>TPCS18</t>
  </si>
  <si>
    <t>PLATEADO HIELO CLARO</t>
  </si>
  <si>
    <t>YX96759</t>
  </si>
  <si>
    <t>EDUARDO ENRIQUE ANTIQUERA ANTIQUERA</t>
  </si>
  <si>
    <t>27-05-2026 17:50:26</t>
  </si>
  <si>
    <t>29-11-2025 11:09:26</t>
  </si>
  <si>
    <t>29-11-2025 0:00:00</t>
  </si>
  <si>
    <t>08-01-2026 18:02:00</t>
  </si>
  <si>
    <t>18-03-2026 18:56:36</t>
  </si>
  <si>
    <t>18-03-2026 18:56:05</t>
  </si>
  <si>
    <t>29-04-2026 14:53:48</t>
  </si>
  <si>
    <t>29-04-2026 0:00:00</t>
  </si>
  <si>
    <t>29-04-2026 14:53:24</t>
  </si>
  <si>
    <t>07-11-2023 9:03:21</t>
  </si>
  <si>
    <t>07-11-2023 0:00:00</t>
  </si>
  <si>
    <t>29-12-2023 18:16:00</t>
  </si>
  <si>
    <t>23-10-2025 13:59:01</t>
  </si>
  <si>
    <t>23-10-2025 0:00:00</t>
  </si>
  <si>
    <t>20-11-2025 0:00:00</t>
  </si>
  <si>
    <t>20-11-2025 19:37:03</t>
  </si>
  <si>
    <t>17-11-2025 18:40:32</t>
  </si>
  <si>
    <t>17-11-2025 0:00:00</t>
  </si>
  <si>
    <t>17-11-2025 18:38:59</t>
  </si>
  <si>
    <t>23-02-2026 15:52:12</t>
  </si>
  <si>
    <t>23-02-2026 0:00:00</t>
  </si>
  <si>
    <t>29-01-2026 0:00:00</t>
  </si>
  <si>
    <t>18-03-2026 12:59:05</t>
  </si>
  <si>
    <t>27-08-2025 14:34:07</t>
  </si>
  <si>
    <t>27-08-2025 0:00:00</t>
  </si>
  <si>
    <t>04-11-2025 23:53:00</t>
  </si>
  <si>
    <t>31-10-2025 0:00:00</t>
  </si>
  <si>
    <t>22-05-2026 18:47:39</t>
  </si>
  <si>
    <t>5N1MDNR53PC279056</t>
  </si>
  <si>
    <t>PATHFINDER R53 4X4 3.5 AUT</t>
  </si>
  <si>
    <t>NIPATH4X435AT</t>
  </si>
  <si>
    <t>TNISTWU000612</t>
  </si>
  <si>
    <t>TKHL16</t>
  </si>
  <si>
    <t>GRIS VOLCANICO BI TONO</t>
  </si>
  <si>
    <t>AE,CC,EE,AAC,ABS,LL,VC,AISO,AAUTO,CRE,MAV,TELE,ACD</t>
  </si>
  <si>
    <t>VQ35780440W</t>
  </si>
  <si>
    <t>CRISTIAN LEONARDO SALINAS ALVAREZ</t>
  </si>
  <si>
    <t>22-05-2026 18:47:03</t>
  </si>
  <si>
    <t>28-04-2026 10:56:17</t>
  </si>
  <si>
    <t>28-04-2026 10:53:19</t>
  </si>
  <si>
    <t>16-05-2026 13:31:20</t>
  </si>
  <si>
    <t>16-05-2026 13:29:04</t>
  </si>
  <si>
    <t>06-04-2026 14:45:14</t>
  </si>
  <si>
    <t>2336061171</t>
  </si>
  <si>
    <t>06-04-2026 14:43:48</t>
  </si>
  <si>
    <t>07-01-2026 16:22:02</t>
  </si>
  <si>
    <t>07-01-2026 0:00:00</t>
  </si>
  <si>
    <t>07-01-2026 16:21:28</t>
  </si>
  <si>
    <t>04-02-2026 12:44:44</t>
  </si>
  <si>
    <t>04-02-2026 0:00:00</t>
  </si>
  <si>
    <t>04-02-2026 12:43:25</t>
  </si>
  <si>
    <t>04-02-2026 18:55:48</t>
  </si>
  <si>
    <t>04-02-2026 18:50:21</t>
  </si>
  <si>
    <t>04-05-2026 17:27:55</t>
  </si>
  <si>
    <t>04-05-2026 0:00:00</t>
  </si>
  <si>
    <t>04-05-2026 17:22:16</t>
  </si>
  <si>
    <t>29-04-2025 19:05:19</t>
  </si>
  <si>
    <t>29-04-2025 0:00:00</t>
  </si>
  <si>
    <t>29-04-2025 18:59:46</t>
  </si>
  <si>
    <t>30-11-2026 0:00:00</t>
  </si>
  <si>
    <t>25-05-2026 10:35:24</t>
  </si>
  <si>
    <t>3FTTW8H92RRA99365</t>
  </si>
  <si>
    <t>MAVERICK XLT 2.0 AUT</t>
  </si>
  <si>
    <t>FOMAVXLT204X2AT</t>
  </si>
  <si>
    <t>TFOCMTU001161</t>
  </si>
  <si>
    <t>RRA99365</t>
  </si>
  <si>
    <t>INSIGHTGROUP SPA</t>
  </si>
  <si>
    <t>25-05-2026 10:34:53</t>
  </si>
  <si>
    <t>22-10-2025 9:20:00</t>
  </si>
  <si>
    <t>22-10-2025 0:00:00</t>
  </si>
  <si>
    <t>22-10-2025 9:19:18</t>
  </si>
  <si>
    <t>14-03-2023 10:52:12</t>
  </si>
  <si>
    <t>14-03-2023 0:00:00</t>
  </si>
  <si>
    <t>14-03-2023 10:51:51</t>
  </si>
  <si>
    <t>22-05-2026 18:33:04</t>
  </si>
  <si>
    <t>VF7DDYHT2RJ543727</t>
  </si>
  <si>
    <t>C ELYSEE BLUEHDI 1.5</t>
  </si>
  <si>
    <t>CICELYSHDI15MT</t>
  </si>
  <si>
    <t>TCIAUTU000132</t>
  </si>
  <si>
    <t>10Q4DF0142811</t>
  </si>
  <si>
    <t>COMERCIAL SAN MARINO SPA.</t>
  </si>
  <si>
    <t>22-05-2026 18:31:16</t>
  </si>
  <si>
    <t>28-02-2026 11:42:29</t>
  </si>
  <si>
    <t>28-02-2026 11:42:08</t>
  </si>
  <si>
    <t>02-09-2025 15:11:09</t>
  </si>
  <si>
    <t>02-09-2025 0:00:00</t>
  </si>
  <si>
    <t>02-09-2025 15:10:43</t>
  </si>
  <si>
    <t>02-10-2025 16:52:58</t>
  </si>
  <si>
    <t>02-10-2025 0:00:00</t>
  </si>
  <si>
    <t>02-10-2025 16:52:06</t>
  </si>
  <si>
    <t>28-01-2026 17:28:07</t>
  </si>
  <si>
    <t>28-01-2026 0:00:00</t>
  </si>
  <si>
    <t>28-01-2026 17:22:31</t>
  </si>
  <si>
    <t>30-04-2026 16:45:15</t>
  </si>
  <si>
    <t>30-04-2026 16:43:05</t>
  </si>
  <si>
    <t>13-05-2026 13:08:12</t>
  </si>
  <si>
    <t>13-05-2026 13:07:32</t>
  </si>
  <si>
    <t>15-03-2022 11:58:49</t>
  </si>
  <si>
    <t>67196010530787</t>
  </si>
  <si>
    <t>15-03-2022 0:00:00</t>
  </si>
  <si>
    <t>15-03-2022 11:58:28</t>
  </si>
  <si>
    <t>06-04-2026 12:02:41</t>
  </si>
  <si>
    <t>06-04-2026 12:01:30</t>
  </si>
  <si>
    <t>18-05-2026 12:26:28</t>
  </si>
  <si>
    <t>9V8FF4HY1RA801169</t>
  </si>
  <si>
    <t>TPECMTU000020</t>
  </si>
  <si>
    <t>10VRAC4002519</t>
  </si>
  <si>
    <t>DAVID RODRIGO ARACENA LOIS</t>
  </si>
  <si>
    <t>18-05-2026 12:25:24</t>
  </si>
  <si>
    <t>06-04-2026 13:31:44</t>
  </si>
  <si>
    <t>06-04-2026 13:30:57</t>
  </si>
  <si>
    <t>07-05-2026 12:16:55</t>
  </si>
  <si>
    <t>07-05-2026 0:00:00</t>
  </si>
  <si>
    <t>07-05-2026 12:16:07</t>
  </si>
  <si>
    <t>31-07-2027 0:00:00</t>
  </si>
  <si>
    <t>28-11-2025 12:40:34</t>
  </si>
  <si>
    <t>28-11-2025 0:00:00</t>
  </si>
  <si>
    <t>28-11-2025 12:39:51</t>
  </si>
  <si>
    <t>28-04-2026 11:16:31</t>
  </si>
  <si>
    <t>28-04-2026 11:16:03</t>
  </si>
  <si>
    <t>RHFJ39</t>
  </si>
  <si>
    <t>29-04-2026 14:31:23</t>
  </si>
  <si>
    <t>29-04-2026 14:30:57</t>
  </si>
  <si>
    <t>03-08-2022 14:52:06</t>
  </si>
  <si>
    <t>23-03-2026 0:00:00</t>
  </si>
  <si>
    <t>03-08-2022 0:00:00</t>
  </si>
  <si>
    <t>30-03-2026 8:51:48</t>
  </si>
  <si>
    <t>04-06-2014 0:00:00</t>
  </si>
  <si>
    <t>30-04-2026 10:49:34</t>
  </si>
  <si>
    <t>30-04-2026 10:41:13</t>
  </si>
  <si>
    <t>19-12-2025 10:02:31</t>
  </si>
  <si>
    <t>19-12-2025 0:00:00</t>
  </si>
  <si>
    <t>19-12-2025 9:51:58</t>
  </si>
  <si>
    <t>29-10-2025 11:58:40</t>
  </si>
  <si>
    <t>29-10-2025 0:00:00</t>
  </si>
  <si>
    <t>29-10-2025 11:58:13</t>
  </si>
  <si>
    <t>13-05-2026 12:15:42</t>
  </si>
  <si>
    <t>463495081650383</t>
  </si>
  <si>
    <t>13-05-2026 12:13:40</t>
  </si>
  <si>
    <t>30-04-2024 14:05:18</t>
  </si>
  <si>
    <t>30-04-2024 0:00:00</t>
  </si>
  <si>
    <t>12-05-2025 17:38:00</t>
  </si>
  <si>
    <t>22-04-2026 17:42:39</t>
  </si>
  <si>
    <t>22-04-2026 0:00:00</t>
  </si>
  <si>
    <t>22-04-2026 17:42:12</t>
  </si>
  <si>
    <t>13-11-2025 16:08:09</t>
  </si>
  <si>
    <t>13-11-2025 0:00:00</t>
  </si>
  <si>
    <t>13-11-2025 16:00:05</t>
  </si>
  <si>
    <t>17-02-2022 15:53:19</t>
  </si>
  <si>
    <t>17-02-2022 0:00:00</t>
  </si>
  <si>
    <t>29-04-2022 19:24:00</t>
  </si>
  <si>
    <t>30-12-2025 10:51:56</t>
  </si>
  <si>
    <t>30-12-2025 0:00:00</t>
  </si>
  <si>
    <t>30-12-2025 10:51:21</t>
  </si>
  <si>
    <t>18-03-2026 17:39:09</t>
  </si>
  <si>
    <t>18-03-2026 17:38:43</t>
  </si>
  <si>
    <t>25-05-2026 10:25:02</t>
  </si>
  <si>
    <t>/////+++///.+*...</t>
  </si>
  <si>
    <t>LK777</t>
  </si>
  <si>
    <t>TMGSTWU000059</t>
  </si>
  <si>
    <t>AE,CC,EE,2AB,ABS,LL,AC,AISO,AAUTO,CRE,ACD,SR,UD,DL</t>
  </si>
  <si>
    <t>15S4CANGN9040295</t>
  </si>
  <si>
    <t>LSJW74U60 PZ053216</t>
  </si>
  <si>
    <t>RAMON ANDRES ANABALON RIVERA</t>
  </si>
  <si>
    <t>25-05-2026 10:24:24</t>
  </si>
  <si>
    <t>02-05-2022 18:10:07</t>
  </si>
  <si>
    <t>02-05-2022 0:00:00</t>
  </si>
  <si>
    <t>26-02-2025 17:20:00</t>
  </si>
  <si>
    <t>05-06-2025 17:27:51</t>
  </si>
  <si>
    <t>05-06-2025 0:00:00</t>
  </si>
  <si>
    <t>14-01-2026 23:58:00</t>
  </si>
  <si>
    <t>29-04-2026 14:50:28</t>
  </si>
  <si>
    <t>29-04-2026 14:49:51</t>
  </si>
  <si>
    <t>30-10-2025 16:09:38</t>
  </si>
  <si>
    <t>30-10-2025 0:00:00</t>
  </si>
  <si>
    <t>25-02-2026 10:09:00</t>
  </si>
  <si>
    <t>03-10-2025 17:16:55</t>
  </si>
  <si>
    <t>06-11-2025 11:25:00</t>
  </si>
  <si>
    <t>02-10-2025 17:10:39</t>
  </si>
  <si>
    <t>02-10-2025 17:09:54</t>
  </si>
  <si>
    <t>28-08-2025 17:50:15</t>
  </si>
  <si>
    <t>28-08-2025 0:00:00</t>
  </si>
  <si>
    <t>28-08-2025 17:49:40</t>
  </si>
  <si>
    <t>28-02-2026 15:52:31</t>
  </si>
  <si>
    <t>28-02-2026 15:51:53</t>
  </si>
  <si>
    <t>18-04-2026 13:36:35</t>
  </si>
  <si>
    <t>18-04-2026 13:34:30</t>
  </si>
  <si>
    <t>29-07-2025 17:36:47</t>
  </si>
  <si>
    <t>29-07-2025 0:00:00</t>
  </si>
  <si>
    <t>29-07-2025 17:19:27</t>
  </si>
  <si>
    <t>31-07-2026 0:00:00</t>
  </si>
  <si>
    <t>06-05-2026 18:05:59</t>
  </si>
  <si>
    <t>06-05-2026 18:05:30</t>
  </si>
  <si>
    <t>01-04-2026 18:18:58</t>
  </si>
  <si>
    <t>01-04-2026 18:18:30</t>
  </si>
  <si>
    <t>28-04-2026 13:25:38</t>
  </si>
  <si>
    <t>28-04-2026 13:24:50</t>
  </si>
  <si>
    <t>16-05-2024 13:37:55</t>
  </si>
  <si>
    <t>16-05-2024 0:00:00</t>
  </si>
  <si>
    <t>28-02-2026 15:33:00</t>
  </si>
  <si>
    <t>30-03-2026 13:25:15</t>
  </si>
  <si>
    <t>30-03-2026 0:00:00</t>
  </si>
  <si>
    <t>30-03-2026 13:24:46</t>
  </si>
  <si>
    <t>15-07-2025 13:46:05</t>
  </si>
  <si>
    <t>67391002105133</t>
  </si>
  <si>
    <t>15-07-2025 0:00:00</t>
  </si>
  <si>
    <t>15-07-2025 13:45:17</t>
  </si>
  <si>
    <t>30-04-2026 15:19:16</t>
  </si>
  <si>
    <t>30-04-2026 15:17:56</t>
  </si>
  <si>
    <t>22-05-2026 18:40:31</t>
  </si>
  <si>
    <t>/////+++**+++*...</t>
  </si>
  <si>
    <t>SZBAL4X215AT</t>
  </si>
  <si>
    <t>TSZAUTU000460</t>
  </si>
  <si>
    <t>AZUL MARINO</t>
  </si>
  <si>
    <t>AE,CC,EE,2AB,NB,ABS,LL,AC,AISO,AAUTO,MAV,ACD,SR,UD</t>
  </si>
  <si>
    <t>K15BN1459791</t>
  </si>
  <si>
    <t>MBHWBA3S3SG662957</t>
  </si>
  <si>
    <t>MAURICIO ARIEL OSSANDON ARAYA</t>
  </si>
  <si>
    <t>22-05-2026 18:40:05</t>
  </si>
  <si>
    <t>04-02-2026 12:30:05</t>
  </si>
  <si>
    <t>23-05-2026 12:34:00</t>
  </si>
  <si>
    <t>31-10-2026 0:00:00</t>
  </si>
  <si>
    <t>06-02-2026 23:32:37</t>
  </si>
  <si>
    <t>463495081880130</t>
  </si>
  <si>
    <t>06-02-2026 0:00:00</t>
  </si>
  <si>
    <t>06-02-2026 23:31:06</t>
  </si>
  <si>
    <t>30-04-2026 17:50:27</t>
  </si>
  <si>
    <t>30-04-2026 17:49:33</t>
  </si>
  <si>
    <t>18-05-2026 13:35:28</t>
  </si>
  <si>
    <t>9BWCH6CH0 PP008570</t>
  </si>
  <si>
    <t>VN01</t>
  </si>
  <si>
    <t>TVOSTWU000035</t>
  </si>
  <si>
    <t>GRIS PIEDRA DE LUNA</t>
  </si>
  <si>
    <t>DHS 442900</t>
  </si>
  <si>
    <t>MARÍA CAROLINA SANTANDER VEGA</t>
  </si>
  <si>
    <t>18-05-2026 13:34:34</t>
  </si>
  <si>
    <t>25-07-2025 12:11:03</t>
  </si>
  <si>
    <t>25-07-2025 0:00:00</t>
  </si>
  <si>
    <t>25-07-2025 17:36:00</t>
  </si>
  <si>
    <t>30-09-2025 19:19:30</t>
  </si>
  <si>
    <t>30-09-2025 0:00:00</t>
  </si>
  <si>
    <t>06-11-2025 11:46:00</t>
  </si>
  <si>
    <t>02-01-2026 16:34:09</t>
  </si>
  <si>
    <t>17595000015783</t>
  </si>
  <si>
    <t>02-01-2026 16:33:28</t>
  </si>
  <si>
    <t>18-02-2026 9:46:22</t>
  </si>
  <si>
    <t>18-02-2026 9:45:23</t>
  </si>
  <si>
    <t>30-05-2025 23:11:48</t>
  </si>
  <si>
    <t>30-05-2025 0:00:00</t>
  </si>
  <si>
    <t>30-05-2025 23:10:29</t>
  </si>
  <si>
    <t>07-01-2026 10:30:07</t>
  </si>
  <si>
    <t>09-04-2026 10:27:26</t>
  </si>
  <si>
    <t>30-03-2026 14:30:41</t>
  </si>
  <si>
    <t>MALA851CALM037708</t>
  </si>
  <si>
    <t>GRAND I10 BA GLS 1.5</t>
  </si>
  <si>
    <t>HYGRI10GLS15MT</t>
  </si>
  <si>
    <t>THYAUTU000583</t>
  </si>
  <si>
    <t>AE,ABS,AC,AISO,AAUTO,ACD,UD,DLL</t>
  </si>
  <si>
    <t>G4LAKM317549</t>
  </si>
  <si>
    <t>CONSTANZA NICOLLE CHAPARRO ALFARO</t>
  </si>
  <si>
    <t>30-03-2026 14:24:28</t>
  </si>
  <si>
    <t>30-04-2026 10:10:05</t>
  </si>
  <si>
    <t>30-04-2026 10:07:04</t>
  </si>
  <si>
    <t>30-10-2025 18:48:57</t>
  </si>
  <si>
    <t>31-03-2026 10:59:00</t>
  </si>
  <si>
    <t>31-01-2026 0:00:00</t>
  </si>
  <si>
    <t>KPKW32</t>
  </si>
  <si>
    <t>RHBW56</t>
  </si>
  <si>
    <t>RPZK49</t>
  </si>
  <si>
    <t>RWTZ33</t>
  </si>
  <si>
    <t>SDKF65</t>
  </si>
  <si>
    <t>SJVT25</t>
  </si>
  <si>
    <t>TGVH34</t>
  </si>
  <si>
    <t>TRBK23</t>
  </si>
  <si>
    <t>VRHP15</t>
  </si>
  <si>
    <t>2026-01-02 06:04:26</t>
  </si>
  <si>
    <t>2026-01-02 06:24:50</t>
  </si>
  <si>
    <t>2026-01-02 06:39:05</t>
  </si>
  <si>
    <t>2026-01-02 07:29:10</t>
  </si>
  <si>
    <t>2026-01-02 12:57:00</t>
  </si>
  <si>
    <t>2026-01-02 13:06:16</t>
  </si>
  <si>
    <t>2026-01-02 13:11:30</t>
  </si>
  <si>
    <t>2026-01-02 13:15:22</t>
  </si>
  <si>
    <t>2026-01-02 13:19:09</t>
  </si>
  <si>
    <t>2026-01-02 13:40:31</t>
  </si>
  <si>
    <t>2026-01-02 14:33:50</t>
  </si>
  <si>
    <t>2026-01-02 15:17:15</t>
  </si>
  <si>
    <t>2026-01-02 15:21:41</t>
  </si>
  <si>
    <t>2026-01-02 15:40:04</t>
  </si>
  <si>
    <t>2026-01-03 07:58:34</t>
  </si>
  <si>
    <t>2026-01-03 08:10:04</t>
  </si>
  <si>
    <t>2026-01-03 08:27:51</t>
  </si>
  <si>
    <t>2026-01-03 08:46:10</t>
  </si>
  <si>
    <t>2026-01-03 08:53:42</t>
  </si>
  <si>
    <t>2026-01-03 09:14:59</t>
  </si>
  <si>
    <t>2026-01-03 10:11:01</t>
  </si>
  <si>
    <t>2026-01-03 10:18:19</t>
  </si>
  <si>
    <t>2026-01-03 10:28:09</t>
  </si>
  <si>
    <t>2026-01-05 07:19:04</t>
  </si>
  <si>
    <t>2026-01-05 08:28:13</t>
  </si>
  <si>
    <t>2026-01-05 08:37:13</t>
  </si>
  <si>
    <t>2026-01-05 08:41:44</t>
  </si>
  <si>
    <t>2026-01-05 09:24:48</t>
  </si>
  <si>
    <t>2026-01-05 09:31:21</t>
  </si>
  <si>
    <t>2026-01-05 10:20:06</t>
  </si>
  <si>
    <t>2026-01-05 10:23:37</t>
  </si>
  <si>
    <t>2026-01-05 10:48:20</t>
  </si>
  <si>
    <t>2026-01-05 12:14:17</t>
  </si>
  <si>
    <t>2026-01-05 13:19:45</t>
  </si>
  <si>
    <t>2026-01-05 13:31:47</t>
  </si>
  <si>
    <t>2026-01-05 13:59:00</t>
  </si>
  <si>
    <t>2026-01-05 14:12:03</t>
  </si>
  <si>
    <t>2026-01-05 14:33:07</t>
  </si>
  <si>
    <t>2026-01-05 14:43:46</t>
  </si>
  <si>
    <t>2026-01-05 14:59:16</t>
  </si>
  <si>
    <t>2026-01-05 15:05:33</t>
  </si>
  <si>
    <t>2026-01-06 05:50:57</t>
  </si>
  <si>
    <t>2026-01-06 06:07:28</t>
  </si>
  <si>
    <t>2026-01-06 06:26:15</t>
  </si>
  <si>
    <t>2026-01-06 07:25:44</t>
  </si>
  <si>
    <t>2026-01-06 08:25:10</t>
  </si>
  <si>
    <t>2026-01-06 09:01:25</t>
  </si>
  <si>
    <t>2026-01-06 09:23:28</t>
  </si>
  <si>
    <t>2026-01-06 09:33:27</t>
  </si>
  <si>
    <t>2026-01-06 09:41:17</t>
  </si>
  <si>
    <t>2026-01-06 10:11:01</t>
  </si>
  <si>
    <t>2026-01-06 10:15:29</t>
  </si>
  <si>
    <t>2026-01-06 10:25:09</t>
  </si>
  <si>
    <t>2026-01-06 10:48:43</t>
  </si>
  <si>
    <t>2026-01-06 12:34:31</t>
  </si>
  <si>
    <t>2026-01-06 12:40:01</t>
  </si>
  <si>
    <t>2026-01-06 12:53:26</t>
  </si>
  <si>
    <t>2026-01-06 13:54:17</t>
  </si>
  <si>
    <t>2026-01-06 14:18:41</t>
  </si>
  <si>
    <t>2026-01-06 14:51:13</t>
  </si>
  <si>
    <t>2026-01-06 15:49:15</t>
  </si>
  <si>
    <t>2026-01-06 21:26:24</t>
  </si>
  <si>
    <t>2026-01-06 21:30:20</t>
  </si>
  <si>
    <t>2026-01-06 21:40:23</t>
  </si>
  <si>
    <t>2026-01-06 21:46:12</t>
  </si>
  <si>
    <t>2026-01-06 21:47:00</t>
  </si>
  <si>
    <t>2026-01-07 06:14:29</t>
  </si>
  <si>
    <t>2026-01-07 06:21:02</t>
  </si>
  <si>
    <t>2026-01-07 08:42:45</t>
  </si>
  <si>
    <t>2026-01-07 08:57:54</t>
  </si>
  <si>
    <t>2026-01-07 09:11:01</t>
  </si>
  <si>
    <t>2026-01-07 09:34:21</t>
  </si>
  <si>
    <t>2026-01-07 09:50:55</t>
  </si>
  <si>
    <t>2026-01-07 10:18:32</t>
  </si>
  <si>
    <t>2026-01-07 10:40:46</t>
  </si>
  <si>
    <t>2026-01-07 14:50:42</t>
  </si>
  <si>
    <t>2026-01-07 14:56:57</t>
  </si>
  <si>
    <t>2026-01-07 15:42:48</t>
  </si>
  <si>
    <t>2026-01-07 15:51:36</t>
  </si>
  <si>
    <t>2026-01-07 15:56:56</t>
  </si>
  <si>
    <t>2026-01-07 16:00:34</t>
  </si>
  <si>
    <t>2026-01-08 07:02:55</t>
  </si>
  <si>
    <t>2026-01-08 07:19:38</t>
  </si>
  <si>
    <t>2026-01-08 08:04:09</t>
  </si>
  <si>
    <t>2026-01-08 08:55:39</t>
  </si>
  <si>
    <t>2026-01-08 09:10:25</t>
  </si>
  <si>
    <t>2026-01-08 09:52:59</t>
  </si>
  <si>
    <t>2026-01-08 10:17:44</t>
  </si>
  <si>
    <t>2026-01-08 10:27:53</t>
  </si>
  <si>
    <t>2026-01-08 10:41:37</t>
  </si>
  <si>
    <t>2026-01-08 11:49:07</t>
  </si>
  <si>
    <t>2026-01-08 12:02:29</t>
  </si>
  <si>
    <t>2026-01-08 14:18:05</t>
  </si>
  <si>
    <t>2026-01-08 14:22:05</t>
  </si>
  <si>
    <t>2026-01-08 14:26:29</t>
  </si>
  <si>
    <t>2026-01-08 14:36:59</t>
  </si>
  <si>
    <t>2026-01-08 14:46:33</t>
  </si>
  <si>
    <t>2026-01-08 15:23:42</t>
  </si>
  <si>
    <t>2026-01-08 15:54:36</t>
  </si>
  <si>
    <t>2026-01-08 16:10:04</t>
  </si>
  <si>
    <t>2026-01-09 06:46:37</t>
  </si>
  <si>
    <t>2026-01-09 07:36:48</t>
  </si>
  <si>
    <t>2026-01-09 09:21:16</t>
  </si>
  <si>
    <t>2026-01-09 09:25:59</t>
  </si>
  <si>
    <t>2026-01-09 09:41:56</t>
  </si>
  <si>
    <t>2026-01-09 09:55:22</t>
  </si>
  <si>
    <t>2026-01-09 10:08:17</t>
  </si>
  <si>
    <t>2026-01-09 10:30:02</t>
  </si>
  <si>
    <t>2026-01-09 10:39:08</t>
  </si>
  <si>
    <t>2026-01-09 11:05:54</t>
  </si>
  <si>
    <t>2026-01-09 13:01:46</t>
  </si>
  <si>
    <t>2026-01-09 14:00:22</t>
  </si>
  <si>
    <t>2026-01-09 14:09:20</t>
  </si>
  <si>
    <t>2026-01-10 07:26:35</t>
  </si>
  <si>
    <t>2026-01-10 07:43:58</t>
  </si>
  <si>
    <t>2026-01-10 07:58:38</t>
  </si>
  <si>
    <t>2026-01-10 08:20:22</t>
  </si>
  <si>
    <t>2026-01-12 06:28:27</t>
  </si>
  <si>
    <t>2026-01-12 06:30:05</t>
  </si>
  <si>
    <t>2026-01-12 06:31:20</t>
  </si>
  <si>
    <t>2026-01-12 06:32:37</t>
  </si>
  <si>
    <t>2026-01-12 06:34:03</t>
  </si>
  <si>
    <t>2026-01-12 06:35:08</t>
  </si>
  <si>
    <t>2026-01-12 06:36:09</t>
  </si>
  <si>
    <t>2026-01-12 06:37:11</t>
  </si>
  <si>
    <t>2026-01-12 06:37:31</t>
  </si>
  <si>
    <t>2026-01-12 06:39:09</t>
  </si>
  <si>
    <t>2026-01-12 06:41:01</t>
  </si>
  <si>
    <t>2026-01-12 06:42:07</t>
  </si>
  <si>
    <t>2026-01-12 06:43:14</t>
  </si>
  <si>
    <t>2026-01-12 07:04:00</t>
  </si>
  <si>
    <t>2026-01-12 07:28:53</t>
  </si>
  <si>
    <t>2026-01-12 07:30:08</t>
  </si>
  <si>
    <t>2026-01-12 07:40:48</t>
  </si>
  <si>
    <t>2026-01-12 07:41:43</t>
  </si>
  <si>
    <t>2026-01-12 07:43:00</t>
  </si>
  <si>
    <t>2026-01-12 07:43:06</t>
  </si>
  <si>
    <t>2026-01-12 07:45:18</t>
  </si>
  <si>
    <t>2026-01-12 07:53:33</t>
  </si>
  <si>
    <t>2026-01-12 07:58:03</t>
  </si>
  <si>
    <t>2026-01-12 07:59:01</t>
  </si>
  <si>
    <t>2026-01-12 08:01:13</t>
  </si>
  <si>
    <t>2026-01-12 08:39:02</t>
  </si>
  <si>
    <t>2026-01-12 08:46:12</t>
  </si>
  <si>
    <t>2026-01-12 09:00:47</t>
  </si>
  <si>
    <t>2026-01-12 09:46:51</t>
  </si>
  <si>
    <t>2026-01-12 10:08:56</t>
  </si>
  <si>
    <t>2026-01-12 10:19:52</t>
  </si>
  <si>
    <t>2026-01-12 10:27:30</t>
  </si>
  <si>
    <t>2026-01-12 10:38:53</t>
  </si>
  <si>
    <t>2026-01-12 10:44:49</t>
  </si>
  <si>
    <t>2026-01-12 10:47:56</t>
  </si>
  <si>
    <t>2026-01-12 10:57:46</t>
  </si>
  <si>
    <t>2026-01-12 11:06:18</t>
  </si>
  <si>
    <t>2026-01-12 13:53:13</t>
  </si>
  <si>
    <t>2026-01-12 14:02:10</t>
  </si>
  <si>
    <t>2026-01-12 14:06:57</t>
  </si>
  <si>
    <t>2026-01-12 14:10:10</t>
  </si>
  <si>
    <t>2026-01-12 14:13:16</t>
  </si>
  <si>
    <t>2026-01-12 14:26:45</t>
  </si>
  <si>
    <t>2026-01-12 14:33:17</t>
  </si>
  <si>
    <t>2026-01-12 14:45:15</t>
  </si>
  <si>
    <t>2026-01-12 15:25:51</t>
  </si>
  <si>
    <t>2026-01-12 15:34:18</t>
  </si>
  <si>
    <t>2026-01-12 15:53:53</t>
  </si>
  <si>
    <t>2026-01-12 16:02:10</t>
  </si>
  <si>
    <t>2026-01-12 16:18:05</t>
  </si>
  <si>
    <t>2026-01-12 16:23:55</t>
  </si>
  <si>
    <t>2026-01-12 16:28:03</t>
  </si>
  <si>
    <t>2026-01-12 16:35:25</t>
  </si>
  <si>
    <t>2026-01-13 06:22:06</t>
  </si>
  <si>
    <t>2026-01-13 07:19:22</t>
  </si>
  <si>
    <t>2026-01-13 08:07:01</t>
  </si>
  <si>
    <t>2026-01-13 08:09:34</t>
  </si>
  <si>
    <t>2026-01-13 08:15:50</t>
  </si>
  <si>
    <t>2026-01-13 08:20:49</t>
  </si>
  <si>
    <t>2026-01-13 08:27:00</t>
  </si>
  <si>
    <t>2026-01-13 08:47:21</t>
  </si>
  <si>
    <t>2026-01-13 08:55:50</t>
  </si>
  <si>
    <t>2026-01-13 09:22:05</t>
  </si>
  <si>
    <t>2026-01-13 09:45:47</t>
  </si>
  <si>
    <t>2026-01-13 10:48:46</t>
  </si>
  <si>
    <t>2026-01-13 13:03:23</t>
  </si>
  <si>
    <t>2026-01-13 13:27:25</t>
  </si>
  <si>
    <t>2026-01-13 13:54:34</t>
  </si>
  <si>
    <t>2026-01-13 14:30:10</t>
  </si>
  <si>
    <t>2026-01-13 14:38:09</t>
  </si>
  <si>
    <t>2026-01-13 15:04:40</t>
  </si>
  <si>
    <t>2026-01-13 15:47:49</t>
  </si>
  <si>
    <t>2026-01-14 06:34:13</t>
  </si>
  <si>
    <t>2026-01-14 06:49:13</t>
  </si>
  <si>
    <t>2026-01-14 06:58:37</t>
  </si>
  <si>
    <t>2026-01-14 07:17:42</t>
  </si>
  <si>
    <t>2026-01-14 07:42:41</t>
  </si>
  <si>
    <t>2026-01-14 07:52:23</t>
  </si>
  <si>
    <t>2026-01-14 07:59:41</t>
  </si>
  <si>
    <t>2026-01-14 08:29:21</t>
  </si>
  <si>
    <t>2026-01-14 09:00:18</t>
  </si>
  <si>
    <t>2026-01-14 09:23:00</t>
  </si>
  <si>
    <t>2026-01-14 09:30:51</t>
  </si>
  <si>
    <t>2026-01-14 09:41:10</t>
  </si>
  <si>
    <t>2026-01-14 11:00:29</t>
  </si>
  <si>
    <t>2026-01-14 12:27:20</t>
  </si>
  <si>
    <t>2026-01-14 12:28:52</t>
  </si>
  <si>
    <t>2026-01-14 12:31:31</t>
  </si>
  <si>
    <t>2026-01-14 12:32:39</t>
  </si>
  <si>
    <t>2026-01-14 12:33:59</t>
  </si>
  <si>
    <t>2026-01-14 12:34:58</t>
  </si>
  <si>
    <t>2026-01-14 13:06:07</t>
  </si>
  <si>
    <t>2026-01-14 13:34:00</t>
  </si>
  <si>
    <t>2026-01-14 14:18:04</t>
  </si>
  <si>
    <t>2026-01-14 14:39:04</t>
  </si>
  <si>
    <t>2026-01-14 14:40:19</t>
  </si>
  <si>
    <t>2026-01-14 14:41:40</t>
  </si>
  <si>
    <t>2026-01-14 14:43:31</t>
  </si>
  <si>
    <t>2026-01-14 14:44:27</t>
  </si>
  <si>
    <t>2026-01-14 14:46:56</t>
  </si>
  <si>
    <t>2026-01-14 14:48:30</t>
  </si>
  <si>
    <t>2026-01-14 14:48:35</t>
  </si>
  <si>
    <t>2026-01-14 15:22:46</t>
  </si>
  <si>
    <t>2026-01-14 15:27:26</t>
  </si>
  <si>
    <t>2026-01-14 15:51:02</t>
  </si>
  <si>
    <t>2026-01-14 16:25:14</t>
  </si>
  <si>
    <t>2026-01-15 07:05:33</t>
  </si>
  <si>
    <t>2026-01-15 07:17:47</t>
  </si>
  <si>
    <t>2026-01-15 08:51:30</t>
  </si>
  <si>
    <t>2026-01-15 09:01:43</t>
  </si>
  <si>
    <t>2026-01-15 09:21:35</t>
  </si>
  <si>
    <t>2026-01-15 09:30:56</t>
  </si>
  <si>
    <t>2026-01-15 09:35:34</t>
  </si>
  <si>
    <t>2026-01-15 12:38:07</t>
  </si>
  <si>
    <t>2026-01-15 13:15:23</t>
  </si>
  <si>
    <t>2026-01-15 13:48:17</t>
  </si>
  <si>
    <t>2026-01-15 15:06:33</t>
  </si>
  <si>
    <t>2026-01-15 15:18:17</t>
  </si>
  <si>
    <t>2026-01-16 06:07:13</t>
  </si>
  <si>
    <t>2026-01-16 07:04:41</t>
  </si>
  <si>
    <t>2026-01-16 07:55:45</t>
  </si>
  <si>
    <t>2026-01-16 08:08:34</t>
  </si>
  <si>
    <t>2026-01-16 09:04:25</t>
  </si>
  <si>
    <t>2026-01-16 09:17:43</t>
  </si>
  <si>
    <t>2026-01-16 09:22:44</t>
  </si>
  <si>
    <t>2026-01-16 09:35:20</t>
  </si>
  <si>
    <t>2026-01-16 09:40:47</t>
  </si>
  <si>
    <t>2026-01-16 09:46:00</t>
  </si>
  <si>
    <t>2026-01-16 10:14:35</t>
  </si>
  <si>
    <t>2026-01-16 10:20:24</t>
  </si>
  <si>
    <t>2026-01-16 10:37:47</t>
  </si>
  <si>
    <t>2026-01-16 12:58:52</t>
  </si>
  <si>
    <t>2026-01-16 13:54:43</t>
  </si>
  <si>
    <t>2026-01-16 14:06:37</t>
  </si>
  <si>
    <t>2026-01-16 14:23:50</t>
  </si>
  <si>
    <t>2026-01-16 15:24:54</t>
  </si>
  <si>
    <t>2026-01-16 16:47:22</t>
  </si>
  <si>
    <t>2026-01-16 16:48:41</t>
  </si>
  <si>
    <t>2026-01-16 16:50:30</t>
  </si>
  <si>
    <t>2026-01-19 06:20:59</t>
  </si>
  <si>
    <t>2026-01-19 09:08:45</t>
  </si>
  <si>
    <t>2026-01-19 09:52:06</t>
  </si>
  <si>
    <t>2026-01-19 12:50:03</t>
  </si>
  <si>
    <t>2026-01-19 13:11:33</t>
  </si>
  <si>
    <t>2026-01-19 14:02:58</t>
  </si>
  <si>
    <t>2026-01-19 14:42:11</t>
  </si>
  <si>
    <t>2026-01-19 14:51:49</t>
  </si>
  <si>
    <t>2026-01-19 14:54:53</t>
  </si>
  <si>
    <t>2026-01-19 15:02:12</t>
  </si>
  <si>
    <t>2026-01-19 15:17:41</t>
  </si>
  <si>
    <t>2026-01-19 15:25:08</t>
  </si>
  <si>
    <t>2026-01-19 15:35:06</t>
  </si>
  <si>
    <t>2026-01-20 07:11:25</t>
  </si>
  <si>
    <t>2026-01-20 08:03:38</t>
  </si>
  <si>
    <t>2026-01-20 08:28:23</t>
  </si>
  <si>
    <t>2026-01-20 08:52:23</t>
  </si>
  <si>
    <t>2026-01-20 09:33:01</t>
  </si>
  <si>
    <t>2026-01-20 09:39:19</t>
  </si>
  <si>
    <t>2026-01-20 09:46:46</t>
  </si>
  <si>
    <t>2026-01-20 10:10:44</t>
  </si>
  <si>
    <t>2026-01-20 10:16:16</t>
  </si>
  <si>
    <t>2026-01-20 10:27:38</t>
  </si>
  <si>
    <t>2026-01-20 12:21:08</t>
  </si>
  <si>
    <t>2026-01-20 13:17:22</t>
  </si>
  <si>
    <t>2026-01-20 13:25:09</t>
  </si>
  <si>
    <t>2026-01-20 13:33:03</t>
  </si>
  <si>
    <t>2026-01-20 13:36:43</t>
  </si>
  <si>
    <t>2026-01-20 13:39:33</t>
  </si>
  <si>
    <t>2026-01-20 13:51:03</t>
  </si>
  <si>
    <t>2026-01-20 13:57:30</t>
  </si>
  <si>
    <t>2026-01-20 14:24:30</t>
  </si>
  <si>
    <t>2026-01-20 14:41:48</t>
  </si>
  <si>
    <t>2026-01-20 14:53:40</t>
  </si>
  <si>
    <t>2026-01-20 15:12:15</t>
  </si>
  <si>
    <t>2026-01-20 15:26:55</t>
  </si>
  <si>
    <t>2026-01-20 15:53:03</t>
  </si>
  <si>
    <t>2026-01-20 16:16:13</t>
  </si>
  <si>
    <t>2026-01-20 16:17:39</t>
  </si>
  <si>
    <t>2026-01-20 16:18:47</t>
  </si>
  <si>
    <t>2026-01-20 16:20:14</t>
  </si>
  <si>
    <t>2026-01-20 16:21:31</t>
  </si>
  <si>
    <t>2026-01-21 06:09:57</t>
  </si>
  <si>
    <t>2026-01-21 07:58:16</t>
  </si>
  <si>
    <t>2026-01-21 09:08:03</t>
  </si>
  <si>
    <t>2026-01-21 09:52:34</t>
  </si>
  <si>
    <t>2026-01-21 13:10:47</t>
  </si>
  <si>
    <t>2026-01-21 13:15:19</t>
  </si>
  <si>
    <t>2026-01-21 13:18:22</t>
  </si>
  <si>
    <t>2026-01-21 13:20:45</t>
  </si>
  <si>
    <t>2026-01-21 13:44:59</t>
  </si>
  <si>
    <t>2026-01-21 14:01:22</t>
  </si>
  <si>
    <t>2026-01-21 14:11:15</t>
  </si>
  <si>
    <t>2026-01-21 15:21:36</t>
  </si>
  <si>
    <t>2026-01-21 15:52:08</t>
  </si>
  <si>
    <t>2026-01-22 07:15:18</t>
  </si>
  <si>
    <t>2026-01-22 07:30:08</t>
  </si>
  <si>
    <t>2026-01-22 07:33:23</t>
  </si>
  <si>
    <t>2026-01-22 07:42:42</t>
  </si>
  <si>
    <t>2026-01-22 13:14:52</t>
  </si>
  <si>
    <t>2026-01-22 13:34:29</t>
  </si>
  <si>
    <t>2026-01-22 13:52:16</t>
  </si>
  <si>
    <t>2026-01-22 13:59:59</t>
  </si>
  <si>
    <t>2026-01-22 14:09:30</t>
  </si>
  <si>
    <t>2026-01-22 14:33:57</t>
  </si>
  <si>
    <t>2026-01-22 14:48:50</t>
  </si>
  <si>
    <t>2026-01-22 14:56:09</t>
  </si>
  <si>
    <t>2026-01-23 06:21:33</t>
  </si>
  <si>
    <t>2026-01-23 07:19:53</t>
  </si>
  <si>
    <t>2026-01-23 08:13:44</t>
  </si>
  <si>
    <t>2026-01-23 08:21:50</t>
  </si>
  <si>
    <t>2026-01-23 09:05:56</t>
  </si>
  <si>
    <t>2026-01-23 09:37:07</t>
  </si>
  <si>
    <t>2026-01-23 09:43:58</t>
  </si>
  <si>
    <t>2026-01-23 09:56:11</t>
  </si>
  <si>
    <t>2026-01-23 10:26:06</t>
  </si>
  <si>
    <t>2026-01-23 10:37:32</t>
  </si>
  <si>
    <t>2026-01-23 10:54:32</t>
  </si>
  <si>
    <t>2026-01-23 10:57:56</t>
  </si>
  <si>
    <t>2026-01-23 11:01:46</t>
  </si>
  <si>
    <t>2026-01-23 12:34:53</t>
  </si>
  <si>
    <t>2026-01-23 14:03:18</t>
  </si>
  <si>
    <t>2026-01-23 14:11:30</t>
  </si>
  <si>
    <t>2026-01-23 14:14:39</t>
  </si>
  <si>
    <t>2026-01-23 14:20:55</t>
  </si>
  <si>
    <t>2026-01-23 14:24:06</t>
  </si>
  <si>
    <t>2026-01-23 14:26:43</t>
  </si>
  <si>
    <t>2026-01-23 14:30:39</t>
  </si>
  <si>
    <t>2026-01-23 14:32:56</t>
  </si>
  <si>
    <t>2026-01-24 08:32:09</t>
  </si>
  <si>
    <t>2026-01-24 09:18:28</t>
  </si>
  <si>
    <t>2026-01-26 06:21:38</t>
  </si>
  <si>
    <t>2026-01-26 06:53:49</t>
  </si>
  <si>
    <t>2026-01-26 09:19:47</t>
  </si>
  <si>
    <t>2026-01-26 09:24:09</t>
  </si>
  <si>
    <t>2026-01-26 09:30:44</t>
  </si>
  <si>
    <t>2026-01-26 10:33:27</t>
  </si>
  <si>
    <t>2026-01-26 10:38:17</t>
  </si>
  <si>
    <t>2026-01-26 10:42:42</t>
  </si>
  <si>
    <t>2026-01-26 10:52:19</t>
  </si>
  <si>
    <t>2026-01-26 12:28:59</t>
  </si>
  <si>
    <t>2026-01-26 12:30:55</t>
  </si>
  <si>
    <t>2026-01-26 12:32:14</t>
  </si>
  <si>
    <t>2026-01-26 12:33:22</t>
  </si>
  <si>
    <t>2026-01-26 12:34:53</t>
  </si>
  <si>
    <t>2026-01-26 12:36:25</t>
  </si>
  <si>
    <t>2026-01-26 12:37:18</t>
  </si>
  <si>
    <t>2026-01-26 12:38:49</t>
  </si>
  <si>
    <t>2026-01-26 12:40:26</t>
  </si>
  <si>
    <t>2026-01-26 12:41:53</t>
  </si>
  <si>
    <t>2026-01-26 12:42:58</t>
  </si>
  <si>
    <t>2026-01-26 12:43:51</t>
  </si>
  <si>
    <t>2026-01-26 13:32:33</t>
  </si>
  <si>
    <t>2026-01-26 13:34:36</t>
  </si>
  <si>
    <t>2026-01-26 13:36:12</t>
  </si>
  <si>
    <t>2026-01-26 13:37:03</t>
  </si>
  <si>
    <t>2026-01-26 13:38:27</t>
  </si>
  <si>
    <t>2026-01-26 13:39:43</t>
  </si>
  <si>
    <t>2026-01-26 13:40:52</t>
  </si>
  <si>
    <t>2026-01-26 13:42:04</t>
  </si>
  <si>
    <t>2026-01-26 13:45:29</t>
  </si>
  <si>
    <t>2026-01-26 13:48:11</t>
  </si>
  <si>
    <t>2026-01-26 13:49:25</t>
  </si>
  <si>
    <t>2026-01-26 13:50:53</t>
  </si>
  <si>
    <t>2026-01-26 13:53:03</t>
  </si>
  <si>
    <t>2026-01-26 13:54:45</t>
  </si>
  <si>
    <t>2026-01-26 13:55:40</t>
  </si>
  <si>
    <t>2026-01-26 13:57:12</t>
  </si>
  <si>
    <t>2026-01-26 13:58:04</t>
  </si>
  <si>
    <t>2026-01-26 13:59:29</t>
  </si>
  <si>
    <t>2026-01-26 14:00:32</t>
  </si>
  <si>
    <t>2026-01-26 14:01:46</t>
  </si>
  <si>
    <t>2026-01-26 14:02:50</t>
  </si>
  <si>
    <t>2026-01-26 14:58:30</t>
  </si>
  <si>
    <t>2026-01-26 15:25:07</t>
  </si>
  <si>
    <t>2026-01-26 16:28:48</t>
  </si>
  <si>
    <t>2026-01-26 16:30:39</t>
  </si>
  <si>
    <t>2026-01-27 07:11:38</t>
  </si>
  <si>
    <t>2026-01-27 07:35:37</t>
  </si>
  <si>
    <t>2026-01-27 08:15:26</t>
  </si>
  <si>
    <t>2026-01-27 08:28:17</t>
  </si>
  <si>
    <t>2026-01-27 08:38:38</t>
  </si>
  <si>
    <t>2026-01-27 09:19:45</t>
  </si>
  <si>
    <t>2026-01-27 09:49:04</t>
  </si>
  <si>
    <t>2026-01-27 09:54:08</t>
  </si>
  <si>
    <t>2026-01-27 10:00:11</t>
  </si>
  <si>
    <t>2026-01-27 10:41:50</t>
  </si>
  <si>
    <t>2026-01-27 11:42:53</t>
  </si>
  <si>
    <t>2026-01-27 12:26:41</t>
  </si>
  <si>
    <t>2026-01-27 12:28:59</t>
  </si>
  <si>
    <t>2026-01-27 12:29:44</t>
  </si>
  <si>
    <t>2026-01-27 12:31:25</t>
  </si>
  <si>
    <t>2026-01-27 12:32:34</t>
  </si>
  <si>
    <t>2026-01-27 12:34:43</t>
  </si>
  <si>
    <t>2026-01-27 12:36:05</t>
  </si>
  <si>
    <t>2026-01-27 12:37:17</t>
  </si>
  <si>
    <t>2026-01-27 12:38:15</t>
  </si>
  <si>
    <t>2026-01-27 12:39:29</t>
  </si>
  <si>
    <t>2026-01-27 12:40:23</t>
  </si>
  <si>
    <t>2026-01-27 12:41:27</t>
  </si>
  <si>
    <t>2026-01-27 12:42:42</t>
  </si>
  <si>
    <t>2026-01-27 12:43:41</t>
  </si>
  <si>
    <t>2026-01-27 12:44:36</t>
  </si>
  <si>
    <t>2026-01-27 12:45:42</t>
  </si>
  <si>
    <t>2026-01-27 14:38:02</t>
  </si>
  <si>
    <t>2026-01-27 15:01:03</t>
  </si>
  <si>
    <t>2026-01-27 15:19:02</t>
  </si>
  <si>
    <t>2026-01-27 15:37:52</t>
  </si>
  <si>
    <t>2026-01-27 15:42:23</t>
  </si>
  <si>
    <t>2026-01-27 16:18:29</t>
  </si>
  <si>
    <t>2026-01-27 16:27:22</t>
  </si>
  <si>
    <t>2026-01-28 08:04:28</t>
  </si>
  <si>
    <t>2026-01-28 08:08:53</t>
  </si>
  <si>
    <t>2026-01-28 08:08:57</t>
  </si>
  <si>
    <t>2026-01-28 09:21:18</t>
  </si>
  <si>
    <t>2026-01-28 09:29:46</t>
  </si>
  <si>
    <t>2026-01-28 12:41:27</t>
  </si>
  <si>
    <t>2026-01-28 12:49:51</t>
  </si>
  <si>
    <t>2026-01-28 14:33:22</t>
  </si>
  <si>
    <t>2026-01-28 14:38:24</t>
  </si>
  <si>
    <t>2026-01-28 15:18:09</t>
  </si>
  <si>
    <t>2026-01-28 16:07:51</t>
  </si>
  <si>
    <t>2026-01-29 06:29:51</t>
  </si>
  <si>
    <t>2026-01-29 06:44:23</t>
  </si>
  <si>
    <t>2026-01-29 07:25:32</t>
  </si>
  <si>
    <t>2026-01-29 07:36:31</t>
  </si>
  <si>
    <t>2026-01-29 07:47:36</t>
  </si>
  <si>
    <t>2026-01-29 11:34:59</t>
  </si>
  <si>
    <t>2026-01-29 12:02:46</t>
  </si>
  <si>
    <t>2026-01-29 12:12:40</t>
  </si>
  <si>
    <t>2026-01-29 13:44:19</t>
  </si>
  <si>
    <t>2026-01-29 13:51:47</t>
  </si>
  <si>
    <t>2026-01-29 14:07:06</t>
  </si>
  <si>
    <t>2026-01-29 14:31:10</t>
  </si>
  <si>
    <t>2026-01-29 14:48:53</t>
  </si>
  <si>
    <t>2026-01-29 15:18:51</t>
  </si>
  <si>
    <t>2026-01-29 15:44:27</t>
  </si>
  <si>
    <t>2026-01-29 15:51:54</t>
  </si>
  <si>
    <t>2026-01-30 07:32:52</t>
  </si>
  <si>
    <t>2026-01-30 07:53:17</t>
  </si>
  <si>
    <t>2026-01-30 10:09:01</t>
  </si>
  <si>
    <t>2026-01-30 10:12:29</t>
  </si>
  <si>
    <t>2026-01-30 10:29:15</t>
  </si>
  <si>
    <t>2026-01-30 13:00:47</t>
  </si>
  <si>
    <t>2026-01-30 13:25:43</t>
  </si>
  <si>
    <t>2026-01-30 13:30:26</t>
  </si>
  <si>
    <t>2026-01-30 14:35:13</t>
  </si>
  <si>
    <t>2026-01-30 15:03:52</t>
  </si>
  <si>
    <t>2026-01-30 15:10:14</t>
  </si>
  <si>
    <t>2026-01-30 15:14:21</t>
  </si>
  <si>
    <t>2026-01-30 15:21:22</t>
  </si>
  <si>
    <t>2026-01-31 08:10:27</t>
  </si>
  <si>
    <t>2026-02-02 07:59:38</t>
  </si>
  <si>
    <t>2026-02-02 08:10:29</t>
  </si>
  <si>
    <t>2026-02-02 08:29:01</t>
  </si>
  <si>
    <t>2026-02-02 09:04:42</t>
  </si>
  <si>
    <t>2026-02-02 09:33:41</t>
  </si>
  <si>
    <t>2026-02-02 09:52:57</t>
  </si>
  <si>
    <t>2026-02-02 09:57:48</t>
  </si>
  <si>
    <t>2026-02-02 10:40:51</t>
  </si>
  <si>
    <t>2026-02-02 10:54:06</t>
  </si>
  <si>
    <t>2026-02-02 12:41:21</t>
  </si>
  <si>
    <t>2026-02-02 12:55:19</t>
  </si>
  <si>
    <t>2026-02-02 13:38:44</t>
  </si>
  <si>
    <t>2026-02-02 15:14:06</t>
  </si>
  <si>
    <t>2026-02-02 15:40:00</t>
  </si>
  <si>
    <t>2026-02-02 15:46:49</t>
  </si>
  <si>
    <t>2026-02-03 06:55:37</t>
  </si>
  <si>
    <t>2026-02-03 08:15:40</t>
  </si>
  <si>
    <t>2026-02-03 08:46:14</t>
  </si>
  <si>
    <t>2026-02-03 09:48:37</t>
  </si>
  <si>
    <t>2026-02-03 10:00:51</t>
  </si>
  <si>
    <t>2026-02-03 12:26:37</t>
  </si>
  <si>
    <t>2026-02-03 12:37:39</t>
  </si>
  <si>
    <t>2026-02-03 13:01:22</t>
  </si>
  <si>
    <t>2026-02-03 13:11:30</t>
  </si>
  <si>
    <t>2026-02-03 13:26:11</t>
  </si>
  <si>
    <t>2026-02-03 14:50:36</t>
  </si>
  <si>
    <t>2026-02-03 16:06:04</t>
  </si>
  <si>
    <t>2026-02-03 16:09:38</t>
  </si>
  <si>
    <t>2026-02-03 16:12:03</t>
  </si>
  <si>
    <t>2026-02-04 08:39:54</t>
  </si>
  <si>
    <t>2026-02-04 08:49:04</t>
  </si>
  <si>
    <t>2026-02-04 09:54:39</t>
  </si>
  <si>
    <t>2026-02-04 09:57:29</t>
  </si>
  <si>
    <t>2026-02-04 10:34:48</t>
  </si>
  <si>
    <t>2026-02-04 12:25:00</t>
  </si>
  <si>
    <t>2026-02-04 12:36:24</t>
  </si>
  <si>
    <t>2026-02-04 12:41:36</t>
  </si>
  <si>
    <t>2026-02-04 12:45:22</t>
  </si>
  <si>
    <t>2026-02-04 13:04:46</t>
  </si>
  <si>
    <t>2026-02-04 13:16:47</t>
  </si>
  <si>
    <t>2026-02-04 13:19:52</t>
  </si>
  <si>
    <t>2026-02-04 14:29:12</t>
  </si>
  <si>
    <t>2026-02-04 14:35:42</t>
  </si>
  <si>
    <t>2026-02-04 14:43:41</t>
  </si>
  <si>
    <t>2026-02-04 14:56:20</t>
  </si>
  <si>
    <t>2026-02-04 15:08:38</t>
  </si>
  <si>
    <t>2026-02-05 08:45:24</t>
  </si>
  <si>
    <t>2026-02-05 09:01:56</t>
  </si>
  <si>
    <t>2026-02-05 09:19:42</t>
  </si>
  <si>
    <t>2026-02-05 09:23:52</t>
  </si>
  <si>
    <t>2026-02-05 09:27:48</t>
  </si>
  <si>
    <t>2026-02-05 10:26:33</t>
  </si>
  <si>
    <t>2026-02-05 14:29:16</t>
  </si>
  <si>
    <t>2026-02-06 09:27:16</t>
  </si>
  <si>
    <t>2026-02-06 09:31:17</t>
  </si>
  <si>
    <t>2026-02-06 09:50:02</t>
  </si>
  <si>
    <t>2026-02-06 10:20:26</t>
  </si>
  <si>
    <t>2026-02-06 10:56:08</t>
  </si>
  <si>
    <t>2026-02-06 11:39:51</t>
  </si>
  <si>
    <t>2026-02-06 12:41:33</t>
  </si>
  <si>
    <t>2026-02-07 07:57:04</t>
  </si>
  <si>
    <t>2026-02-07 09:05:50</t>
  </si>
  <si>
    <t>2026-02-08 21:55:42</t>
  </si>
  <si>
    <t>2026-02-08 22:02:04</t>
  </si>
  <si>
    <t>2026-02-09 07:38:47</t>
  </si>
  <si>
    <t>2026-02-09 08:50:35</t>
  </si>
  <si>
    <t>2026-02-09 09:54:35</t>
  </si>
  <si>
    <t>2026-02-09 10:27:11</t>
  </si>
  <si>
    <t>2026-02-09 10:40:04</t>
  </si>
  <si>
    <t>2026-02-09 10:52:00</t>
  </si>
  <si>
    <t>2026-02-09 11:03:03</t>
  </si>
  <si>
    <t>2026-02-09 11:27:51</t>
  </si>
  <si>
    <t>2026-02-09 11:36:46</t>
  </si>
  <si>
    <t>2026-02-09 12:24:23</t>
  </si>
  <si>
    <t>2026-02-09 12:36:39</t>
  </si>
  <si>
    <t>2026-02-09 13:13:37</t>
  </si>
  <si>
    <t>2026-02-09 22:05:39</t>
  </si>
  <si>
    <t>2026-02-09 22:07:16</t>
  </si>
  <si>
    <t>2026-02-10 06:45:11</t>
  </si>
  <si>
    <t>2026-02-10 07:03:36</t>
  </si>
  <si>
    <t>2026-02-10 07:24:59</t>
  </si>
  <si>
    <t>2026-02-10 08:13:24</t>
  </si>
  <si>
    <t>2026-02-10 08:39:31</t>
  </si>
  <si>
    <t>2026-02-10 10:32:40</t>
  </si>
  <si>
    <t>2026-02-10 13:22:49</t>
  </si>
  <si>
    <t>2026-02-10 13:27:33</t>
  </si>
  <si>
    <t>2026-02-10 14:39:51</t>
  </si>
  <si>
    <t>2026-02-10 14:48:36</t>
  </si>
  <si>
    <t>2026-02-10 14:52:59</t>
  </si>
  <si>
    <t>2026-02-11 07:15:24</t>
  </si>
  <si>
    <t>2026-02-11 07:32:25</t>
  </si>
  <si>
    <t>2026-02-11 09:24:22</t>
  </si>
  <si>
    <t>2026-02-11 09:36:48</t>
  </si>
  <si>
    <t>2026-02-11 10:32:47</t>
  </si>
  <si>
    <t>2026-02-11 10:41:51</t>
  </si>
  <si>
    <t>2026-02-11 10:51:04</t>
  </si>
  <si>
    <t>2026-02-11 10:52:37</t>
  </si>
  <si>
    <t>2026-02-11 13:13:51</t>
  </si>
  <si>
    <t>2026-02-11 13:18:30</t>
  </si>
  <si>
    <t>2026-02-11 13:55:16</t>
  </si>
  <si>
    <t>2026-02-11 14:25:40</t>
  </si>
  <si>
    <t>2026-02-11 14:58:00</t>
  </si>
  <si>
    <t>2026-02-11 15:31:59</t>
  </si>
  <si>
    <t>2026-02-11 16:22:18</t>
  </si>
  <si>
    <t>2026-02-11 16:32:24</t>
  </si>
  <si>
    <t>2026-02-12 07:40:46</t>
  </si>
  <si>
    <t>2026-02-12 08:05:45</t>
  </si>
  <si>
    <t>2026-02-12 10:52:35</t>
  </si>
  <si>
    <t>2026-02-12 10:59:41</t>
  </si>
  <si>
    <t>2026-02-12 12:06:10</t>
  </si>
  <si>
    <t>2026-02-12 12:14:09</t>
  </si>
  <si>
    <t>2026-02-13 06:13:42</t>
  </si>
  <si>
    <t>2026-02-13 06:18:55</t>
  </si>
  <si>
    <t>2026-02-13 06:32:53</t>
  </si>
  <si>
    <t>2026-02-13 08:19:04</t>
  </si>
  <si>
    <t>2026-02-13 08:25:18</t>
  </si>
  <si>
    <t>2026-02-13 08:28:58</t>
  </si>
  <si>
    <t>2026-02-13 08:58:47</t>
  </si>
  <si>
    <t>2026-02-13 10:24:57</t>
  </si>
  <si>
    <t>2026-02-13 13:40:20</t>
  </si>
  <si>
    <t>2026-02-13 20:58:06</t>
  </si>
  <si>
    <t>2026-02-14 06:33:54</t>
  </si>
  <si>
    <t>2026-02-14 07:41:14</t>
  </si>
  <si>
    <t>2026-02-16 07:35:08</t>
  </si>
  <si>
    <t>2026-02-16 08:38:38</t>
  </si>
  <si>
    <t>2026-02-16 08:42:31</t>
  </si>
  <si>
    <t>2026-02-16 11:09:34</t>
  </si>
  <si>
    <t>2026-02-16 11:15:48</t>
  </si>
  <si>
    <t>2026-02-16 11:19:40</t>
  </si>
  <si>
    <t>2026-02-16 11:31:17</t>
  </si>
  <si>
    <t>2026-02-16 11:47:22</t>
  </si>
  <si>
    <t>2026-02-16 11:53:56</t>
  </si>
  <si>
    <t>2026-02-16 13:19:40</t>
  </si>
  <si>
    <t>2026-02-16 16:25:13</t>
  </si>
  <si>
    <t>2026-02-16 16:39:10</t>
  </si>
  <si>
    <t>2026-02-16 17:02:40</t>
  </si>
  <si>
    <t>2026-02-16 17:08:22</t>
  </si>
  <si>
    <t>2026-02-16 17:16:33</t>
  </si>
  <si>
    <t>2026-02-16 17:23:19</t>
  </si>
  <si>
    <t>2026-02-16 17:26:27</t>
  </si>
  <si>
    <t>2026-02-16 17:30:53</t>
  </si>
  <si>
    <t>2026-02-16 19:37:06</t>
  </si>
  <si>
    <t>2026-02-16 19:45:20</t>
  </si>
  <si>
    <t>2026-02-16 19:48:00</t>
  </si>
  <si>
    <t>2026-02-16 19:51:57</t>
  </si>
  <si>
    <t>2026-02-16 19:55:42</t>
  </si>
  <si>
    <t>2026-02-16 19:58:11</t>
  </si>
  <si>
    <t>2026-02-16 20:02:43</t>
  </si>
  <si>
    <t>2026-02-16 20:08:03</t>
  </si>
  <si>
    <t>2026-02-16 20:17:34</t>
  </si>
  <si>
    <t>2026-02-17 09:08:48</t>
  </si>
  <si>
    <t>2026-02-17 09:31:23</t>
  </si>
  <si>
    <t>2026-02-17 10:39:51</t>
  </si>
  <si>
    <t>2026-02-17 14:11:49</t>
  </si>
  <si>
    <t>2026-02-17 14:15:46</t>
  </si>
  <si>
    <t>2026-02-17 14:25:36</t>
  </si>
  <si>
    <t>2026-02-17 14:28:27</t>
  </si>
  <si>
    <t>2026-02-17 14:30:04</t>
  </si>
  <si>
    <t>2026-02-17 14:30:51</t>
  </si>
  <si>
    <t>2026-02-17 14:33:29</t>
  </si>
  <si>
    <t>2026-02-17 14:36:49</t>
  </si>
  <si>
    <t>2026-02-17 14:39:40</t>
  </si>
  <si>
    <t>2026-02-17 14:47:30</t>
  </si>
  <si>
    <t>2026-02-17 15:25:03</t>
  </si>
  <si>
    <t>2026-02-17 15:28:42</t>
  </si>
  <si>
    <t>2026-02-17 16:37:18</t>
  </si>
  <si>
    <t>2026-02-17 16:39:46</t>
  </si>
  <si>
    <t>2026-02-17 16:42:22</t>
  </si>
  <si>
    <t>2026-02-17 16:45:37</t>
  </si>
  <si>
    <t>2026-02-17 16:49:01</t>
  </si>
  <si>
    <t>2026-02-17 16:52:00</t>
  </si>
  <si>
    <t>2026-02-17 16:54:31</t>
  </si>
  <si>
    <t>2026-02-17 16:57:32</t>
  </si>
  <si>
    <t>2026-02-17 16:59:21</t>
  </si>
  <si>
    <t>2026-02-18 04:33:11</t>
  </si>
  <si>
    <t>2026-02-18 04:36:05</t>
  </si>
  <si>
    <t>2026-02-18 07:56:59</t>
  </si>
  <si>
    <t>2026-02-18 08:01:33</t>
  </si>
  <si>
    <t>2026-02-18 08:05:03</t>
  </si>
  <si>
    <t>2026-02-18 08:05:29</t>
  </si>
  <si>
    <t>2026-02-18 08:11:32</t>
  </si>
  <si>
    <t>2026-02-18 08:15:18</t>
  </si>
  <si>
    <t>2026-02-18 08:18:24</t>
  </si>
  <si>
    <t>2026-02-18 08:22:47</t>
  </si>
  <si>
    <t>2026-02-18 10:48:14</t>
  </si>
  <si>
    <t>2026-02-18 15:26:36</t>
  </si>
  <si>
    <t>2026-02-18 15:28:52</t>
  </si>
  <si>
    <t>2026-02-18 17:46:56</t>
  </si>
  <si>
    <t>2026-02-19 10:46:35</t>
  </si>
  <si>
    <t>2026-02-19 11:47:48</t>
  </si>
  <si>
    <t>2026-02-19 16:34:35</t>
  </si>
  <si>
    <t>2026-02-20 09:28:21</t>
  </si>
  <si>
    <t>2026-02-20 11:55:02</t>
  </si>
  <si>
    <t>2026-02-20 12:27:14</t>
  </si>
  <si>
    <t>2026-02-20 14:08:56</t>
  </si>
  <si>
    <t>2026-02-20 14:42:14</t>
  </si>
  <si>
    <t>2026-02-20 14:49:05</t>
  </si>
  <si>
    <t>2026-02-20 14:58:21</t>
  </si>
  <si>
    <t>2026-02-21 08:42:23</t>
  </si>
  <si>
    <t>2026-02-21 09:52:12</t>
  </si>
  <si>
    <t>2026-02-21 10:31:39</t>
  </si>
  <si>
    <t>2026-02-23 11:11:15</t>
  </si>
  <si>
    <t>2026-02-23 14:18:06</t>
  </si>
  <si>
    <t>2026-02-23 14:47:16</t>
  </si>
  <si>
    <t>2026-02-23 19:53:37</t>
  </si>
  <si>
    <t>2026-02-24 07:22:00</t>
  </si>
  <si>
    <t>2026-02-24 08:52:59</t>
  </si>
  <si>
    <t>2026-02-24 09:20:30</t>
  </si>
  <si>
    <t>2026-02-24 11:14:02</t>
  </si>
  <si>
    <t>2026-02-24 12:08:45</t>
  </si>
  <si>
    <t>2026-02-24 12:49:06</t>
  </si>
  <si>
    <t>2026-02-24 13:17:18</t>
  </si>
  <si>
    <t>2026-02-24 13:43:27</t>
  </si>
  <si>
    <t>2026-02-24 15:05:16</t>
  </si>
  <si>
    <t>2026-02-24 15:08:23</t>
  </si>
  <si>
    <t>2026-02-25 11:43:49</t>
  </si>
  <si>
    <t>2026-02-25 12:39:42</t>
  </si>
  <si>
    <t>2026-02-25 13:11:56</t>
  </si>
  <si>
    <t>2026-02-25 14:18:53</t>
  </si>
  <si>
    <t>2026-02-25 14:31:36</t>
  </si>
  <si>
    <t>2026-02-25 15:27:31</t>
  </si>
  <si>
    <t>2026-02-26 07:58:52</t>
  </si>
  <si>
    <t>2026-02-26 10:51:52</t>
  </si>
  <si>
    <t>2026-02-26 15:11:37</t>
  </si>
  <si>
    <t>2026-02-26 15:54:23</t>
  </si>
  <si>
    <t>2026-02-26 16:41:27</t>
  </si>
  <si>
    <t>2026-02-26 19:08:28</t>
  </si>
  <si>
    <t>2026-02-26 19:31:45</t>
  </si>
  <si>
    <t>2026-02-26 19:36:33</t>
  </si>
  <si>
    <t>2026-02-26 19:55:49</t>
  </si>
  <si>
    <t>2026-02-27 07:13:37</t>
  </si>
  <si>
    <t>2026-02-27 08:27:17</t>
  </si>
  <si>
    <t>2026-02-27 08:39:48</t>
  </si>
  <si>
    <t>2026-02-27 09:21:38</t>
  </si>
  <si>
    <t>2026-02-27 12:23:17</t>
  </si>
  <si>
    <t>2026-02-27 21:35:04</t>
  </si>
  <si>
    <t>2026-02-28 08:09:39</t>
  </si>
  <si>
    <t>2026-02-28 08:36:33</t>
  </si>
  <si>
    <t>2026-03-02 13:04:52</t>
  </si>
  <si>
    <t>2026-03-02 14:12:02</t>
  </si>
  <si>
    <t>2026-03-02 14:15:42</t>
  </si>
  <si>
    <t>2026-03-02 14:18:52</t>
  </si>
  <si>
    <t>2026-03-02 14:20:50</t>
  </si>
  <si>
    <t>2026-03-02 14:27:36</t>
  </si>
  <si>
    <t>2026-03-02 14:29:24</t>
  </si>
  <si>
    <t>2026-03-02 14:34:39</t>
  </si>
  <si>
    <t>2026-03-02 14:36:05</t>
  </si>
  <si>
    <t>2026-03-02 14:37:50</t>
  </si>
  <si>
    <t>2026-03-02 14:39:53</t>
  </si>
  <si>
    <t>2026-03-02 14:41:42</t>
  </si>
  <si>
    <t>2026-03-02 14:43:42</t>
  </si>
  <si>
    <t>2026-03-02 14:47:09</t>
  </si>
  <si>
    <t>2026-03-02 14:48:49</t>
  </si>
  <si>
    <t>2026-03-02 14:50:54</t>
  </si>
  <si>
    <t>2026-03-02 14:52:30</t>
  </si>
  <si>
    <t>2026-03-02 14:54:33</t>
  </si>
  <si>
    <t>2026-03-02 14:56:00</t>
  </si>
  <si>
    <t>2026-03-02 14:59:42</t>
  </si>
  <si>
    <t>2026-03-02 15:02:00</t>
  </si>
  <si>
    <t>2026-03-02 15:18:49</t>
  </si>
  <si>
    <t>2026-03-03 07:41:10</t>
  </si>
  <si>
    <t>2026-03-03 08:58:28</t>
  </si>
  <si>
    <t>2026-03-04 06:53:54</t>
  </si>
  <si>
    <t>2026-03-04 08:33:47</t>
  </si>
  <si>
    <t>2026-03-04 09:03:10</t>
  </si>
  <si>
    <t>2026-03-04 09:27:01</t>
  </si>
  <si>
    <t>2026-03-04 13:51:27</t>
  </si>
  <si>
    <t>2026-03-04 14:52:22</t>
  </si>
  <si>
    <t>2026-03-04 15:57:17</t>
  </si>
  <si>
    <t>2026-03-05 07:40:21</t>
  </si>
  <si>
    <t>2026-03-05 08:26:20</t>
  </si>
  <si>
    <t>2026-03-05 08:50:43</t>
  </si>
  <si>
    <t>2026-03-05 09:08:00</t>
  </si>
  <si>
    <t>2026-03-05 09:42:35</t>
  </si>
  <si>
    <t>2026-03-05 09:48:59</t>
  </si>
  <si>
    <t>2026-03-05 10:12:11</t>
  </si>
  <si>
    <t>2026-03-05 10:28:17</t>
  </si>
  <si>
    <t>2026-03-05 12:44:41</t>
  </si>
  <si>
    <t>2026-03-05 13:47:03</t>
  </si>
  <si>
    <t>2026-03-05 14:02:37</t>
  </si>
  <si>
    <t>2026-03-05 14:13:15</t>
  </si>
  <si>
    <t>2026-03-05 14:28:52</t>
  </si>
  <si>
    <t>2026-03-05 14:31:40</t>
  </si>
  <si>
    <t>2026-03-05 14:51:57</t>
  </si>
  <si>
    <t>2026-03-05 14:59:33</t>
  </si>
  <si>
    <t>2026-03-05 15:16:10</t>
  </si>
  <si>
    <t>2026-03-05 15:27:01</t>
  </si>
  <si>
    <t>2026-03-05 15:32:37</t>
  </si>
  <si>
    <t>2026-03-05 15:47:16</t>
  </si>
  <si>
    <t>2026-03-05 15:55:21</t>
  </si>
  <si>
    <t>2026-03-06 06:08:30</t>
  </si>
  <si>
    <t>2026-03-06 06:52:52</t>
  </si>
  <si>
    <t>2026-03-06 07:24:51</t>
  </si>
  <si>
    <t>2026-03-06 08:33:34</t>
  </si>
  <si>
    <t>2026-03-06 08:41:35</t>
  </si>
  <si>
    <t>2026-03-06 08:59:55</t>
  </si>
  <si>
    <t>2026-03-06 09:54:25</t>
  </si>
  <si>
    <t>2026-03-06 10:23:37</t>
  </si>
  <si>
    <t>2026-03-06 13:09:25</t>
  </si>
  <si>
    <t>2026-03-06 13:29:31</t>
  </si>
  <si>
    <t>2026-03-06 13:37:05</t>
  </si>
  <si>
    <t>2026-03-06 14:11:18</t>
  </si>
  <si>
    <t>2026-03-06 14:45:17</t>
  </si>
  <si>
    <t>2026-03-07 07:32:52</t>
  </si>
  <si>
    <t>2026-03-07 08:35:44</t>
  </si>
  <si>
    <t>2026-03-07 08:40:29</t>
  </si>
  <si>
    <t>2026-03-07 08:57:27</t>
  </si>
  <si>
    <t>2026-03-07 09:03:34</t>
  </si>
  <si>
    <t>2026-03-07 09:24:45</t>
  </si>
  <si>
    <t>2026-03-07 09:41:34</t>
  </si>
  <si>
    <t>2026-03-07 10:13:28</t>
  </si>
  <si>
    <t>2026-03-09 06:19:07</t>
  </si>
  <si>
    <t>2026-03-09 06:58:22</t>
  </si>
  <si>
    <t>2026-03-09 07:00:11</t>
  </si>
  <si>
    <t>2026-03-09 07:07:03</t>
  </si>
  <si>
    <t>2026-03-09 07:11:48</t>
  </si>
  <si>
    <t>2026-03-09 07:31:00</t>
  </si>
  <si>
    <t>2026-03-09 07:37:57</t>
  </si>
  <si>
    <t>2026-03-09 07:42:38</t>
  </si>
  <si>
    <t>2026-03-09 08:16:31</t>
  </si>
  <si>
    <t>2026-03-09 08:29:01</t>
  </si>
  <si>
    <t>2026-03-09 08:38:05</t>
  </si>
  <si>
    <t>2026-03-09 08:50:50</t>
  </si>
  <si>
    <t>2026-03-09 09:12:55</t>
  </si>
  <si>
    <t>2026-03-09 09:19:09</t>
  </si>
  <si>
    <t>2026-03-09 09:21:50</t>
  </si>
  <si>
    <t>2026-03-09 09:24:48</t>
  </si>
  <si>
    <t>2026-03-09 10:07:56</t>
  </si>
  <si>
    <t>2026-03-09 10:09:27</t>
  </si>
  <si>
    <t>2026-03-09 13:29:43</t>
  </si>
  <si>
    <t>2026-03-09 13:42:00</t>
  </si>
  <si>
    <t>2026-03-09 13:45:45</t>
  </si>
  <si>
    <t>2026-03-09 13:55:50</t>
  </si>
  <si>
    <t>2026-03-09 14:11:32</t>
  </si>
  <si>
    <t>2026-03-09 14:22:48</t>
  </si>
  <si>
    <t>2026-03-09 14:32:55</t>
  </si>
  <si>
    <t>2026-03-09 16:04:58</t>
  </si>
  <si>
    <t>2026-03-09 16:10:31</t>
  </si>
  <si>
    <t>2026-03-09 16:16:57</t>
  </si>
  <si>
    <t>2026-03-10 07:37:42</t>
  </si>
  <si>
    <t>2026-03-10 08:27:04</t>
  </si>
  <si>
    <t>2026-03-10 09:16:56</t>
  </si>
  <si>
    <t>2026-03-10 11:32:31</t>
  </si>
  <si>
    <t>2026-03-10 11:38:21</t>
  </si>
  <si>
    <t>2026-03-10 11:42:47</t>
  </si>
  <si>
    <t>2026-03-10 11:47:24</t>
  </si>
  <si>
    <t>2026-03-10 11:53:46</t>
  </si>
  <si>
    <t>2026-03-10 13:34:54</t>
  </si>
  <si>
    <t>2026-03-10 13:48:00</t>
  </si>
  <si>
    <t>2026-03-10 13:51:54</t>
  </si>
  <si>
    <t>2026-03-10 13:57:04</t>
  </si>
  <si>
    <t>2026-03-10 14:21:25</t>
  </si>
  <si>
    <t>2026-03-10 14:30:23</t>
  </si>
  <si>
    <t>2026-03-10 15:34:20</t>
  </si>
  <si>
    <t>2026-03-10 15:42:50</t>
  </si>
  <si>
    <t>2026-03-10 16:01:05</t>
  </si>
  <si>
    <t>2026-03-10 16:18:19</t>
  </si>
  <si>
    <t>2026-03-11 06:09:59</t>
  </si>
  <si>
    <t>2026-03-11 06:54:41</t>
  </si>
  <si>
    <t>2026-03-11 07:06:57</t>
  </si>
  <si>
    <t>2026-03-11 07:44:57</t>
  </si>
  <si>
    <t>2026-03-11 08:27:48</t>
  </si>
  <si>
    <t>2026-03-11 08:32:54</t>
  </si>
  <si>
    <t>2026-03-11 08:36:44</t>
  </si>
  <si>
    <t>2026-03-11 09:52:29</t>
  </si>
  <si>
    <t>2026-03-11 09:55:05</t>
  </si>
  <si>
    <t>2026-03-11 10:00:04</t>
  </si>
  <si>
    <t>2026-03-11 10:11:55</t>
  </si>
  <si>
    <t>2026-03-11 10:19:51</t>
  </si>
  <si>
    <t>2026-03-11 13:07:58</t>
  </si>
  <si>
    <t>2026-03-11 13:33:38</t>
  </si>
  <si>
    <t>2026-03-11 13:47:45</t>
  </si>
  <si>
    <t>2026-03-11 14:37:42</t>
  </si>
  <si>
    <t>2026-03-11 14:40:59</t>
  </si>
  <si>
    <t>2026-03-11 15:31:30</t>
  </si>
  <si>
    <t>2026-03-11 16:13:59</t>
  </si>
  <si>
    <t>2026-03-11 20:04:31</t>
  </si>
  <si>
    <t>2026-03-12 06:44:47</t>
  </si>
  <si>
    <t>2026-03-12 07:33:40</t>
  </si>
  <si>
    <t>2026-03-12 07:53:21</t>
  </si>
  <si>
    <t>2026-03-12 08:18:30</t>
  </si>
  <si>
    <t>2026-03-12 08:53:43</t>
  </si>
  <si>
    <t>2026-03-12 09:45:16</t>
  </si>
  <si>
    <t>2026-03-12 10:06:49</t>
  </si>
  <si>
    <t>2026-03-12 10:11:16</t>
  </si>
  <si>
    <t>2026-03-12 10:14:47</t>
  </si>
  <si>
    <t>2026-03-12 10:28:37</t>
  </si>
  <si>
    <t>2026-03-12 10:44:19</t>
  </si>
  <si>
    <t>2026-03-12 12:38:31</t>
  </si>
  <si>
    <t>2026-03-12 14:18:18</t>
  </si>
  <si>
    <t>2026-03-12 14:20:50</t>
  </si>
  <si>
    <t>2026-03-12 14:23:15</t>
  </si>
  <si>
    <t>2026-03-12 14:27:06</t>
  </si>
  <si>
    <t>2026-03-12 14:31:54</t>
  </si>
  <si>
    <t>2026-03-12 14:38:36</t>
  </si>
  <si>
    <t>2026-03-12 14:44:57</t>
  </si>
  <si>
    <t>2026-03-12 15:06:36</t>
  </si>
  <si>
    <t>2026-03-12 16:01:31</t>
  </si>
  <si>
    <t>2026-03-13 07:35:54</t>
  </si>
  <si>
    <t>2026-03-13 07:59:45</t>
  </si>
  <si>
    <t>2026-03-13 08:04:57</t>
  </si>
  <si>
    <t>2026-03-13 08:54:03</t>
  </si>
  <si>
    <t>2026-03-13 09:11:09</t>
  </si>
  <si>
    <t>2026-03-13 09:19:44</t>
  </si>
  <si>
    <t>2026-03-13 09:32:02</t>
  </si>
  <si>
    <t>2026-03-13 09:52:24</t>
  </si>
  <si>
    <t>2026-03-13 10:11:23</t>
  </si>
  <si>
    <t>2026-03-13 12:36:22</t>
  </si>
  <si>
    <t>2026-03-13 13:05:50</t>
  </si>
  <si>
    <t>2026-03-13 13:29:52</t>
  </si>
  <si>
    <t>2026-03-13 13:43:42</t>
  </si>
  <si>
    <t>2026-03-13 14:04:53</t>
  </si>
  <si>
    <t>2026-03-13 14:53:26</t>
  </si>
  <si>
    <t>2026-03-14 08:19:42</t>
  </si>
  <si>
    <t>2026-03-14 10:01:02</t>
  </si>
  <si>
    <t>2026-03-14 10:24:26</t>
  </si>
  <si>
    <t>2026-03-15 15:20:52</t>
  </si>
  <si>
    <t>2026-03-15 15:24:23</t>
  </si>
  <si>
    <t>2026-03-15 15:27:19</t>
  </si>
  <si>
    <t>2026-03-16 09:19:19</t>
  </si>
  <si>
    <t>2026-03-16 09:24:19</t>
  </si>
  <si>
    <t>2026-03-16 09:28:14</t>
  </si>
  <si>
    <t>2026-03-16 09:33:50</t>
  </si>
  <si>
    <t>2026-03-16 09:36:05</t>
  </si>
  <si>
    <t>2026-03-16 09:38:32</t>
  </si>
  <si>
    <t>2026-03-16 09:41:09</t>
  </si>
  <si>
    <t>2026-03-16 09:43:08</t>
  </si>
  <si>
    <t>2026-03-16 10:00:14</t>
  </si>
  <si>
    <t>2026-03-16 10:06:40</t>
  </si>
  <si>
    <t>2026-03-16 12:50:29</t>
  </si>
  <si>
    <t>2026-03-16 12:57:59</t>
  </si>
  <si>
    <t>2026-03-16 14:22:45</t>
  </si>
  <si>
    <t>2026-03-16 14:33:11</t>
  </si>
  <si>
    <t>2026-03-16 15:02:19</t>
  </si>
  <si>
    <t>2026-03-16 15:20:36</t>
  </si>
  <si>
    <t>2026-03-16 15:29:31</t>
  </si>
  <si>
    <t>2026-03-16 16:04:56</t>
  </si>
  <si>
    <t>2026-03-17 06:32:43</t>
  </si>
  <si>
    <t>2026-03-17 06:37:03</t>
  </si>
  <si>
    <t>2026-03-17 06:43:48</t>
  </si>
  <si>
    <t>2026-03-17 08:13:37</t>
  </si>
  <si>
    <t>2026-03-17 08:17:34</t>
  </si>
  <si>
    <t>2026-03-17 08:40:42</t>
  </si>
  <si>
    <t>2026-03-17 08:44:23</t>
  </si>
  <si>
    <t>2026-03-17 08:52:38</t>
  </si>
  <si>
    <t>2026-03-17 09:04:14</t>
  </si>
  <si>
    <t>2026-03-17 09:10:10</t>
  </si>
  <si>
    <t>2026-03-17 09:27:32</t>
  </si>
  <si>
    <t>2026-03-17 10:27:06</t>
  </si>
  <si>
    <t>2026-03-17 12:43:13</t>
  </si>
  <si>
    <t>2026-03-17 12:48:49</t>
  </si>
  <si>
    <t>2026-03-17 12:57:36</t>
  </si>
  <si>
    <t>2026-03-17 13:00:52</t>
  </si>
  <si>
    <t>2026-03-17 13:22:44</t>
  </si>
  <si>
    <t>2026-03-17 14:01:45</t>
  </si>
  <si>
    <t>2026-03-17 14:17:26</t>
  </si>
  <si>
    <t>2026-03-17 14:26:37</t>
  </si>
  <si>
    <t>2026-03-18 06:54:35</t>
  </si>
  <si>
    <t>2026-03-18 07:23:14</t>
  </si>
  <si>
    <t>2026-03-18 08:45:21</t>
  </si>
  <si>
    <t>2026-03-18 08:55:43</t>
  </si>
  <si>
    <t>2026-03-18 09:02:07</t>
  </si>
  <si>
    <t>2026-03-18 09:09:13</t>
  </si>
  <si>
    <t>2026-03-18 09:14:04</t>
  </si>
  <si>
    <t>2026-03-18 09:41:53</t>
  </si>
  <si>
    <t>2026-03-18 09:48:00</t>
  </si>
  <si>
    <t>2026-03-18 09:50:08</t>
  </si>
  <si>
    <t>2026-03-18 09:53:23</t>
  </si>
  <si>
    <t>2026-03-18 09:58:20</t>
  </si>
  <si>
    <t>2026-03-18 10:08:37</t>
  </si>
  <si>
    <t>2026-03-18 10:29:18</t>
  </si>
  <si>
    <t>2026-03-18 10:46:04</t>
  </si>
  <si>
    <t>2026-03-18 13:16:00</t>
  </si>
  <si>
    <t>2026-03-18 13:20:20</t>
  </si>
  <si>
    <t>2026-03-18 13:38:53</t>
  </si>
  <si>
    <t>2026-03-18 15:00:41</t>
  </si>
  <si>
    <t>2026-03-18 15:23:42</t>
  </si>
  <si>
    <t>2026-03-18 15:29:55</t>
  </si>
  <si>
    <t>2026-03-18 15:31:16</t>
  </si>
  <si>
    <t>2026-03-18 15:35:18</t>
  </si>
  <si>
    <t>2026-03-18 15:59:35</t>
  </si>
  <si>
    <t>2026-03-18 16:02:47</t>
  </si>
  <si>
    <t>2026-03-19 07:12:10</t>
  </si>
  <si>
    <t>2026-03-19 07:42:31</t>
  </si>
  <si>
    <t>2026-03-19 07:57:20</t>
  </si>
  <si>
    <t>2026-03-19 08:22:34</t>
  </si>
  <si>
    <t>2026-03-19 08:25:30</t>
  </si>
  <si>
    <t>2026-03-19 08:36:18</t>
  </si>
  <si>
    <t>2026-03-19 08:49:13</t>
  </si>
  <si>
    <t>2026-03-19 08:55:02</t>
  </si>
  <si>
    <t>2026-03-19 09:02:08</t>
  </si>
  <si>
    <t>2026-03-19 09:08:46</t>
  </si>
  <si>
    <t>2026-03-19 09:19:01</t>
  </si>
  <si>
    <t>2026-03-19 09:35:43</t>
  </si>
  <si>
    <t>2026-03-19 09:57:03</t>
  </si>
  <si>
    <t>2026-03-19 11:22:02</t>
  </si>
  <si>
    <t>2026-03-19 13:02:47</t>
  </si>
  <si>
    <t>2026-03-19 13:19:22</t>
  </si>
  <si>
    <t>2026-03-19 13:24:58</t>
  </si>
  <si>
    <t>2026-03-19 13:33:59</t>
  </si>
  <si>
    <t>2026-03-19 13:42:33</t>
  </si>
  <si>
    <t>2026-03-19 14:41:38</t>
  </si>
  <si>
    <t>2026-03-19 14:56:46</t>
  </si>
  <si>
    <t>2026-03-19 15:13:39</t>
  </si>
  <si>
    <t>2026-03-19 16:09:44</t>
  </si>
  <si>
    <t>2026-03-20 06:21:00</t>
  </si>
  <si>
    <t>2026-03-20 06:40:14</t>
  </si>
  <si>
    <t>2026-03-20 06:58:48</t>
  </si>
  <si>
    <t>2026-03-20 07:57:01</t>
  </si>
  <si>
    <t>2026-03-20 08:29:36</t>
  </si>
  <si>
    <t>2026-03-20 09:09:07</t>
  </si>
  <si>
    <t>2026-03-20 12:39:36</t>
  </si>
  <si>
    <t>2026-03-20 13:01:35</t>
  </si>
  <si>
    <t>2026-03-20 13:06:36</t>
  </si>
  <si>
    <t>2026-03-20 13:22:34</t>
  </si>
  <si>
    <t>2026-03-20 13:25:58</t>
  </si>
  <si>
    <t>2026-03-20 13:35:30</t>
  </si>
  <si>
    <t>2026-03-20 13:41:57</t>
  </si>
  <si>
    <t>2026-03-20 13:53:49</t>
  </si>
  <si>
    <t>2026-03-20 14:21:11</t>
  </si>
  <si>
    <t>2026-03-20 14:52:40</t>
  </si>
  <si>
    <t>2026-03-20 15:12:28</t>
  </si>
  <si>
    <t>2026-03-20 16:08:02</t>
  </si>
  <si>
    <t>2026-03-21 07:20:43</t>
  </si>
  <si>
    <t>2026-03-21 07:34:24</t>
  </si>
  <si>
    <t>2026-03-21 09:02:55</t>
  </si>
  <si>
    <t>2026-03-21 10:14:41</t>
  </si>
  <si>
    <t>2026-03-21 10:19:01</t>
  </si>
  <si>
    <t>2026-03-21 10:24:13</t>
  </si>
  <si>
    <t>2026-03-23 06:02:46</t>
  </si>
  <si>
    <t>2026-03-23 06:48:51</t>
  </si>
  <si>
    <t>2026-03-23 07:14:19</t>
  </si>
  <si>
    <t>2026-03-23 07:42:18</t>
  </si>
  <si>
    <t>2026-03-23 09:09:53</t>
  </si>
  <si>
    <t>2026-03-23 09:42:13</t>
  </si>
  <si>
    <t>2026-03-23 09:44:18</t>
  </si>
  <si>
    <t>2026-03-23 09:51:00</t>
  </si>
  <si>
    <t>2026-03-23 10:01:13</t>
  </si>
  <si>
    <t>2026-03-23 10:25:53</t>
  </si>
  <si>
    <t>2026-03-23 10:29:05</t>
  </si>
  <si>
    <t>2026-03-23 10:35:54</t>
  </si>
  <si>
    <t>2026-03-23 10:44:43</t>
  </si>
  <si>
    <t>2026-03-23 12:35:28</t>
  </si>
  <si>
    <t>2026-03-23 13:27:00</t>
  </si>
  <si>
    <t>2026-03-23 13:32:28</t>
  </si>
  <si>
    <t>2026-03-23 14:31:27</t>
  </si>
  <si>
    <t>2026-03-23 14:54:27</t>
  </si>
  <si>
    <t>2026-03-23 15:02:12</t>
  </si>
  <si>
    <t>2026-03-23 15:06:26</t>
  </si>
  <si>
    <t>2026-03-23 15:08:50</t>
  </si>
  <si>
    <t>2026-03-23 15:18:56</t>
  </si>
  <si>
    <t>2026-03-23 15:50:13</t>
  </si>
  <si>
    <t>2026-03-23 16:04:25</t>
  </si>
  <si>
    <t>2026-03-23 16:21:14</t>
  </si>
  <si>
    <t>2026-03-24 06:07:42</t>
  </si>
  <si>
    <t>2026-03-24 07:41:56</t>
  </si>
  <si>
    <t>2026-03-24 08:09:24</t>
  </si>
  <si>
    <t>2026-03-24 08:26:07</t>
  </si>
  <si>
    <t>2026-03-24 09:03:30</t>
  </si>
  <si>
    <t>2026-03-24 10:32:19</t>
  </si>
  <si>
    <t>2026-03-24 11:40:46</t>
  </si>
  <si>
    <t>2026-03-24 11:47:50</t>
  </si>
  <si>
    <t>2026-03-24 13:07:11</t>
  </si>
  <si>
    <t>2026-03-24 13:17:12</t>
  </si>
  <si>
    <t>2026-03-24 13:21:49</t>
  </si>
  <si>
    <t>2026-03-24 13:35:00</t>
  </si>
  <si>
    <t>2026-03-24 13:42:01</t>
  </si>
  <si>
    <t>2026-03-24 14:45:03</t>
  </si>
  <si>
    <t>2026-03-24 14:47:29</t>
  </si>
  <si>
    <t>2026-03-24 14:51:15</t>
  </si>
  <si>
    <t>2026-03-24 14:56:35</t>
  </si>
  <si>
    <t>2026-03-24 15:01:27</t>
  </si>
  <si>
    <t>2026-03-24 15:13:01</t>
  </si>
  <si>
    <t>2026-03-24 15:41:58</t>
  </si>
  <si>
    <t>2026-03-25 09:07:39</t>
  </si>
  <si>
    <t>2026-03-25 09:21:13</t>
  </si>
  <si>
    <t>2026-03-25 09:21:57</t>
  </si>
  <si>
    <t>2026-03-25 09:27:01</t>
  </si>
  <si>
    <t>2026-03-25 12:00:19</t>
  </si>
  <si>
    <t>2026-03-25 12:03:34</t>
  </si>
  <si>
    <t>2026-03-25 13:31:52</t>
  </si>
  <si>
    <t>2026-03-25 13:47:21</t>
  </si>
  <si>
    <t>2026-03-25 13:50:57</t>
  </si>
  <si>
    <t>2026-03-25 13:55:51</t>
  </si>
  <si>
    <t>2026-03-25 13:59:04</t>
  </si>
  <si>
    <t>2026-03-25 14:11:07</t>
  </si>
  <si>
    <t>2026-03-25 14:29:42</t>
  </si>
  <si>
    <t>2026-03-25 15:34:38</t>
  </si>
  <si>
    <t>2026-03-26 07:19:52</t>
  </si>
  <si>
    <t>2026-03-26 07:23:47</t>
  </si>
  <si>
    <t>2026-03-26 07:26:25</t>
  </si>
  <si>
    <t>2026-03-26 07:34:21</t>
  </si>
  <si>
    <t>2026-03-26 07:42:02</t>
  </si>
  <si>
    <t>2026-03-26 07:46:34</t>
  </si>
  <si>
    <t>2026-03-26 08:05:08</t>
  </si>
  <si>
    <t>2026-03-26 08:38:10</t>
  </si>
  <si>
    <t>2026-03-26 08:42:35</t>
  </si>
  <si>
    <t>2026-03-26 08:43:01</t>
  </si>
  <si>
    <t>2026-03-26 09:40:13</t>
  </si>
  <si>
    <t>2026-03-26 09:45:45</t>
  </si>
  <si>
    <t>2026-03-26 10:01:38</t>
  </si>
  <si>
    <t>2026-03-26 10:05:35</t>
  </si>
  <si>
    <t>2026-03-26 10:23:47</t>
  </si>
  <si>
    <t>2026-03-26 10:30:09</t>
  </si>
  <si>
    <t>2026-03-26 12:16:55</t>
  </si>
  <si>
    <t>2026-03-26 12:41:06</t>
  </si>
  <si>
    <t>2026-03-26 13:40:47</t>
  </si>
  <si>
    <t>2026-03-26 13:46:08</t>
  </si>
  <si>
    <t>2026-03-26 13:52:59</t>
  </si>
  <si>
    <t>2026-03-26 14:25:20</t>
  </si>
  <si>
    <t>2026-03-26 14:40:51</t>
  </si>
  <si>
    <t>2026-03-26 15:01:51</t>
  </si>
  <si>
    <t>2026-03-26 16:48:54</t>
  </si>
  <si>
    <t>2026-03-26 20:53:53</t>
  </si>
  <si>
    <t>2026-03-26 21:09:24</t>
  </si>
  <si>
    <t>2026-03-27 07:16:44</t>
  </si>
  <si>
    <t>2026-03-27 07:58:20</t>
  </si>
  <si>
    <t>2026-03-27 08:20:39</t>
  </si>
  <si>
    <t>2026-03-27 08:38:27</t>
  </si>
  <si>
    <t>2026-03-27 08:56:29</t>
  </si>
  <si>
    <t>2026-03-27 10:12:02</t>
  </si>
  <si>
    <t>2026-03-27 10:20:13</t>
  </si>
  <si>
    <t>2026-03-27 10:31:33</t>
  </si>
  <si>
    <t>2026-03-27 10:40:58</t>
  </si>
  <si>
    <t>2026-03-27 13:21:00</t>
  </si>
  <si>
    <t>2026-03-28 08:19:54</t>
  </si>
  <si>
    <t>2026-03-28 08:27:53</t>
  </si>
  <si>
    <t>2026-03-28 08:49:22</t>
  </si>
  <si>
    <t>2026-03-28 08:58:08</t>
  </si>
  <si>
    <t>2026-03-30 05:49:24</t>
  </si>
  <si>
    <t>2026-03-30 06:25:16</t>
  </si>
  <si>
    <t>2026-03-30 07:19:27</t>
  </si>
  <si>
    <t>2026-03-30 07:26:04</t>
  </si>
  <si>
    <t>2026-03-30 07:30:39</t>
  </si>
  <si>
    <t>2026-03-30 07:51:41</t>
  </si>
  <si>
    <t>2026-03-30 07:58:19</t>
  </si>
  <si>
    <t>2026-03-30 08:14:58</t>
  </si>
  <si>
    <t>2026-03-30 08:18:09</t>
  </si>
  <si>
    <t>2026-03-30 08:49:11</t>
  </si>
  <si>
    <t>2026-03-30 09:02:14</t>
  </si>
  <si>
    <t>2026-03-30 09:35:20</t>
  </si>
  <si>
    <t>2026-03-30 10:47:28</t>
  </si>
  <si>
    <t>2026-03-30 11:41:01</t>
  </si>
  <si>
    <t>2026-03-30 11:44:34</t>
  </si>
  <si>
    <t>2026-03-30 11:49:14</t>
  </si>
  <si>
    <t>2026-03-30 11:56:55</t>
  </si>
  <si>
    <t>2026-03-30 14:16:38</t>
  </si>
  <si>
    <t>2026-03-30 14:20:34</t>
  </si>
  <si>
    <t>2026-03-30 14:23:06</t>
  </si>
  <si>
    <t>2026-03-30 14:39:35</t>
  </si>
  <si>
    <t>2026-03-30 15:57:08</t>
  </si>
  <si>
    <t>2026-03-30 16:01:26</t>
  </si>
  <si>
    <t>2026-03-31 06:54:16</t>
  </si>
  <si>
    <t>2026-03-31 07:01:19</t>
  </si>
  <si>
    <t>2026-03-31 07:11:08</t>
  </si>
  <si>
    <t>2026-03-31 07:54:05</t>
  </si>
  <si>
    <t>2026-03-31 08:19:02</t>
  </si>
  <si>
    <t>2026-03-31 08:28:17</t>
  </si>
  <si>
    <t>2026-03-31 08:57:45</t>
  </si>
  <si>
    <t>2026-03-31 09:27:56</t>
  </si>
  <si>
    <t>2026-03-31 10:08:22</t>
  </si>
  <si>
    <t>2026-03-31 10:52:40</t>
  </si>
  <si>
    <t>2026-03-31 12:47:11</t>
  </si>
  <si>
    <t>2026-03-31 12:53:31</t>
  </si>
  <si>
    <t>2026-03-31 13:19:46</t>
  </si>
  <si>
    <t>2026-03-31 14:12:05</t>
  </si>
  <si>
    <t>2026-03-31 15:11:02</t>
  </si>
  <si>
    <t>2026-04-01 06:19:09</t>
  </si>
  <si>
    <t>2026-04-01 08:47:01</t>
  </si>
  <si>
    <t>2026-04-01 09:07:44</t>
  </si>
  <si>
    <t>2026-04-01 10:21:00</t>
  </si>
  <si>
    <t>2026-04-01 13:06:10</t>
  </si>
  <si>
    <t>2026-04-01 13:51:35</t>
  </si>
  <si>
    <t>2026-04-01 13:57:28</t>
  </si>
  <si>
    <t>2026-04-01 15:52:40</t>
  </si>
  <si>
    <t>2026-04-01 16:10:28</t>
  </si>
  <si>
    <t>2026-04-01 16:21:45</t>
  </si>
  <si>
    <t>2026-04-02 06:25:28</t>
  </si>
  <si>
    <t>2026-04-02 07:21:54</t>
  </si>
  <si>
    <t>2026-04-02 09:18:35</t>
  </si>
  <si>
    <t>2026-04-02 09:29:50</t>
  </si>
  <si>
    <t>2026-04-02 09:30:43</t>
  </si>
  <si>
    <t>2026-04-02 09:32:55</t>
  </si>
  <si>
    <t>2026-04-02 09:44:53</t>
  </si>
  <si>
    <t>2026-04-02 10:07:07</t>
  </si>
  <si>
    <t>2026-04-02 10:30:39</t>
  </si>
  <si>
    <t>2026-04-02 10:34:39</t>
  </si>
  <si>
    <t>2026-04-02 13:21:59</t>
  </si>
  <si>
    <t>2026-04-02 13:33:38</t>
  </si>
  <si>
    <t>2026-04-02 14:02:20</t>
  </si>
  <si>
    <t>2026-04-02 14:38:19</t>
  </si>
  <si>
    <t>2026-04-02 14:51:06</t>
  </si>
  <si>
    <t>2026-04-06 05:21:29</t>
  </si>
  <si>
    <t>2026-04-06 05:46:41</t>
  </si>
  <si>
    <t>2026-04-06 05:49:14</t>
  </si>
  <si>
    <t>2026-04-06 06:04:56</t>
  </si>
  <si>
    <t>2026-04-06 06:10:21</t>
  </si>
  <si>
    <t>2026-04-06 07:46:46</t>
  </si>
  <si>
    <t>2026-04-06 07:53:27</t>
  </si>
  <si>
    <t>2026-04-06 11:39:40</t>
  </si>
  <si>
    <t>2026-04-06 12:05:42</t>
  </si>
  <si>
    <t>2026-04-06 12:17:07</t>
  </si>
  <si>
    <t>2026-04-06 12:27:17</t>
  </si>
  <si>
    <t>2026-04-06 13:31:13</t>
  </si>
  <si>
    <t>2026-04-06 13:55:01</t>
  </si>
  <si>
    <t>2026-04-06 15:23:26</t>
  </si>
  <si>
    <t>2026-04-06 15:34:39</t>
  </si>
  <si>
    <t>2026-04-06 17:22:34</t>
  </si>
  <si>
    <t>2026-04-07 06:28:35</t>
  </si>
  <si>
    <t>2026-04-07 06:30:54</t>
  </si>
  <si>
    <t>2026-04-07 06:33:20</t>
  </si>
  <si>
    <t>2026-04-07 06:44:59</t>
  </si>
  <si>
    <t>2026-04-07 07:10:16</t>
  </si>
  <si>
    <t>2026-04-07 07:13:50</t>
  </si>
  <si>
    <t>2026-04-07 07:20:56</t>
  </si>
  <si>
    <t>2026-04-07 07:22:40</t>
  </si>
  <si>
    <t>2026-04-07 07:48:28</t>
  </si>
  <si>
    <t>2026-04-07 08:24:00</t>
  </si>
  <si>
    <t>2026-04-07 09:15:56</t>
  </si>
  <si>
    <t>2026-04-07 09:51:51</t>
  </si>
  <si>
    <t>2026-04-07 12:12:15</t>
  </si>
  <si>
    <t>2026-04-07 12:30:13</t>
  </si>
  <si>
    <t>2026-04-07 12:48:29</t>
  </si>
  <si>
    <t>2026-04-07 13:04:28</t>
  </si>
  <si>
    <t>2026-04-07 13:11:11</t>
  </si>
  <si>
    <t>2026-04-07 13:15:21</t>
  </si>
  <si>
    <t>2026-04-07 14:29:22</t>
  </si>
  <si>
    <t>2026-04-08 05:26:54</t>
  </si>
  <si>
    <t>2026-04-08 07:09:36</t>
  </si>
  <si>
    <t>2026-04-08 09:11:09</t>
  </si>
  <si>
    <t>2026-04-08 12:33:23</t>
  </si>
  <si>
    <t>2026-04-08 12:59:35</t>
  </si>
  <si>
    <t>2026-04-08 13:04:24</t>
  </si>
  <si>
    <t>2026-04-08 13:07:49</t>
  </si>
  <si>
    <t>2026-04-08 13:12:23</t>
  </si>
  <si>
    <t>2026-04-08 13:17:58</t>
  </si>
  <si>
    <t>2026-04-08 13:23:01</t>
  </si>
  <si>
    <t>2026-04-08 13:26:56</t>
  </si>
  <si>
    <t>2026-04-09 05:33:18</t>
  </si>
  <si>
    <t>2026-04-09 06:05:22</t>
  </si>
  <si>
    <t>2026-04-09 07:21:58</t>
  </si>
  <si>
    <t>2026-04-09 08:22:24</t>
  </si>
  <si>
    <t>2026-04-09 08:26:12</t>
  </si>
  <si>
    <t>2026-04-09 11:14:41</t>
  </si>
  <si>
    <t>2026-04-09 11:23:07</t>
  </si>
  <si>
    <t>2026-04-09 11:29:10</t>
  </si>
  <si>
    <t>2026-04-09 11:55:03</t>
  </si>
  <si>
    <t>2026-04-09 12:00:03</t>
  </si>
  <si>
    <t>2026-04-09 12:08:14</t>
  </si>
  <si>
    <t>2026-04-09 12:13:35</t>
  </si>
  <si>
    <t>2026-04-09 13:14:23</t>
  </si>
  <si>
    <t>2026-04-09 13:26:14</t>
  </si>
  <si>
    <t>2026-04-09 14:19:17</t>
  </si>
  <si>
    <t>2026-04-10 05:38:11</t>
  </si>
  <si>
    <t>2026-04-10 05:54:58</t>
  </si>
  <si>
    <t>2026-04-10 07:20:38</t>
  </si>
  <si>
    <t>2026-04-10 07:23:44</t>
  </si>
  <si>
    <t>2026-04-10 07:28:21</t>
  </si>
  <si>
    <t>2026-04-10 07:36:17</t>
  </si>
  <si>
    <t>2026-04-10 07:42:25</t>
  </si>
  <si>
    <t>2026-04-10 07:45:04</t>
  </si>
  <si>
    <t>2026-04-10 07:52:22</t>
  </si>
  <si>
    <t>2026-04-10 11:12:40</t>
  </si>
  <si>
    <t>2026-04-10 11:19:12</t>
  </si>
  <si>
    <t>2026-04-10 11:54:45</t>
  </si>
  <si>
    <t>2026-04-10 14:03:12</t>
  </si>
  <si>
    <t>2026-04-10 14:23:13</t>
  </si>
  <si>
    <t>2026-04-10 14:36:01</t>
  </si>
  <si>
    <t>2026-04-11 07:49:23</t>
  </si>
  <si>
    <t>2026-04-11 08:20:14</t>
  </si>
  <si>
    <t>2026-04-11 08:52:00</t>
  </si>
  <si>
    <t>2026-04-11 12:39:17</t>
  </si>
  <si>
    <t>2026-04-11 12:55:21</t>
  </si>
  <si>
    <t>2026-04-13 05:16:41</t>
  </si>
  <si>
    <t>2026-04-13 05:56:41</t>
  </si>
  <si>
    <t>2026-04-13 06:12:22</t>
  </si>
  <si>
    <t>2026-04-13 06:22:43</t>
  </si>
  <si>
    <t>2026-04-13 06:25:47</t>
  </si>
  <si>
    <t>2026-04-13 06:48:08</t>
  </si>
  <si>
    <t>2026-04-13 07:06:34</t>
  </si>
  <si>
    <t>2026-04-13 07:19:41</t>
  </si>
  <si>
    <t>2026-04-13 07:30:09</t>
  </si>
  <si>
    <t>2026-04-13 07:58:54</t>
  </si>
  <si>
    <t>2026-04-13 08:49:13</t>
  </si>
  <si>
    <t>2026-04-13 09:00:40</t>
  </si>
  <si>
    <t>2026-04-13 09:11:52</t>
  </si>
  <si>
    <t>2026-04-13 09:19:02</t>
  </si>
  <si>
    <t>2026-04-13 09:28:12</t>
  </si>
  <si>
    <t>2026-04-13 09:47:43</t>
  </si>
  <si>
    <t>2026-04-13 11:27:38</t>
  </si>
  <si>
    <t>2026-04-13 11:37:00</t>
  </si>
  <si>
    <t>2026-04-13 12:29:13</t>
  </si>
  <si>
    <t>2026-04-13 12:30:01</t>
  </si>
  <si>
    <t>2026-04-13 12:31:37</t>
  </si>
  <si>
    <t>2026-04-13 12:33:04</t>
  </si>
  <si>
    <t>2026-04-13 12:43:17</t>
  </si>
  <si>
    <t>2026-04-13 12:50:10</t>
  </si>
  <si>
    <t>2026-04-13 12:52:43</t>
  </si>
  <si>
    <t>2026-04-13 12:55:04</t>
  </si>
  <si>
    <t>2026-04-13 13:00:37</t>
  </si>
  <si>
    <t>2026-04-13 13:22:48</t>
  </si>
  <si>
    <t>2026-04-13 13:41:59</t>
  </si>
  <si>
    <t>2026-04-13 14:08:59</t>
  </si>
  <si>
    <t>2026-04-13 14:11:59</t>
  </si>
  <si>
    <t>2026-04-13 14:13:29</t>
  </si>
  <si>
    <t>2026-04-13 14:15:09</t>
  </si>
  <si>
    <t>2026-04-13 14:48:56</t>
  </si>
  <si>
    <t>2026-04-13 14:58:59</t>
  </si>
  <si>
    <t>2026-04-14 05:52:47</t>
  </si>
  <si>
    <t>2026-04-14 05:54:39</t>
  </si>
  <si>
    <t>2026-04-14 06:33:44</t>
  </si>
  <si>
    <t>2026-04-14 06:53:53</t>
  </si>
  <si>
    <t>2026-04-14 07:17:41</t>
  </si>
  <si>
    <t>2026-04-14 07:49:33</t>
  </si>
  <si>
    <t>2026-04-14 08:24:34</t>
  </si>
  <si>
    <t>2026-04-14 09:26:17</t>
  </si>
  <si>
    <t>2026-04-14 09:31:10</t>
  </si>
  <si>
    <t>2026-04-14 12:27:30</t>
  </si>
  <si>
    <t>2026-04-14 12:31:36</t>
  </si>
  <si>
    <t>2026-04-14 12:41:55</t>
  </si>
  <si>
    <t>2026-04-14 12:45:16</t>
  </si>
  <si>
    <t>2026-04-14 13:22:00</t>
  </si>
  <si>
    <t>2026-04-14 13:35:55</t>
  </si>
  <si>
    <t>2026-04-14 13:36:40</t>
  </si>
  <si>
    <t>2026-04-14 13:37:56</t>
  </si>
  <si>
    <t>2026-04-14 19:58:48</t>
  </si>
  <si>
    <t>2026-04-15 05:30:12</t>
  </si>
  <si>
    <t>2026-04-15 05:38:30</t>
  </si>
  <si>
    <t>2026-04-15 05:56:17</t>
  </si>
  <si>
    <t>2026-04-15 06:24:30</t>
  </si>
  <si>
    <t>2026-04-15 06:40:31</t>
  </si>
  <si>
    <t>2026-04-15 06:57:05</t>
  </si>
  <si>
    <t>2026-04-15 08:57:32</t>
  </si>
  <si>
    <t>2026-04-15 09:03:29</t>
  </si>
  <si>
    <t>2026-04-15 09:11:46</t>
  </si>
  <si>
    <t>2026-04-15 09:23:02</t>
  </si>
  <si>
    <t>2026-04-15 09:25:12</t>
  </si>
  <si>
    <t>2026-04-15 09:31:45</t>
  </si>
  <si>
    <t>2026-04-15 12:36:42</t>
  </si>
  <si>
    <t>2026-04-15 12:53:23</t>
  </si>
  <si>
    <t>2026-04-15 13:06:23</t>
  </si>
  <si>
    <t>2026-04-15 13:25:13</t>
  </si>
  <si>
    <t>2026-04-15 14:04:59</t>
  </si>
  <si>
    <t>2026-04-15 14:17:54</t>
  </si>
  <si>
    <t>2026-04-15 14:44:30</t>
  </si>
  <si>
    <t>2026-04-16 06:25:04</t>
  </si>
  <si>
    <t>2026-04-16 06:51:39</t>
  </si>
  <si>
    <t>2026-04-16 07:08:57</t>
  </si>
  <si>
    <t>2026-04-16 07:13:33</t>
  </si>
  <si>
    <t>2026-04-16 07:37:15</t>
  </si>
  <si>
    <t>2026-04-16 08:11:28</t>
  </si>
  <si>
    <t>2026-04-16 08:23:22</t>
  </si>
  <si>
    <t>2026-04-16 08:45:04</t>
  </si>
  <si>
    <t>2026-04-16 09:18:46</t>
  </si>
  <si>
    <t>2026-04-16 09:25:04</t>
  </si>
  <si>
    <t>2026-04-16 11:50:00</t>
  </si>
  <si>
    <t>2026-04-16 12:30:58</t>
  </si>
  <si>
    <t>2026-04-16 12:40:50</t>
  </si>
  <si>
    <t>2026-04-16 12:48:18</t>
  </si>
  <si>
    <t>2026-04-16 12:53:46</t>
  </si>
  <si>
    <t>2026-04-16 12:57:51</t>
  </si>
  <si>
    <t>2026-04-16 12:58:26</t>
  </si>
  <si>
    <t>2026-04-16 13:04:45</t>
  </si>
  <si>
    <t>2026-04-16 13:08:02</t>
  </si>
  <si>
    <t>2026-04-16 13:53:34</t>
  </si>
  <si>
    <t>2026-04-16 14:20:25</t>
  </si>
  <si>
    <t>2026-04-16 14:27:53</t>
  </si>
  <si>
    <t>2026-04-16 14:31:00</t>
  </si>
  <si>
    <t>2026-04-17 05:49:49</t>
  </si>
  <si>
    <t>2026-04-17 06:15:28</t>
  </si>
  <si>
    <t>2026-04-17 06:48:04</t>
  </si>
  <si>
    <t>2026-04-17 07:10:37</t>
  </si>
  <si>
    <t>2026-04-17 07:14:07</t>
  </si>
  <si>
    <t>2026-04-17 07:26:09</t>
  </si>
  <si>
    <t>2026-04-17 07:51:03</t>
  </si>
  <si>
    <t>2026-04-17 08:01:30</t>
  </si>
  <si>
    <t>2026-04-17 08:40:01</t>
  </si>
  <si>
    <t>2026-04-17 08:55:17</t>
  </si>
  <si>
    <t>2026-04-17 09:02:17</t>
  </si>
  <si>
    <t>2026-04-17 09:14:18</t>
  </si>
  <si>
    <t>2026-04-17 09:27:33</t>
  </si>
  <si>
    <t>2026-04-17 09:38:40</t>
  </si>
  <si>
    <t>2026-04-17 11:54:27</t>
  </si>
  <si>
    <t>2026-04-17 12:28:44</t>
  </si>
  <si>
    <t>2026-04-17 13:20:28</t>
  </si>
  <si>
    <t>2026-04-17 13:34:39</t>
  </si>
  <si>
    <t>2026-04-17 14:04:18</t>
  </si>
  <si>
    <t>2026-04-17 14:14:11</t>
  </si>
  <si>
    <t>2026-04-18 07:25:29</t>
  </si>
  <si>
    <t>2026-04-18 07:29:42</t>
  </si>
  <si>
    <t>2026-04-18 09:16:35</t>
  </si>
  <si>
    <t>2026-04-20 07:18:50</t>
  </si>
  <si>
    <t>2026-04-20 07:25:59</t>
  </si>
  <si>
    <t>2026-04-20 07:37:13</t>
  </si>
  <si>
    <t>2026-04-20 07:42:21</t>
  </si>
  <si>
    <t>2026-04-20 08:04:49</t>
  </si>
  <si>
    <t>2026-04-20 09:03:08</t>
  </si>
  <si>
    <t>2026-04-20 09:16:33</t>
  </si>
  <si>
    <t>2026-04-20 09:20:02</t>
  </si>
  <si>
    <t>2026-04-20 11:07:30</t>
  </si>
  <si>
    <t>2026-04-20 12:08:18</t>
  </si>
  <si>
    <t>2026-04-20 12:12:23</t>
  </si>
  <si>
    <t>2026-04-20 12:14:32</t>
  </si>
  <si>
    <t>2026-04-20 12:30:51</t>
  </si>
  <si>
    <t>2026-04-20 13:14:50</t>
  </si>
  <si>
    <t>2026-04-20 14:21:00</t>
  </si>
  <si>
    <t>2026-04-20 14:28:18</t>
  </si>
  <si>
    <t>2026-04-20 14:49:27</t>
  </si>
  <si>
    <t>2026-04-20 14:56:10</t>
  </si>
  <si>
    <t>2026-04-21 05:28:15</t>
  </si>
  <si>
    <t>2026-04-21 05:45:36</t>
  </si>
  <si>
    <t>2026-04-21 05:48:56</t>
  </si>
  <si>
    <t>2026-04-21 05:56:06</t>
  </si>
  <si>
    <t>2026-04-21 06:03:22</t>
  </si>
  <si>
    <t>2026-04-21 06:15:37</t>
  </si>
  <si>
    <t>2026-04-21 06:21:53</t>
  </si>
  <si>
    <t>2026-04-21 06:50:24</t>
  </si>
  <si>
    <t>2026-04-21 07:00:24</t>
  </si>
  <si>
    <t>2026-04-21 07:10:30</t>
  </si>
  <si>
    <t>2026-04-21 07:17:34</t>
  </si>
  <si>
    <t>2026-04-21 07:30:41</t>
  </si>
  <si>
    <t>2026-04-21 08:03:55</t>
  </si>
  <si>
    <t>2026-04-21 09:04:17</t>
  </si>
  <si>
    <t>2026-04-21 09:15:24</t>
  </si>
  <si>
    <t>2026-04-21 11:21:33</t>
  </si>
  <si>
    <t>2026-04-21 13:07:45</t>
  </si>
  <si>
    <t>2026-04-21 14:05:43</t>
  </si>
  <si>
    <t>2026-04-21 14:21:52</t>
  </si>
  <si>
    <t>2026-04-21 14:47:23</t>
  </si>
  <si>
    <t>2026-04-21 14:54:55</t>
  </si>
  <si>
    <t>2026-04-21 14:58:44</t>
  </si>
  <si>
    <t>2026-04-22 05:12:18</t>
  </si>
  <si>
    <t>2026-04-22 06:42:53</t>
  </si>
  <si>
    <t>2026-04-22 07:23:22</t>
  </si>
  <si>
    <t>2026-04-22 07:31:37</t>
  </si>
  <si>
    <t>2026-04-22 07:53:51</t>
  </si>
  <si>
    <t>2026-04-22 07:55:35</t>
  </si>
  <si>
    <t>2026-04-22 07:57:08</t>
  </si>
  <si>
    <t>2026-04-22 07:59:56</t>
  </si>
  <si>
    <t>2026-04-22 08:07:50</t>
  </si>
  <si>
    <t>2026-04-22 08:07:58</t>
  </si>
  <si>
    <t>2026-04-22 09:06:07</t>
  </si>
  <si>
    <t>2026-04-22 09:24:43</t>
  </si>
  <si>
    <t>2026-04-22 12:03:44</t>
  </si>
  <si>
    <t>2026-04-22 12:53:27</t>
  </si>
  <si>
    <t>2026-04-22 12:54:18</t>
  </si>
  <si>
    <t>2026-04-22 12:55:13</t>
  </si>
  <si>
    <t>2026-04-22 12:56:14</t>
  </si>
  <si>
    <t>2026-04-22 12:58:22</t>
  </si>
  <si>
    <t>2026-04-22 13:00:53</t>
  </si>
  <si>
    <t>2026-04-22 13:07:07</t>
  </si>
  <si>
    <t>2026-04-22 13:10:30</t>
  </si>
  <si>
    <t>2026-04-22 13:19:03</t>
  </si>
  <si>
    <t>2026-04-22 13:25:58</t>
  </si>
  <si>
    <t>2026-04-22 13:30:49</t>
  </si>
  <si>
    <t>2026-04-22 14:34:03</t>
  </si>
  <si>
    <t>2026-04-23 05:22:27</t>
  </si>
  <si>
    <t>2026-04-23 06:19:30</t>
  </si>
  <si>
    <t>2026-04-23 06:22:00</t>
  </si>
  <si>
    <t>2026-04-23 06:23:43</t>
  </si>
  <si>
    <t>2026-04-23 07:16:11</t>
  </si>
  <si>
    <t>2026-04-23 07:44:32</t>
  </si>
  <si>
    <t>2026-04-23 07:50:36</t>
  </si>
  <si>
    <t>2026-04-23 07:55:45</t>
  </si>
  <si>
    <t>2026-04-23 08:08:02</t>
  </si>
  <si>
    <t>2026-04-23 08:42:02</t>
  </si>
  <si>
    <t>2026-04-23 08:53:07</t>
  </si>
  <si>
    <t>2026-04-23 09:01:23</t>
  </si>
  <si>
    <t>2026-04-23 11:49:48</t>
  </si>
  <si>
    <t>2026-04-23 12:02:50</t>
  </si>
  <si>
    <t>2026-04-23 12:53:37</t>
  </si>
  <si>
    <t>2026-04-23 13:41:46</t>
  </si>
  <si>
    <t>2026-04-23 14:20:40</t>
  </si>
  <si>
    <t>2026-04-24 05:27:40</t>
  </si>
  <si>
    <t>2026-04-24 06:23:59</t>
  </si>
  <si>
    <t>2026-04-24 06:33:32</t>
  </si>
  <si>
    <t>2026-04-24 06:34:28</t>
  </si>
  <si>
    <t>2026-04-24 06:40:25</t>
  </si>
  <si>
    <t>2026-04-24 07:55:33</t>
  </si>
  <si>
    <t>2026-04-24 07:59:19</t>
  </si>
  <si>
    <t>2026-04-24 08:05:13</t>
  </si>
  <si>
    <t>2026-04-24 08:57:02</t>
  </si>
  <si>
    <t>2026-04-24 08:59:48</t>
  </si>
  <si>
    <t>2026-04-24 09:03:17</t>
  </si>
  <si>
    <t>2026-04-24 09:11:03</t>
  </si>
  <si>
    <t>2026-04-24 09:18:05</t>
  </si>
  <si>
    <t>2026-04-24 09:35:30</t>
  </si>
  <si>
    <t>2026-04-24 09:43:16</t>
  </si>
  <si>
    <t>2026-04-24 12:47:18</t>
  </si>
  <si>
    <t>2026-04-24 14:02:02</t>
  </si>
  <si>
    <t>2026-04-25 09:16:24</t>
  </si>
  <si>
    <t>2026-04-25 09:19:25</t>
  </si>
  <si>
    <t>2026-04-25 09:22:38</t>
  </si>
  <si>
    <t>2026-04-27 05:31:35</t>
  </si>
  <si>
    <t>2026-04-27 05:42:21</t>
  </si>
  <si>
    <t>2026-04-27 06:21:18</t>
  </si>
  <si>
    <t>2026-04-27 06:54:38</t>
  </si>
  <si>
    <t>2026-04-27 07:19:41</t>
  </si>
  <si>
    <t>2026-04-27 07:23:30</t>
  </si>
  <si>
    <t>2026-04-27 07:27:19</t>
  </si>
  <si>
    <t>2026-04-27 07:55:28</t>
  </si>
  <si>
    <t>2026-04-27 07:58:30</t>
  </si>
  <si>
    <t>2026-04-27 08:02:27</t>
  </si>
  <si>
    <t>2026-04-27 08:16:48</t>
  </si>
  <si>
    <t>2026-04-27 08:34:51</t>
  </si>
  <si>
    <t>2026-04-27 08:45:33</t>
  </si>
  <si>
    <t>2026-04-27 09:29:59</t>
  </si>
  <si>
    <t>2026-04-27 11:46:26</t>
  </si>
  <si>
    <t>2026-04-27 13:28:06</t>
  </si>
  <si>
    <t>2026-04-27 13:37:34</t>
  </si>
  <si>
    <t>2026-04-27 13:56:27</t>
  </si>
  <si>
    <t>2026-04-28 05:27:59</t>
  </si>
  <si>
    <t>2026-04-28 05:34:29</t>
  </si>
  <si>
    <t>2026-04-28 06:08:08</t>
  </si>
  <si>
    <t>2026-04-28 06:12:06</t>
  </si>
  <si>
    <t>2026-04-28 06:30:24</t>
  </si>
  <si>
    <t>2026-04-28 06:33:40</t>
  </si>
  <si>
    <t>2026-04-28 08:12:18</t>
  </si>
  <si>
    <t>2026-04-28 08:17:45</t>
  </si>
  <si>
    <t>2026-04-28 08:25:44</t>
  </si>
  <si>
    <t>2026-04-28 08:36:09</t>
  </si>
  <si>
    <t>2026-04-28 08:39:37</t>
  </si>
  <si>
    <t>2026-04-28 12:01:51</t>
  </si>
  <si>
    <t>2026-04-28 12:05:16</t>
  </si>
  <si>
    <t>2026-04-28 12:11:18</t>
  </si>
  <si>
    <t>2026-04-28 12:12:14</t>
  </si>
  <si>
    <t>2026-04-28 12:35:55</t>
  </si>
  <si>
    <t>2026-04-28 13:20:40</t>
  </si>
  <si>
    <t>2026-04-29 05:30:30</t>
  </si>
  <si>
    <t>2026-04-29 06:35:53</t>
  </si>
  <si>
    <t>2026-04-29 07:12:58</t>
  </si>
  <si>
    <t>2026-04-29 11:59:43</t>
  </si>
  <si>
    <t>2026-04-29 12:17:11</t>
  </si>
  <si>
    <t>2026-04-29 12:21:46</t>
  </si>
  <si>
    <t>2026-04-29 13:33:18</t>
  </si>
  <si>
    <t>2026-04-29 13:39:20</t>
  </si>
  <si>
    <t>2026-04-29 14:34:43</t>
  </si>
  <si>
    <t>2026-04-29 14:42:03</t>
  </si>
  <si>
    <t>2026-04-29 14:52:37</t>
  </si>
  <si>
    <t>2026-04-30 05:45:36</t>
  </si>
  <si>
    <t>2026-04-30 07:15:51</t>
  </si>
  <si>
    <t>2026-04-30 07:51:29</t>
  </si>
  <si>
    <t>2026-04-30 08:41:09</t>
  </si>
  <si>
    <t>2026-04-30 10:41:42</t>
  </si>
  <si>
    <t>2026-04-30 12:17:06</t>
  </si>
  <si>
    <t>2026-04-30 12:53:20</t>
  </si>
  <si>
    <t>2026-05-04 06:01:44</t>
  </si>
  <si>
    <t>2026-05-04 06:50:38</t>
  </si>
  <si>
    <t>2026-05-04 07:12:35</t>
  </si>
  <si>
    <t>2026-05-04 08:14:15</t>
  </si>
  <si>
    <t>2026-05-04 08:27:51</t>
  </si>
  <si>
    <t>2026-05-04 08:41:20</t>
  </si>
  <si>
    <t>2026-05-04 08:49:24</t>
  </si>
  <si>
    <t>2026-05-04 08:55:21</t>
  </si>
  <si>
    <t>2026-05-04 09:11:39</t>
  </si>
  <si>
    <t>2026-05-04 09:40:59</t>
  </si>
  <si>
    <t>2026-05-04 11:40:42</t>
  </si>
  <si>
    <t>2026-05-04 11:48:58</t>
  </si>
  <si>
    <t>2026-05-04 11:55:06</t>
  </si>
  <si>
    <t>2026-05-04 12:00:25</t>
  </si>
  <si>
    <t>2026-05-04 12:15:07</t>
  </si>
  <si>
    <t>2026-05-04 12:22:51</t>
  </si>
  <si>
    <t>2026-05-04 13:12:50</t>
  </si>
  <si>
    <t>2026-05-04 13:48:51</t>
  </si>
  <si>
    <t>2026-05-04 13:54:50</t>
  </si>
  <si>
    <t>2026-05-04 13:57:51</t>
  </si>
  <si>
    <t>2026-05-04 14:49:01</t>
  </si>
  <si>
    <t>2026-05-04 15:24:26</t>
  </si>
  <si>
    <t>2026-05-05 05:33:32</t>
  </si>
  <si>
    <t>2026-05-05 06:26:55</t>
  </si>
  <si>
    <t>2026-05-05 07:56:05</t>
  </si>
  <si>
    <t>2026-05-05 08:37:46</t>
  </si>
  <si>
    <t>2026-05-05 08:40:59</t>
  </si>
  <si>
    <t>2026-05-05 08:44:27</t>
  </si>
  <si>
    <t>2026-05-05 09:01:20</t>
  </si>
  <si>
    <t>2026-05-05 09:09:13</t>
  </si>
  <si>
    <t>2026-05-05 09:19:39</t>
  </si>
  <si>
    <t>2026-05-05 09:31:12</t>
  </si>
  <si>
    <t>2026-05-05 09:35:53</t>
  </si>
  <si>
    <t>2026-05-05 12:18:03</t>
  </si>
  <si>
    <t>2026-05-05 12:35:14</t>
  </si>
  <si>
    <t>2026-05-05 13:18:38</t>
  </si>
  <si>
    <t>2026-05-05 13:46:59</t>
  </si>
  <si>
    <t>2026-05-05 14:05:01</t>
  </si>
  <si>
    <t>2026-05-05 14:17:18</t>
  </si>
  <si>
    <t>2026-05-05 14:36:11</t>
  </si>
  <si>
    <t>2026-05-05 15:07:41</t>
  </si>
  <si>
    <t>2026-05-06 06:48:46</t>
  </si>
  <si>
    <t>2026-05-06 07:04:02</t>
  </si>
  <si>
    <t>2026-05-06 07:23:32</t>
  </si>
  <si>
    <t>2026-05-06 07:32:45</t>
  </si>
  <si>
    <t>2026-05-06 07:39:21</t>
  </si>
  <si>
    <t>2026-05-06 07:45:35</t>
  </si>
  <si>
    <t>2026-05-06 07:58:44</t>
  </si>
  <si>
    <t>2026-05-06 08:34:08</t>
  </si>
  <si>
    <t>2026-05-06 08:51:36</t>
  </si>
  <si>
    <t>2026-05-06 08:58:56</t>
  </si>
  <si>
    <t>2026-05-06 09:05:10</t>
  </si>
  <si>
    <t>2026-05-06 09:50:10</t>
  </si>
  <si>
    <t>2026-05-06 12:04:50</t>
  </si>
  <si>
    <t>2026-05-06 12:10:02</t>
  </si>
  <si>
    <t>2026-05-06 12:19:07</t>
  </si>
  <si>
    <t>2026-05-06 12:27:39</t>
  </si>
  <si>
    <t>2026-05-06 12:53:04</t>
  </si>
  <si>
    <t>2026-05-06 13:09:02</t>
  </si>
  <si>
    <t>2026-05-06 14:18:21</t>
  </si>
  <si>
    <t>2026-05-06 14:23:30</t>
  </si>
  <si>
    <t>2026-05-06 14:31:56</t>
  </si>
  <si>
    <t>2026-05-06 14:36:26</t>
  </si>
  <si>
    <t>2026-05-06 14:40:49</t>
  </si>
  <si>
    <t>2026-05-06 14:51:22</t>
  </si>
  <si>
    <t>2026-05-06 15:13:37</t>
  </si>
  <si>
    <t>2026-05-07 05:52:17</t>
  </si>
  <si>
    <t>2026-05-07 06:08:12</t>
  </si>
  <si>
    <t>2026-05-07 06:20:40</t>
  </si>
  <si>
    <t>2026-05-07 09:13:40</t>
  </si>
  <si>
    <t>2026-05-07 09:23:55</t>
  </si>
  <si>
    <t>2026-05-07 12:31:56</t>
  </si>
  <si>
    <t>2026-05-07 12:57:50</t>
  </si>
  <si>
    <t>2026-05-07 13:07:53</t>
  </si>
  <si>
    <t>2026-05-07 13:23:20</t>
  </si>
  <si>
    <t>2026-05-07 13:31:54</t>
  </si>
  <si>
    <t>2026-05-07 13:37:40</t>
  </si>
  <si>
    <t>2026-05-07 14:29:15</t>
  </si>
  <si>
    <t>2026-05-08 05:58:18</t>
  </si>
  <si>
    <t>2026-05-08 06:29:01</t>
  </si>
  <si>
    <t>2026-05-08 07:22:55</t>
  </si>
  <si>
    <t>2026-05-08 07:34:22</t>
  </si>
  <si>
    <t>2026-05-08 07:48:58</t>
  </si>
  <si>
    <t>2026-05-08 08:04:27</t>
  </si>
  <si>
    <t>2026-05-08 08:14:35</t>
  </si>
  <si>
    <t>2026-05-08 08:17:38</t>
  </si>
  <si>
    <t>2026-05-08 08:56:23</t>
  </si>
  <si>
    <t>2026-05-08 09:05:29</t>
  </si>
  <si>
    <t>2026-05-08 09:11:15</t>
  </si>
  <si>
    <t>2026-05-08 12:35:20</t>
  </si>
  <si>
    <t>2026-05-08 13:18:47</t>
  </si>
  <si>
    <t>2026-05-08 13:24:37</t>
  </si>
  <si>
    <t>2026-05-08 13:27:29</t>
  </si>
  <si>
    <t>2026-05-08 14:14:03</t>
  </si>
  <si>
    <t>2026-05-08 14:19:20</t>
  </si>
  <si>
    <t>2026-05-09 08:04:07</t>
  </si>
  <si>
    <t>2026-05-09 08:19:57</t>
  </si>
  <si>
    <t>2026-05-09 08:27:28</t>
  </si>
  <si>
    <t>2026-05-11 05:27:32</t>
  </si>
  <si>
    <t>2026-05-11 06:19:11</t>
  </si>
  <si>
    <t>2026-05-11 07:23:50</t>
  </si>
  <si>
    <t>2026-05-11 07:45:48</t>
  </si>
  <si>
    <t>2026-05-11 07:59:07</t>
  </si>
  <si>
    <t>2026-05-11 08:58:29</t>
  </si>
  <si>
    <t>2026-05-11 09:10:14</t>
  </si>
  <si>
    <t>2026-05-11 11:11:44</t>
  </si>
  <si>
    <t>2026-05-11 11:23:22</t>
  </si>
  <si>
    <t>2026-05-11 12:16:10</t>
  </si>
  <si>
    <t>2026-05-11 12:31:53</t>
  </si>
  <si>
    <t>2026-05-11 12:50:04</t>
  </si>
  <si>
    <t>2026-05-11 13:16:44</t>
  </si>
  <si>
    <t>2026-05-11 13:30:15</t>
  </si>
  <si>
    <t>2026-05-11 13:45:38</t>
  </si>
  <si>
    <t>2026-05-12 05:19:42</t>
  </si>
  <si>
    <t>2026-05-12 06:30:59</t>
  </si>
  <si>
    <t>2026-05-12 07:00:03</t>
  </si>
  <si>
    <t>2026-05-12 08:18:28</t>
  </si>
  <si>
    <t>2026-05-12 08:24:32</t>
  </si>
  <si>
    <t>2026-05-12 08:28:05</t>
  </si>
  <si>
    <t>2026-05-12 08:53:46</t>
  </si>
  <si>
    <t>2026-05-12 08:59:57</t>
  </si>
  <si>
    <t>2026-05-12 12:21:37</t>
  </si>
  <si>
    <t>2026-05-12 12:59:50</t>
  </si>
  <si>
    <t>2026-05-12 13:15:54</t>
  </si>
  <si>
    <t>2026-05-12 13:41:56</t>
  </si>
  <si>
    <t>2026-05-12 13:56:49</t>
  </si>
  <si>
    <t>2026-05-13 06:21:37</t>
  </si>
  <si>
    <t>2026-05-13 06:40:44</t>
  </si>
  <si>
    <t>2026-05-13 07:03:02</t>
  </si>
  <si>
    <t>2026-05-13 07:21:23</t>
  </si>
  <si>
    <t>2026-05-13 07:29:34</t>
  </si>
  <si>
    <t>2026-05-13 09:14:35</t>
  </si>
  <si>
    <t>2026-05-13 09:27:07</t>
  </si>
  <si>
    <t>2026-05-13 12:01:10</t>
  </si>
  <si>
    <t>RVPX11</t>
  </si>
  <si>
    <t>2026-05-13 12:07:39</t>
  </si>
  <si>
    <t>RLST51</t>
  </si>
  <si>
    <t>2026-05-13 12:14:13</t>
  </si>
  <si>
    <t>2026-05-13 12:33:03</t>
  </si>
  <si>
    <t>SYPS43</t>
  </si>
  <si>
    <t>2026-05-13 12:49:33</t>
  </si>
  <si>
    <t>PPLZ30</t>
  </si>
  <si>
    <t>2026-05-13 13:11:02</t>
  </si>
  <si>
    <t>VLYP42</t>
  </si>
  <si>
    <t>2026-05-13 13:42:45</t>
  </si>
  <si>
    <t>TKWY26</t>
  </si>
  <si>
    <t>2026-05-13 13:50:49</t>
  </si>
  <si>
    <t>LYLV87</t>
  </si>
  <si>
    <t>2026-05-13 14:15:00</t>
  </si>
  <si>
    <t>SSHY23</t>
  </si>
  <si>
    <t>2026-05-13 14:39:21</t>
  </si>
  <si>
    <t>PLTL45</t>
  </si>
  <si>
    <t>2026-05-14 05:02:54</t>
  </si>
  <si>
    <t>VLCJ71</t>
  </si>
  <si>
    <t>2026-05-14 05:35:04</t>
  </si>
  <si>
    <t>SKTZ42</t>
  </si>
  <si>
    <t>2026-05-14 05:49:24</t>
  </si>
  <si>
    <t>SYPY55</t>
  </si>
  <si>
    <t>2026-05-14 06:41:39</t>
  </si>
  <si>
    <t>SVXG58</t>
  </si>
  <si>
    <t>2026-05-14 06:56:54</t>
  </si>
  <si>
    <t>VDHY85</t>
  </si>
  <si>
    <t>2026-05-14 07:35:33</t>
  </si>
  <si>
    <t>LLBX19</t>
  </si>
  <si>
    <t>2026-05-14 07:40:33</t>
  </si>
  <si>
    <t>PSKF28</t>
  </si>
  <si>
    <t>2026-05-14 07:47:56</t>
  </si>
  <si>
    <t>2026-05-14 07:48:20</t>
  </si>
  <si>
    <t>2026-05-14 07:52:41</t>
  </si>
  <si>
    <t>TXYZ68</t>
  </si>
  <si>
    <t>2026-05-14 08:01:15</t>
  </si>
  <si>
    <t>2026-05-14 08:13:14</t>
  </si>
  <si>
    <t>TRTB55</t>
  </si>
  <si>
    <t>2026-05-14 08:32:03</t>
  </si>
  <si>
    <t>VBWW76</t>
  </si>
  <si>
    <t>2026-05-14 08:34:54</t>
  </si>
  <si>
    <t>LRBD85</t>
  </si>
  <si>
    <t>2026-05-14 09:29:51</t>
  </si>
  <si>
    <t>SLZZ16</t>
  </si>
  <si>
    <t>2026-05-14 11:51:14</t>
  </si>
  <si>
    <t>TDYF39</t>
  </si>
  <si>
    <t>2026-05-14 12:04:58</t>
  </si>
  <si>
    <t>LPLP56</t>
  </si>
  <si>
    <t>2026-05-14 12:06:40</t>
  </si>
  <si>
    <t>VDBR95</t>
  </si>
  <si>
    <t>2026-05-14 12:18:57</t>
  </si>
  <si>
    <t>SYDK62</t>
  </si>
  <si>
    <t>2026-05-14 13:03:45</t>
  </si>
  <si>
    <t>2026-05-14 13:26:59</t>
  </si>
  <si>
    <t>KLYP89</t>
  </si>
  <si>
    <t>2026-05-14 13:42:23</t>
  </si>
  <si>
    <t>DZPD47</t>
  </si>
  <si>
    <t>2026-05-14 13:49:18</t>
  </si>
  <si>
    <t>VJTT35</t>
  </si>
  <si>
    <t>2026-05-15 06:28:14</t>
  </si>
  <si>
    <t>TFGS53</t>
  </si>
  <si>
    <t>2026-05-15 06:35:55</t>
  </si>
  <si>
    <t>NEW VX</t>
  </si>
  <si>
    <t>2026-05-15 06:43:14</t>
  </si>
  <si>
    <t>2026-05-15 07:26:00</t>
  </si>
  <si>
    <t>2026-05-15 08:24:53</t>
  </si>
  <si>
    <t>2026-05-15 08:29:09</t>
  </si>
  <si>
    <t>THHK91</t>
  </si>
  <si>
    <t>2026-05-15 08:33:07</t>
  </si>
  <si>
    <t>2026-05-15 08:36:14</t>
  </si>
  <si>
    <t>2026-05-15 08:52:30</t>
  </si>
  <si>
    <t>SCDS53</t>
  </si>
  <si>
    <t>2026-05-15 09:00:14</t>
  </si>
  <si>
    <t>VFPT16</t>
  </si>
  <si>
    <t>2026-05-15 09:07:54</t>
  </si>
  <si>
    <t>2026-05-15 09:18:39</t>
  </si>
  <si>
    <t>PKWS24</t>
  </si>
  <si>
    <t>2026-05-15 09:26:58</t>
  </si>
  <si>
    <t>SBLF81</t>
  </si>
  <si>
    <t>2026-05-15 09:35:32</t>
  </si>
  <si>
    <t>TBDG84</t>
  </si>
  <si>
    <t>2026-05-15 09:40:25</t>
  </si>
  <si>
    <t>TPJG19</t>
  </si>
  <si>
    <t>2026-05-15 11:17:42</t>
  </si>
  <si>
    <t>SZTD50</t>
  </si>
  <si>
    <t>2026-05-15 11:39:59</t>
  </si>
  <si>
    <t>TCYK70</t>
  </si>
  <si>
    <t>2026-05-15 13:14:43</t>
  </si>
  <si>
    <t>PHFW81</t>
  </si>
  <si>
    <t>2026-05-15 13:29:38</t>
  </si>
  <si>
    <t>LSYB49</t>
  </si>
  <si>
    <t>2026-05-15 13:41:21</t>
  </si>
  <si>
    <t>2026-05-15 13:45:54</t>
  </si>
  <si>
    <t>SFLW41</t>
  </si>
  <si>
    <t>2026-05-16 07:22:47</t>
  </si>
  <si>
    <t>VKYD82</t>
  </si>
  <si>
    <t>2026-05-16 07:33:28</t>
  </si>
  <si>
    <t>PHKJ17</t>
  </si>
  <si>
    <t>2026-05-16 07:59:09</t>
  </si>
  <si>
    <t>SXBS75</t>
  </si>
  <si>
    <t>2026-05-16 08:21:03</t>
  </si>
  <si>
    <t>JPPB91</t>
  </si>
  <si>
    <t>2026-05-18 05:56:01</t>
  </si>
  <si>
    <t>2026-05-18 06:06:53</t>
  </si>
  <si>
    <t>TDYP13</t>
  </si>
  <si>
    <t>2026-05-18 06:13:23</t>
  </si>
  <si>
    <t>2026-05-18 06:17:57</t>
  </si>
  <si>
    <t>RLSH65</t>
  </si>
  <si>
    <t>2026-05-18 06:23:21</t>
  </si>
  <si>
    <t>VBWV60</t>
  </si>
  <si>
    <t>2026-05-18 06:36:17</t>
  </si>
  <si>
    <t>JPZG48</t>
  </si>
  <si>
    <t>2026-05-18 07:02:52</t>
  </si>
  <si>
    <t>2026-05-18 07:59:21</t>
  </si>
  <si>
    <t>TJLF72</t>
  </si>
  <si>
    <t>2026-05-18 09:07:53</t>
  </si>
  <si>
    <t>EMZOOM</t>
  </si>
  <si>
    <t>TSSB81</t>
  </si>
  <si>
    <t>2026-05-18 12:10:20</t>
  </si>
  <si>
    <t>RZVY75</t>
  </si>
  <si>
    <t>2026-05-18 12:25:02</t>
  </si>
  <si>
    <t>SDGC13</t>
  </si>
  <si>
    <t>2026-05-18 12:33:17</t>
  </si>
  <si>
    <t>2026-05-18 13:10:14</t>
  </si>
  <si>
    <t>MX-5</t>
  </si>
  <si>
    <t>VDTZ58</t>
  </si>
  <si>
    <t>2026-05-18 13:15:11</t>
  </si>
  <si>
    <t>SHZP17</t>
  </si>
  <si>
    <t>2026-05-18 13:17:24</t>
  </si>
  <si>
    <t>TDYH11</t>
  </si>
  <si>
    <t>2026-05-18 13:28:49</t>
  </si>
  <si>
    <t>SYCV43</t>
  </si>
  <si>
    <t>2026-05-18 13:41:18</t>
  </si>
  <si>
    <t>VVGW95</t>
  </si>
  <si>
    <t>2026-05-18 14:02:36</t>
  </si>
  <si>
    <t>SLZD31</t>
  </si>
  <si>
    <t>2026-05-18 14:04:11</t>
  </si>
  <si>
    <t>PTLW17</t>
  </si>
  <si>
    <t>2026-05-18 14:10:32</t>
  </si>
  <si>
    <t>LCWC57</t>
  </si>
  <si>
    <t>2026-05-18 14:41:39</t>
  </si>
  <si>
    <t>RVKV95</t>
  </si>
  <si>
    <t>2026-05-18 14:58:25</t>
  </si>
  <si>
    <t>2026-05-19 06:45:48</t>
  </si>
  <si>
    <t>KGLS42</t>
  </si>
  <si>
    <t>2026-05-19 06:49:07</t>
  </si>
  <si>
    <t>KBBT89</t>
  </si>
  <si>
    <t>2026-05-19 08:39:50</t>
  </si>
  <si>
    <t>STHL73</t>
  </si>
  <si>
    <t>2026-05-19 08:48:05</t>
  </si>
  <si>
    <t>RYLP35</t>
  </si>
  <si>
    <t>2026-05-19 08:53:18</t>
  </si>
  <si>
    <t>PLCF76</t>
  </si>
  <si>
    <t>2026-05-19 09:12:47</t>
  </si>
  <si>
    <t>TGVF65</t>
  </si>
  <si>
    <t>2026-05-19 11:32:33</t>
  </si>
  <si>
    <t>NUEVO NIVUS</t>
  </si>
  <si>
    <t>VBBB16</t>
  </si>
  <si>
    <t>2026-05-19 11:37:49</t>
  </si>
  <si>
    <t>PTSJ53</t>
  </si>
  <si>
    <t>2026-05-19 11:45:31</t>
  </si>
  <si>
    <t>2026-05-19 13:50:05</t>
  </si>
  <si>
    <t>VFSD46</t>
  </si>
  <si>
    <t>2026-05-19 14:38:56</t>
  </si>
  <si>
    <t>RVYK95</t>
  </si>
  <si>
    <t>2026-05-19 14:46:50</t>
  </si>
  <si>
    <t>SBWL96</t>
  </si>
  <si>
    <t>2026-05-20 07:17:01</t>
  </si>
  <si>
    <t>JZFZ79</t>
  </si>
  <si>
    <t>2026-05-20 07:25:18</t>
  </si>
  <si>
    <t>RWYC98</t>
  </si>
  <si>
    <t>2026-05-20 07:36:50</t>
  </si>
  <si>
    <t>SZLZ13</t>
  </si>
  <si>
    <t>2026-05-20 07:37:39</t>
  </si>
  <si>
    <t>2026-05-20 07:45:07</t>
  </si>
  <si>
    <t>VJTV56</t>
  </si>
  <si>
    <t>2026-05-20 07:53:21</t>
  </si>
  <si>
    <t>LLBS41</t>
  </si>
  <si>
    <t>2026-05-20 08:03:22</t>
  </si>
  <si>
    <t>RYDV37</t>
  </si>
  <si>
    <t>2026-05-20 08:08:25</t>
  </si>
  <si>
    <t>RSCZ14</t>
  </si>
  <si>
    <t>2026-05-20 08:37:10</t>
  </si>
  <si>
    <t>JSWS83</t>
  </si>
  <si>
    <t>2026-05-20 08:41:15</t>
  </si>
  <si>
    <t>2026-05-20 08:44:49</t>
  </si>
  <si>
    <t>2026-05-20 08:59:23</t>
  </si>
  <si>
    <t>2026-05-20 09:24:21</t>
  </si>
  <si>
    <t>NEW LX</t>
  </si>
  <si>
    <t>2026-05-20 09:28:07</t>
  </si>
  <si>
    <t>RBHD70</t>
  </si>
  <si>
    <t>2026-05-20 09:32:30</t>
  </si>
  <si>
    <t>L200 NEW</t>
  </si>
  <si>
    <t>2026-05-20 09:41:28</t>
  </si>
  <si>
    <t>2026-05-20 09:45:18</t>
  </si>
  <si>
    <t>2026-05-20 09:49:41</t>
  </si>
  <si>
    <t>LRWB26</t>
  </si>
  <si>
    <t>2026-05-20 12:54:55</t>
  </si>
  <si>
    <t>RFKV43</t>
  </si>
  <si>
    <t>2026-05-20 13:20:35</t>
  </si>
  <si>
    <t>RRKW12</t>
  </si>
  <si>
    <t>2026-05-20 14:06:06</t>
  </si>
  <si>
    <t>PZRK43</t>
  </si>
  <si>
    <t>2026-05-20 14:16:35</t>
  </si>
  <si>
    <t>2026-05-20 14:21:31</t>
  </si>
  <si>
    <t>RSSY77</t>
  </si>
  <si>
    <t>2026-05-20 14:24:54</t>
  </si>
  <si>
    <t>2026-05-20 14:26:21</t>
  </si>
  <si>
    <t>2026-05-20 14:29:07</t>
  </si>
  <si>
    <t>SFLY81</t>
  </si>
  <si>
    <t>2026-05-20 14:29:38</t>
  </si>
  <si>
    <t>2026-05-20 14:32:34</t>
  </si>
  <si>
    <t>2026-05-20 14:43:41</t>
  </si>
  <si>
    <t>2026-05-20 14:43:42</t>
  </si>
  <si>
    <t>2026-05-20 14:44:27</t>
  </si>
  <si>
    <t>2026-05-20 14:50:43</t>
  </si>
  <si>
    <t>2026-05-20 14:56:20</t>
  </si>
  <si>
    <t>2026-05-20 14:56:43</t>
  </si>
  <si>
    <t>2026-05-20 14:57:04</t>
  </si>
  <si>
    <t>2026-05-20 14:57:44</t>
  </si>
  <si>
    <t>2026-05-20 14:58:06</t>
  </si>
  <si>
    <t>2026-05-20 14:58:28</t>
  </si>
  <si>
    <t>2026-05-20 14:58:52</t>
  </si>
  <si>
    <t>2026-05-20 14:59:15</t>
  </si>
  <si>
    <t>2026-05-20 14:59:39</t>
  </si>
  <si>
    <t>2026-05-20 15:00:05</t>
  </si>
  <si>
    <t>2026-05-20 15:00:24</t>
  </si>
  <si>
    <t>2026-05-20 15:00:42</t>
  </si>
  <si>
    <t>2026-05-20 15:01:00</t>
  </si>
  <si>
    <t>2026-05-20 15:01:18</t>
  </si>
  <si>
    <t>2026-05-20 15:01:48</t>
  </si>
  <si>
    <t>2026-05-20 15:02:06</t>
  </si>
  <si>
    <t>2026-05-20 15:02:27</t>
  </si>
  <si>
    <t>2026-05-20 15:02:51</t>
  </si>
  <si>
    <t>2026-05-20 15:03:15</t>
  </si>
  <si>
    <t>2026-05-20 15:03:39</t>
  </si>
  <si>
    <t>2026-05-20 15:04:03</t>
  </si>
  <si>
    <t>2026-05-20 15:04:22</t>
  </si>
  <si>
    <t>2026-05-20 15:05:11</t>
  </si>
  <si>
    <t>2026-05-21 16:58:13</t>
  </si>
  <si>
    <t>2026-05-21 16:58:35</t>
  </si>
  <si>
    <t>2026-05-21 16:58:48</t>
  </si>
  <si>
    <t>2026-05-21 16:59:01</t>
  </si>
  <si>
    <t>2026-05-21 16:59:19</t>
  </si>
  <si>
    <t>2026-05-21 17:00:18</t>
  </si>
  <si>
    <t>2026-05-21 17:00:37</t>
  </si>
  <si>
    <t>2026-05-21 17:00:57</t>
  </si>
  <si>
    <t>2026-05-21 17:01:16</t>
  </si>
  <si>
    <t>2026-05-21 17:01:34</t>
  </si>
  <si>
    <t>2026-05-21 17:01:52</t>
  </si>
  <si>
    <t>2026-05-21 17:02:12</t>
  </si>
  <si>
    <t>2026-05-21 17:02:47</t>
  </si>
  <si>
    <t>2026-05-21 17:03:06</t>
  </si>
  <si>
    <t>2026-05-21 17:03:56</t>
  </si>
  <si>
    <t>2026-05-21 17:04:19</t>
  </si>
  <si>
    <t>2026-05-21 17:06:16</t>
  </si>
  <si>
    <t>2026-05-21 17:07:22</t>
  </si>
  <si>
    <t>2026-05-21 17:11:16</t>
  </si>
  <si>
    <t>2026-05-21 17:12:16</t>
  </si>
  <si>
    <t>2026-05-21 17:13:16</t>
  </si>
  <si>
    <t>2026-05-21 17:13:54</t>
  </si>
  <si>
    <t>2026-05-21 17:14:12</t>
  </si>
  <si>
    <t>2026-05-21 17:14:45</t>
  </si>
  <si>
    <t>2026-05-21 17:16:06</t>
  </si>
  <si>
    <t>2026-05-21 17:16:26</t>
  </si>
  <si>
    <t>2026-05-21 17:16:59</t>
  </si>
  <si>
    <t>2026-05-21 17:17:23</t>
  </si>
  <si>
    <t>2026-05-21 17:17:40</t>
  </si>
  <si>
    <t>2026-05-21 17:17:58</t>
  </si>
  <si>
    <t>2026-05-21 17:18:17</t>
  </si>
  <si>
    <t>2026-05-21 17:18:40</t>
  </si>
  <si>
    <t>2026-05-21 17:18:58</t>
  </si>
  <si>
    <t>2026-05-21 17:19:18</t>
  </si>
  <si>
    <t>2026-05-21 17:19:38</t>
  </si>
  <si>
    <t>2026-05-21 17:19:56</t>
  </si>
  <si>
    <t>2026-05-21 17:20:14</t>
  </si>
  <si>
    <t>COMBO</t>
  </si>
  <si>
    <t>2026-05-21 17:20:32</t>
  </si>
  <si>
    <t>2026-05-21 17:20:56</t>
  </si>
  <si>
    <t>2026-05-21 17:21:14</t>
  </si>
  <si>
    <t>2026-05-21 17:21:32</t>
  </si>
  <si>
    <t>2026-05-21 17:21:51</t>
  </si>
  <si>
    <t>2026-05-21 17:22:25</t>
  </si>
  <si>
    <t>2026-05-21 17:22:44</t>
  </si>
  <si>
    <t>2026-05-21 17:23:15</t>
  </si>
  <si>
    <t>2026-05-21 17:24:21</t>
  </si>
  <si>
    <t>2026-05-21 17:26:16</t>
  </si>
  <si>
    <t>2026-05-21 17:29:16</t>
  </si>
  <si>
    <t>2026-05-21 17:35:16</t>
  </si>
  <si>
    <t>2026-05-21 17:37:16</t>
  </si>
  <si>
    <t>2026-05-21 17:38:16</t>
  </si>
  <si>
    <t>2026-05-21 17:39:15</t>
  </si>
  <si>
    <t>2026-05-21 17:40:15</t>
  </si>
  <si>
    <t>2026-05-21 17:41:16</t>
  </si>
  <si>
    <t>2026-05-21 17:42:16</t>
  </si>
  <si>
    <t>2026-05-21 17:43:16</t>
  </si>
  <si>
    <t>2026-05-21 17:44:15</t>
  </si>
  <si>
    <t>2026-05-21 17:46:23</t>
  </si>
  <si>
    <t>2026-05-21 17:48:16</t>
  </si>
  <si>
    <t>2026-05-21 17:50:15</t>
  </si>
  <si>
    <t>2026-05-21 17:52:18</t>
  </si>
  <si>
    <t>2026-05-21 17:54:20</t>
  </si>
  <si>
    <t>2026-05-21 17:56:15</t>
  </si>
  <si>
    <t>2026-05-21 17:58:16</t>
  </si>
  <si>
    <t>2026-05-21 18:00:21</t>
  </si>
  <si>
    <t>2026-05-21 18:02:15</t>
  </si>
  <si>
    <t>2026-05-21 18:05:20</t>
  </si>
  <si>
    <t>2026-05-21 18:07:16</t>
  </si>
  <si>
    <t>2026-05-21 18:12:16</t>
  </si>
  <si>
    <t>2026-05-21 18:13:15</t>
  </si>
  <si>
    <t>2026-05-21 18:15:16</t>
  </si>
  <si>
    <t>2026-05-21 18:16:16</t>
  </si>
  <si>
    <t>2026-05-21 18:17:15</t>
  </si>
  <si>
    <t>2026-05-21 18:18:15</t>
  </si>
  <si>
    <t>2026-05-21 18:19:15</t>
  </si>
  <si>
    <t>2026-05-21 18:20:15</t>
  </si>
  <si>
    <t>2026-05-21 18:23:16</t>
  </si>
  <si>
    <t>CAPTIVA 5</t>
  </si>
  <si>
    <t>2026-05-21 18:24:16</t>
  </si>
  <si>
    <t>2026-05-21 18:25:16</t>
  </si>
  <si>
    <t>2026-05-21 18:26:15</t>
  </si>
  <si>
    <t>2026-05-21 18:27:15</t>
  </si>
  <si>
    <t>2026-05-21 18:28:16</t>
  </si>
  <si>
    <t>2026-05-22 06:10:27</t>
  </si>
  <si>
    <t>SCGS32</t>
  </si>
  <si>
    <t>2026-05-22 07:01:34</t>
  </si>
  <si>
    <t>KWTH19</t>
  </si>
  <si>
    <t>2026-05-22 08:04:31</t>
  </si>
  <si>
    <t>VBBD43</t>
  </si>
  <si>
    <t>2026-05-22 08:45:36</t>
  </si>
  <si>
    <t>SGTD48</t>
  </si>
  <si>
    <t>2026-05-22 09:13:24</t>
  </si>
  <si>
    <t>2026-05-22 09:14:47</t>
  </si>
  <si>
    <t>TCTW89</t>
  </si>
  <si>
    <t>2026-05-22 09:40:52</t>
  </si>
  <si>
    <t>TBZK86</t>
  </si>
  <si>
    <t>2026-05-22 09:46:19</t>
  </si>
  <si>
    <t>NEW 2500</t>
  </si>
  <si>
    <t>TTXC44</t>
  </si>
  <si>
    <t>2026-05-22 09:50:00</t>
  </si>
  <si>
    <t>2026-05-22 11:41:00</t>
  </si>
  <si>
    <t>LGBF80</t>
  </si>
  <si>
    <t>2026-05-22 11:54:55</t>
  </si>
  <si>
    <t>2026-05-22 11:58:39</t>
  </si>
  <si>
    <t>2026-05-22 12:22:21</t>
  </si>
  <si>
    <t>SDPF99</t>
  </si>
  <si>
    <t>2026-05-22 12:25:24</t>
  </si>
  <si>
    <t>2026-05-22 12:33:55</t>
  </si>
  <si>
    <t>THXR71</t>
  </si>
  <si>
    <t>2026-05-22 12:45:44</t>
  </si>
  <si>
    <t>TLRT55</t>
  </si>
  <si>
    <t>2026-05-22 13:30:13</t>
  </si>
  <si>
    <t>KVWJ61</t>
  </si>
  <si>
    <t>2026-05-23 08:00:05</t>
  </si>
  <si>
    <t>RDLK34</t>
  </si>
  <si>
    <t>2026-05-23 08:06:46</t>
  </si>
  <si>
    <t>ONIX SEDÁN</t>
  </si>
  <si>
    <t>PLCF87</t>
  </si>
  <si>
    <t>2026-05-25 04:45:30</t>
  </si>
  <si>
    <t>TYWR67</t>
  </si>
  <si>
    <t>2026-05-25 05:15:54</t>
  </si>
  <si>
    <t>DELIVER9</t>
  </si>
  <si>
    <t>THHH46</t>
  </si>
  <si>
    <t>2026-05-25 05:42:21</t>
  </si>
  <si>
    <t>SWTL63</t>
  </si>
  <si>
    <t>2026-05-25 06:20:18</t>
  </si>
  <si>
    <t>SSSC51</t>
  </si>
  <si>
    <t>2026-05-25 07:32:02</t>
  </si>
  <si>
    <t>TSSF32</t>
  </si>
  <si>
    <t>2026-05-25 08:33:00</t>
  </si>
  <si>
    <t>KHPH71</t>
  </si>
  <si>
    <t>2026-05-25 09:35:09</t>
  </si>
  <si>
    <t>T90</t>
  </si>
  <si>
    <t>THHH45</t>
  </si>
  <si>
    <t>2026-05-25 10:27:28</t>
  </si>
  <si>
    <t>SYDL45</t>
  </si>
  <si>
    <t>2026-05-25 10:50:43</t>
  </si>
  <si>
    <t>JLFH99</t>
  </si>
  <si>
    <t>2026-05-25 10:56:39</t>
  </si>
  <si>
    <t>RXCG78</t>
  </si>
  <si>
    <t>2026-05-25 11:14:58</t>
  </si>
  <si>
    <t>SWTP86</t>
  </si>
  <si>
    <t>2026-05-25 12:58:19</t>
  </si>
  <si>
    <t>FSJS32</t>
  </si>
  <si>
    <t>2026-05-25 13:00:40</t>
  </si>
  <si>
    <t>JKFC52</t>
  </si>
  <si>
    <t>2026-05-25 13:31:29</t>
  </si>
  <si>
    <t>VLJG46</t>
  </si>
  <si>
    <t>2026-05-25 13:57:29</t>
  </si>
  <si>
    <t>RPSY76</t>
  </si>
  <si>
    <t>2026-05-25 14:26:24</t>
  </si>
  <si>
    <t>SSSC14</t>
  </si>
  <si>
    <t>2026-05-26 05:32:47</t>
  </si>
  <si>
    <t>2026-05-26 05:43:11</t>
  </si>
  <si>
    <t>SYXS98</t>
  </si>
  <si>
    <t>2026-05-26 06:09:41</t>
  </si>
  <si>
    <t>LHRX53</t>
  </si>
  <si>
    <t>2026-05-26 06:19:45</t>
  </si>
  <si>
    <t>BLAZER</t>
  </si>
  <si>
    <t>PZZX68</t>
  </si>
  <si>
    <t>2026-05-26 07:23:03</t>
  </si>
  <si>
    <t>RGGG76</t>
  </si>
  <si>
    <t>2026-05-26 08:02:02</t>
  </si>
  <si>
    <t>118 I</t>
  </si>
  <si>
    <t>TSGC72</t>
  </si>
  <si>
    <t>2026-05-26 08:15:10</t>
  </si>
  <si>
    <t>2026-05-26 08:29:08</t>
  </si>
  <si>
    <t>PRBC65</t>
  </si>
  <si>
    <t>2026-05-26 08:37:42</t>
  </si>
  <si>
    <t>2026-05-26 09:33:01</t>
  </si>
  <si>
    <t>TJSS85</t>
  </si>
  <si>
    <t>2026-05-26 09:37:27</t>
  </si>
  <si>
    <t>TCSZ76</t>
  </si>
  <si>
    <t>2026-05-26 10:43:07</t>
  </si>
  <si>
    <t>KJSX19</t>
  </si>
  <si>
    <t>2026-05-26 11:33:17</t>
  </si>
  <si>
    <t>2026-05-26 12:38:58</t>
  </si>
  <si>
    <t>SWTL83</t>
  </si>
  <si>
    <t>2026-05-26 13:43:43</t>
  </si>
  <si>
    <t>RTWH37</t>
  </si>
  <si>
    <t>2026-05-26 14:05:29</t>
  </si>
  <si>
    <t>THRL52</t>
  </si>
  <si>
    <t>2026-05-27 05:50:13</t>
  </si>
  <si>
    <t>RJCW98</t>
  </si>
  <si>
    <t>2026-05-27 06:12:11</t>
  </si>
  <si>
    <t>2026-05-27 06:45:33</t>
  </si>
  <si>
    <t>XUV 300</t>
  </si>
  <si>
    <t>TJYL61</t>
  </si>
  <si>
    <t>2026-05-27 06:53:24</t>
  </si>
  <si>
    <t>VGBX60</t>
  </si>
  <si>
    <t>2026-05-27 08:52:45</t>
  </si>
  <si>
    <t>SFLZ40</t>
  </si>
  <si>
    <t>2026-05-27 09:07:01</t>
  </si>
  <si>
    <t>THHH77</t>
  </si>
  <si>
    <t>2026-05-27 09:07:55</t>
  </si>
  <si>
    <t>TKHT43</t>
  </si>
  <si>
    <t>2026-05-27 09:16:56</t>
  </si>
  <si>
    <t>SFLX95</t>
  </si>
  <si>
    <t>2026-05-27 09:24:45</t>
  </si>
  <si>
    <t>TPCS53</t>
  </si>
  <si>
    <t>2026-05-27 12:05:35</t>
  </si>
  <si>
    <t>SJJH29</t>
  </si>
  <si>
    <t>2026-05-27 12:08:47</t>
  </si>
  <si>
    <t>RPZK34</t>
  </si>
  <si>
    <t>2026-05-27 12:13:43</t>
  </si>
  <si>
    <t>TRBB66</t>
  </si>
  <si>
    <t>2026-05-27 12:25:37</t>
  </si>
  <si>
    <t>THXL56</t>
  </si>
  <si>
    <t>2026-05-27 12:30:18</t>
  </si>
  <si>
    <t>KZXY43</t>
  </si>
  <si>
    <t>2026-05-27 14:54:30</t>
  </si>
  <si>
    <t>SZTJ86</t>
  </si>
  <si>
    <t>2026-05-28 05:22:56</t>
  </si>
  <si>
    <t>LTDS72</t>
  </si>
  <si>
    <t>2026-05-28 05:28:38</t>
  </si>
  <si>
    <t>2026-05-28 06:32:01</t>
  </si>
  <si>
    <t>TJLD13</t>
  </si>
  <si>
    <t>2026-05-28 06:36:24</t>
  </si>
  <si>
    <t>KAZAK</t>
  </si>
  <si>
    <t>PYCV34</t>
  </si>
  <si>
    <t>2026-05-28 06:58:18</t>
  </si>
  <si>
    <t>2026-05-28 07:16:25</t>
  </si>
  <si>
    <t>V9</t>
  </si>
  <si>
    <t>VFHR52</t>
  </si>
  <si>
    <t>2026-05-28 09:04:39</t>
  </si>
  <si>
    <t>TKHR97</t>
  </si>
  <si>
    <t>2026-05-28 09:06:33</t>
  </si>
  <si>
    <t>SJJH61</t>
  </si>
  <si>
    <t>2026-05-28 09:46:00</t>
  </si>
  <si>
    <t>2026-05-28 10:02:55</t>
  </si>
  <si>
    <t>SSTS23</t>
  </si>
  <si>
    <t>2026-05-28 10:09:24</t>
  </si>
  <si>
    <t>KPKJ97</t>
  </si>
  <si>
    <t>2026-05-28 10:11:39</t>
  </si>
  <si>
    <t>2026-05-28 10:13:48</t>
  </si>
  <si>
    <t>SXHX52</t>
  </si>
  <si>
    <t>2026-05-28 10:18:08</t>
  </si>
  <si>
    <t>SLPR10</t>
  </si>
  <si>
    <t>2026-05-28 10:24:20</t>
  </si>
  <si>
    <t>SSTS46</t>
  </si>
  <si>
    <t>2026-05-28 11:30:45</t>
  </si>
  <si>
    <t>GLRJ47</t>
  </si>
  <si>
    <t>2026-05-28 11:41:18</t>
  </si>
  <si>
    <t>LJYL98</t>
  </si>
  <si>
    <t>2026-05-28 13:03:10</t>
  </si>
  <si>
    <t>RRXG65</t>
  </si>
  <si>
    <t>2026-05-28 13:31:54</t>
  </si>
  <si>
    <t>TRBK34</t>
  </si>
  <si>
    <t>2026-05-28 13:39:41</t>
  </si>
  <si>
    <t>TZRF25</t>
  </si>
  <si>
    <t>2026-05-28 13:47:43</t>
  </si>
  <si>
    <t>SPTB36</t>
  </si>
  <si>
    <t>2026-05-29 05:53:34</t>
  </si>
  <si>
    <t>KKSD91</t>
  </si>
  <si>
    <t>2026-05-29 06:44:02</t>
  </si>
  <si>
    <t>SDPF83</t>
  </si>
  <si>
    <t>2026-05-29 07:03:27</t>
  </si>
  <si>
    <t>STBS34</t>
  </si>
  <si>
    <t>2026-05-29 07:28:39</t>
  </si>
  <si>
    <t>TRWV54</t>
  </si>
  <si>
    <t>01-06-2026 18:21:00</t>
  </si>
  <si>
    <t>//+**+++///++*...</t>
  </si>
  <si>
    <t>TY8US</t>
  </si>
  <si>
    <t>TCYSTWU000356</t>
  </si>
  <si>
    <t>AE,CC,EE,ABS,LL,AC,AISO,AAUTO,CRE,MAV,ACD,SR,DLL,6</t>
  </si>
  <si>
    <t>SQRE4T15BAVMJ00643</t>
  </si>
  <si>
    <t>LVTDB21B8ND032457</t>
  </si>
  <si>
    <t>FÉLIX RODRIGO TIFFI ARAVENA</t>
  </si>
  <si>
    <t>01-06-2026 0:00:00</t>
  </si>
  <si>
    <t>01-06-2026 18:18:33</t>
  </si>
  <si>
    <t>30-05-2026 13:15:09</t>
  </si>
  <si>
    <t>LVPC52898 TCB00699</t>
  </si>
  <si>
    <t>600</t>
  </si>
  <si>
    <t>600 PHEV 4X2 1.5 AUT</t>
  </si>
  <si>
    <t>DF600PHEV4X215AT</t>
  </si>
  <si>
    <t>TDFSTWU000056</t>
  </si>
  <si>
    <t>F31A 125003402</t>
  </si>
  <si>
    <t>30-05-2026 0:00:00</t>
  </si>
  <si>
    <t>30-05-2026 13:12:38</t>
  </si>
  <si>
    <t>30-05-2026 11:28:44</t>
  </si>
  <si>
    <t>WF0AXXWPMHGY88472</t>
  </si>
  <si>
    <t>01--ESCAUT1</t>
  </si>
  <si>
    <t>TFOSTWU001411</t>
  </si>
  <si>
    <t>HGY88472</t>
  </si>
  <si>
    <t>SUSAN CARMEN GLORIA HENRY HENRY</t>
  </si>
  <si>
    <t>30-05-2026 11:28:08</t>
  </si>
  <si>
    <t>31-10-2027 0:00:00</t>
  </si>
  <si>
    <t>30-05-2026 11:49:56</t>
  </si>
  <si>
    <t>98867545CKKH86607</t>
  </si>
  <si>
    <t>CVN</t>
  </si>
  <si>
    <t>TJESTWU000441</t>
  </si>
  <si>
    <t>0255313</t>
  </si>
  <si>
    <t>LAURA CECILIA FLORES ROJAS</t>
  </si>
  <si>
    <t>30-05-2026 11:48:50</t>
  </si>
  <si>
    <t>31-08-2026 0:00:00</t>
  </si>
  <si>
    <t>01-06-2026 17:30:09</t>
  </si>
  <si>
    <t>MMBGJKR10NH010717</t>
  </si>
  <si>
    <t>KM7000</t>
  </si>
  <si>
    <t>TMISTWU000374</t>
  </si>
  <si>
    <t>BLANCO DIAMANTE</t>
  </si>
  <si>
    <t>4N15 UJD6131</t>
  </si>
  <si>
    <t>IBAR RODRIGO MANZANO REQUENA</t>
  </si>
  <si>
    <t>01-06-2026 17:29:47</t>
  </si>
  <si>
    <t>01-06-2026 17:51:47</t>
  </si>
  <si>
    <t>LS4ASJ2E2NA986230</t>
  </si>
  <si>
    <t>TCGSTWU000033</t>
  </si>
  <si>
    <t>AE,CC,EE,NB,ABS,LL,4AB,AC,AISO,AAUTO,CRE,MAV,ACD,S</t>
  </si>
  <si>
    <t>JL476ZQCCMCRB001989</t>
  </si>
  <si>
    <t>ISMAEL ENRIQUE OLIVARES RAMOS</t>
  </si>
  <si>
    <t>01-06-2026 17:36:46</t>
  </si>
  <si>
    <t>07-05-2026 12:06:20</t>
  </si>
  <si>
    <t>LVTDB11B9ND037466</t>
  </si>
  <si>
    <t>TIIII8</t>
  </si>
  <si>
    <t>TCYSTWU000353</t>
  </si>
  <si>
    <t>AZUL OSCURO</t>
  </si>
  <si>
    <t>AE,CC,EE,ABS,LL,4AB,AC,AISO,AAUTO,CRE,MAV,ACD,SR,U</t>
  </si>
  <si>
    <t>SQRE4T15BALML00187</t>
  </si>
  <si>
    <t>ANGEL ANTONIO YEPEZ RASSE</t>
  </si>
  <si>
    <t>07-05-2026 12:02:35</t>
  </si>
  <si>
    <t>30-05-2026 11:41:55</t>
  </si>
  <si>
    <t>LVVDB11B9ND032419</t>
  </si>
  <si>
    <t>TCYSTWU000355</t>
  </si>
  <si>
    <t>SQRE4G15BATMJ01319</t>
  </si>
  <si>
    <t>MARCELO ALEJANDRO CARVAJAL BUGUEÑO</t>
  </si>
  <si>
    <t>30-05-2026 11:41:07</t>
  </si>
  <si>
    <t>30-05-2026 11:24:30</t>
  </si>
  <si>
    <t>JN1KC4E26 P9020038</t>
  </si>
  <si>
    <t>NIUR01</t>
  </si>
  <si>
    <t>TNIFRGU000002</t>
  </si>
  <si>
    <t>AE,CC,EE,2AB,ABS,AC,AISO,AAUTO,CRE,ACD,DLL</t>
  </si>
  <si>
    <t>YD25113544B</t>
  </si>
  <si>
    <t>INVERSIONES SEYMAQ ATACAMA LIMITADA</t>
  </si>
  <si>
    <t>30-05-2026 11:24:09</t>
  </si>
  <si>
    <t>31-08-2027 0:00:00</t>
  </si>
  <si>
    <t>30-05-2026 11:34:31</t>
  </si>
  <si>
    <t>LVVDB21B6 PE015130</t>
  </si>
  <si>
    <t>T2GC</t>
  </si>
  <si>
    <t>TCYSTWU000354</t>
  </si>
  <si>
    <t>AE,CC,EE,2AB,ABS,LL,AC,AISO,AAUTO,CRE,MAV,ACD,SR,U</t>
  </si>
  <si>
    <t>SQRD4G15BWNH60485</t>
  </si>
  <si>
    <t>YANETH DUBERLYZ BRAVO SIMANCA</t>
  </si>
  <si>
    <t>30-05-2026 11:34:06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</si>
</sst>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dd\-mm\-yyyy\ h:mm:ss"/>
    <numFmt numFmtId="165" formatCode="yyyy\-mm\-dd\ h:mm:ss"/>
    <numFmt numFmtId="166" formatCode="d\-m\-yyyy\ h:mm:ss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 wrapText="1"/>
    </xf>
    <xf numFmtId="3" fontId="4" fillId="2" borderId="0" xfId="0" applyNumberFormat="1" applyFont="1" applyFill="1" applyAlignment="1">
      <alignment horizontal="center" wrapText="1"/>
    </xf>
    <xf numFmtId="3" fontId="5" fillId="2" borderId="0" xfId="0" applyNumberFormat="1" applyFont="1" applyFill="1" applyAlignment="1">
      <alignment horizont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/>
    <xf numFmtId="3" fontId="6" fillId="2" borderId="0" xfId="0" applyNumberFormat="1" applyFont="1" applyFill="1"/>
    <xf numFmtId="3" fontId="1" fillId="2" borderId="0" xfId="0" applyNumberFormat="1" applyFont="1" applyFill="1"/>
    <xf numFmtId="3" fontId="2" fillId="2" borderId="0" xfId="0" applyNumberFormat="1" applyFont="1" applyFill="1"/>
    <xf numFmtId="0" fontId="2" fillId="2" borderId="0" xfId="0" applyFont="1" applyFill="1"/>
    <xf numFmtId="3" fontId="1" fillId="3" borderId="0" xfId="0" applyNumberFormat="1" applyFont="1" applyFill="1"/>
    <xf numFmtId="0" fontId="2" fillId="4" borderId="0" xfId="0" applyFont="1" applyFill="1"/>
    <xf numFmtId="3" fontId="1" fillId="4" borderId="0" xfId="0" applyNumberFormat="1" applyFont="1" applyFill="1"/>
    <xf numFmtId="42" fontId="1" fillId="0" borderId="0" xfId="0" applyNumberFormat="1" applyFont="1"/>
    <xf numFmtId="0" fontId="6" fillId="0" borderId="0" xfId="0" applyFont="1"/>
    <xf numFmtId="3" fontId="6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uario" refreshedDate="46175.562633912035" refreshedVersion="8" recordCount="997" xr:uid="{00000000-000A-0000-FFFF-FFFF00000000}">
  <cacheSource type="worksheet">
    <worksheetSource ref="A1:AU998" sheet="BBDD"/>
  </cacheSource>
  <cacheFields count="47">
    <cacheField name="Empresa" numFmtId="0">
      <sharedItems containsBlank="1"/>
    </cacheField>
    <cacheField name="Sucursal" numFmtId="0">
      <sharedItems containsBlank="1"/>
    </cacheField>
    <cacheField name="Folio Venta" numFmtId="0">
      <sharedItems containsString="0" containsBlank="1" containsNumber="1" containsInteger="1" minValue="0" maxValue="0"/>
    </cacheField>
    <cacheField name="Venta" numFmtId="0">
      <sharedItems containsString="0" containsBlank="1" containsNumber="1" containsInteger="1" minValue="0" maxValue="0"/>
    </cacheField>
    <cacheField name="Estado Venta" numFmtId="0">
      <sharedItems containsBlank="1"/>
    </cacheField>
    <cacheField name="Fecha Venta" numFmtId="0">
      <sharedItems containsBlank="1"/>
    </cacheField>
    <cacheField name="Tipo Documento (Folio)" numFmtId="0">
      <sharedItems containsBlank="1"/>
    </cacheField>
    <cacheField name="Vendedor" numFmtId="0">
      <sharedItems containsBlank="1"/>
    </cacheField>
    <cacheField name="Fecha Ingreso" numFmtId="0">
      <sharedItems containsBlank="1"/>
    </cacheField>
    <cacheField name="Fecha Facturación" numFmtId="0">
      <sharedItems containsBlank="1"/>
    </cacheField>
    <cacheField name="Numero VIN" numFmtId="0">
      <sharedItems containsBlank="1"/>
    </cacheField>
    <cacheField name="Marca" numFmtId="0">
      <sharedItems containsBlank="1" count="33">
        <s v="PEUGEOT"/>
        <s v="DFSK"/>
        <s v="HAVAL"/>
        <s v="FORD"/>
        <s v="HYUNDAI"/>
        <s v="CHERY"/>
        <s v="JAC"/>
        <s v="RAM"/>
        <s v="JEEP"/>
        <s v="KIA MOTORS"/>
        <s v="MITSUBISHI"/>
        <s v="VOLKSWAGEN"/>
        <s v="CHEVROLET"/>
        <s v="RENAULT"/>
        <s v="JAECOO"/>
        <s v="BYD"/>
        <s v="SUZUKI"/>
        <s v="CHANGAN"/>
        <s v="NISSAN"/>
        <s v="SSANGYONG"/>
        <s v="EXEED BORN FOR MORE"/>
        <s v="GREAT WALL"/>
        <s v="MAZDA"/>
        <s v="OMODA"/>
        <s v="CITROEN"/>
        <s v="MAHINDRA"/>
        <s v="SUBARU"/>
        <s v="MG"/>
        <s v="ZX AUTO"/>
        <m/>
        <s v="BAIC" u="1"/>
        <s v="GAC" u="1"/>
        <s v="TOYOTA" u="1"/>
      </sharedItems>
    </cacheField>
    <cacheField name="Modelo" numFmtId="0">
      <sharedItems containsBlank="1" containsMixedTypes="1" containsNumber="1" containsInteger="1" minValue="7" maxValue="5008" count="88">
        <s v="5008"/>
        <s v="DFSK"/>
        <s v="H2"/>
        <s v="TERRITORY"/>
        <s v="STARIA"/>
        <s v="TIGGO 8"/>
        <s v="T8"/>
        <s v="MAVERICK"/>
        <s v="560"/>
        <s v="HYUNDAI"/>
        <s v="RAM 1500"/>
        <s v="600"/>
        <s v="ESCAPE"/>
        <s v="COMPASS"/>
        <s v="NIRO"/>
        <s v="MONTERO"/>
        <s v="SAVEIRO"/>
        <s v="SPIN"/>
        <s v="OUTLANDER"/>
        <s v="RANGER"/>
        <s v="EXPLORER"/>
        <s v="3008"/>
        <s v="RENAULT"/>
        <s v="7"/>
        <s v="SONG PLUS DM-i"/>
        <s v="EDGE"/>
        <s v="SORENTO"/>
        <s v="SHARK DMO"/>
        <s v="F-150"/>
        <s v="TIGGO 3"/>
        <s v="MORNING"/>
        <s v="EXPEDITION"/>
        <s v="SILVERADO"/>
        <s v="GRAND NOMADE"/>
        <s v="CHANGAN"/>
        <s v="JS4"/>
        <s v="QASHQAI"/>
        <s v="TORRES"/>
        <s v="SPORTAGE"/>
        <s v="KORANDO"/>
        <s v="JOLION"/>
        <s v="FRONTIER"/>
        <s v="TIGGO 3 PRO"/>
        <s v="LX"/>
        <s v="BALENO"/>
        <s v="REXTON"/>
        <s v="TAHOE"/>
        <s v="LANDTREK"/>
        <s v="XTRAIL"/>
        <s v="2008"/>
        <s v="POER"/>
        <s v="JUKE"/>
        <s v="CX-30"/>
        <s v="C5"/>
        <s v="SENTRA"/>
        <s v="500"/>
        <s v="C3"/>
        <s v="RIO"/>
        <s v="TRACKER"/>
        <s v="MAHINDRA"/>
        <s v="BRONCO"/>
        <s v="ARRIZO 3"/>
        <s v="FORESTER"/>
        <s v="AMAROK"/>
        <s v="RAMPAGE"/>
        <s v="MGZX"/>
        <s v="URVAN"/>
        <s v="PARTNER"/>
        <s v="C-ELYSEE"/>
        <s v="H6"/>
        <s v="TERRALORD"/>
        <s v="NIVUS"/>
        <s v="GRAND CHEROKEE"/>
        <s v="VERSA"/>
        <s v="PATHFINDER"/>
        <s v="CAPTIVA"/>
        <s v="PICK UP D1"/>
        <s v="TIGGO 7 PRO"/>
        <s v="CX-60"/>
        <s v="TIGGO 2"/>
        <s v="VX"/>
        <m/>
        <n v="580" u="1"/>
        <n v="3008" u="1"/>
        <n v="5008" u="1"/>
        <n v="7" u="1"/>
        <n v="2008" u="1"/>
        <n v="560" u="1"/>
      </sharedItems>
    </cacheField>
    <cacheField name="Versión" numFmtId="0">
      <sharedItems containsBlank="1" count="136">
        <s v="5008 BLUEHDI 130 1.5 AUT"/>
        <s v="5008 PURETECH 180 EAT8 1.6 AUT"/>
        <s v="CARGO BOX XL 1.3"/>
        <s v="H2 ELITE 1.5"/>
        <s v="TERRITORY 1.5 AUT"/>
        <s v="US4 CRDI 6MT 2.2"/>
        <s v="TIGGO 8 1.5 AUT"/>
        <s v="T8 PRO TM 4X4 2.0"/>
        <s v="MAVERICK XLT 2.0 AUT"/>
        <s v="SUV 560 OTTO 1.8"/>
        <s v="SANTA FE MX5 GDI 2.5 AUT"/>
        <s v="1500 CREW CAB SPORT DCAB 4X4 3.6 AT"/>
        <s v="600 PHEV 4X2 1.5 AUT"/>
        <s v="ESCAPE 4X4 2.0 AUT"/>
        <s v="ALL NEW COMPASS SPORT LX 2.4"/>
        <s v="NIRO HEV DCT GDI 1.6 AUT"/>
        <s v="MONTERO SPORT 2.4"/>
        <s v="SAVEIRO CD 4X2 1.6"/>
        <s v="SPIN 1.8"/>
        <s v="OUTLANDER GLS 4X4 2.5 AT"/>
        <s v="RANGER XLT 4X4 2.0"/>
        <s v="EXPLORER LTD 4X4 2.3 AUT"/>
        <s v="3008 PURETECH 1.2L"/>
        <s v="DUSTER ZEN 1.6"/>
        <s v="ESCAPE FHEV 2.5 AUT"/>
        <s v="RAMPAGE DS LARAMIE 4X4 2.0 AUT"/>
        <s v="7 DCT FWD 1.6 AUT"/>
        <s v="SONG PLUS 4X2 1.5 AUT"/>
        <s v="3008 ALLURE 1.6 AT"/>
        <s v="EDGE SEL 4X4 2.0 AUT"/>
        <s v="SORENTO 8DCT 4WD 2.2 AUT"/>
        <s v="SHARK 1.5 AUT"/>
        <s v="ACCENT 1.5"/>
        <s v="F150 LARIAT LUXURY 4X4 5.0L AUT"/>
        <s v="RANGER LTD 4X4 3.0 AUT"/>
        <s v="3008 ACTIVE 1.6"/>
        <s v="TIGGO 3 1.5"/>
        <s v="3008 BLUE HDI HP 1.5 AUT"/>
        <s v="MORNING LX 1.0"/>
        <s v="EXPEDITION XLT 3.5 AUT"/>
        <s v="SILVERADO CC LTZ 4X4 3.0 AUT"/>
        <s v="TUCSON NX4 2.0 AUT"/>
        <s v="GRAND NOMADE GLX 2.4 AUT"/>
        <s v="CX70 T 1.5 AUT"/>
        <s v="F150 XLT 4X4 5.0L AUT"/>
        <s v="JS4 LUXURY HB 1.5"/>
        <s v="QASHQAI TURBO 1.3"/>
        <s v="RANGER RAPTOR 4X4 3.0 AT"/>
        <s v="TORRES 4X2 1.5"/>
        <s v="SPORTAGE EX 2.0 AUT"/>
        <s v="1500 REBEL CREW DCAB 4X4 5.7 AUT"/>
        <s v="TIGGO 8 1.5"/>
        <s v="NEW KORANDO 1.6"/>
        <s v="RANGER XLT 2.5"/>
        <s v="JOLION TURBO DCT 1.5 AUT"/>
        <s v="FRONTIER C/C 2.5 6MT"/>
        <s v="TIGGO 3 PRO GLS 1.5 AUT"/>
        <s v="LX ADVANCED 1.5 AUT"/>
        <s v="SANTA FE MX5 GDI 4X4 2.5 AUT"/>
        <s v="BALENO 4X2 1.5 AUT"/>
        <s v="REXTON 2.0"/>
        <s v="SUV 560 4X2 1.8"/>
        <s v="TAHOE 4X4 5.3 AUT"/>
        <s v="LANDTREK BLUEHDI 4X4 2.2 AUT"/>
        <s v="X TRAIL 4X2 7P CVT 2.5"/>
        <s v="2008 ACTIVE 130 1.2"/>
        <s v="POER 4X2 MT 2.0"/>
        <s v="JUKE 1.6 AUT"/>
        <s v="7 DCT 1.6 AUT"/>
        <s v="OUTLANDER GL 2.5 AUT"/>
        <s v="SPORTAGE LX 4X4 2.0 AUT"/>
        <s v="CX30 4X2 2.0 AUT"/>
        <s v="C5 1.5 AUT"/>
        <s v="SENTRA 1.8 AT"/>
        <s v="F150 RAPTOR 4X4 3.5 AUT"/>
        <s v="500 1.5 CVT"/>
        <s v="RANGER RAPTOR 4X4 2.0 AUT"/>
        <s v="C3 AIRCROSS 1.2 AUT"/>
        <s v="RIO 5 6MT 1.4"/>
        <s v="TRACKER 1.2T"/>
        <s v="KUV 100 HATCH BACK 1.2"/>
        <s v="BRONCO SPORT WILDTRAK 4X4 2.0 AUT"/>
        <s v="GRAND I10 SDN 1.2"/>
        <s v="NEW ARRIZO 3 GLS 1.5"/>
        <s v="F150 LARIAT 4X4 5.0 AT"/>
        <s v="LANDTREK 1.9"/>
        <s v="3008 BLUE HDI 130 1.5"/>
        <s v="FORESTER 4X4 2.0 AT"/>
        <s v="RANGER XLS 2.0"/>
        <s v="3008 ALLURE 1.2 AUT"/>
        <s v="TERRITORY TITANIUM 4X2 1.5 AUT"/>
        <s v="EDGE AWD 2.0 CVT"/>
        <s v="AMAROK DCAB TDI DOHC 4X4 2.0 AUT"/>
        <s v="RAMPAGE DS BIGHORN 4X4 2.0 AUT"/>
        <s v="ZX 1.5"/>
        <s v="URVAN 4X2 2.5"/>
        <s v="PARTNER BLUEHDI 1.5"/>
        <s v="C ELYSEE BLUEHDI 1.5"/>
        <s v="H6 GT DCT 4X4 2.0 AUT"/>
        <s v="GRAND I10 BA GLS 1.5"/>
        <s v="TERRALORD DCAB DLX 2.5"/>
        <s v="EXPLORER 4X2 2.3 AUT"/>
        <s v="NIVUS TSI 1.0 AUT"/>
        <s v="TERRALORD 4X4 2.5 AUT"/>
        <s v="GRAND CHEROKEE LAREDO 4X4 3.0 AUT"/>
        <s v="3008 THP 165HP 1.6 AUT"/>
        <s v="VERSA CVT 1.6 AUT"/>
        <s v="PATHFINDER R53 4X4 3.5 AUT"/>
        <s v="CAPTIVA LS 2.4 AT"/>
        <s v="D1 LUXURY 4X4 2.3"/>
        <s v="TIGGO 7 GLX CVT PRO 1.5 AUT"/>
        <s v="CX60 PREMIUM SPORT 4X4 3.3 AUT"/>
        <s v="TIGGO 2 GLS CVT 1.5 AUT"/>
        <s v="C5 AIRCROSS 1.5 AUT"/>
        <s v="JOLION 4X2 1.5"/>
        <s v="VX UNLIMITED 4X4 2.0 AUT"/>
        <m/>
        <s v="X35 LUXURY 1.5" u="1"/>
        <s v="2008 GT-LINE BLUEHDI 1.5 AUT" u="1"/>
        <s v="JIMNY 4X4 OTTO 1.5" u="1"/>
        <s v="CX70 ELITE 1.5 AUT" u="1"/>
        <s v="COMPASS LIMITED 4X2 1.3 AUT" u="1"/>
        <s v="GS3 POWER 4X2 1.5 AUT" u="1"/>
        <s v="SUV GLORY 580 1.8" u="1"/>
        <s v="SPORTAGE EX 2.0L" u="1"/>
        <s v="POER MT 4X4 2.0" u="1"/>
        <s v="RAM 2500 4X4 6.7 AUT" u="1"/>
        <s v="PARTNER 1.9" u="1"/>
        <s v="ECOSPORT FREESTYLE 1.5" u="1"/>
        <s v="2008 PURETECH 130 1.2" u="1"/>
        <s v="C5 1.5T CVT Luxury" u="1"/>
        <s v="SELTOS EX 1.6 AUT" u="1"/>
        <s v="F150 XLT 4X4 5.0" u="1"/>
        <s v="SUV 560 1.8" u="1"/>
        <s v="C HR 1.8 AUT" u="1"/>
        <s v="HI LUX DCAB MT 4X2 2.4" u="1"/>
      </sharedItems>
    </cacheField>
    <cacheField name="Código Versión" numFmtId="0">
      <sharedItems containsBlank="1"/>
    </cacheField>
    <cacheField name="Año" numFmtId="0">
      <sharedItems containsString="0" containsBlank="1" containsNumber="1" containsInteger="1" minValue="2005" maxValue="2026" count="16">
        <n v="2023"/>
        <n v="2014"/>
        <n v="2019"/>
        <n v="2022"/>
        <n v="2025"/>
        <n v="2024"/>
        <n v="2026"/>
        <n v="2018"/>
        <n v="2021"/>
        <n v="2020"/>
        <n v="2017"/>
        <n v="2016"/>
        <n v="2015"/>
        <n v="2013"/>
        <m/>
        <n v="2005" u="1"/>
      </sharedItems>
    </cacheField>
    <cacheField name="Kilometraje" numFmtId="0">
      <sharedItems containsString="0" containsBlank="1" containsNumber="1" containsInteger="1" minValue="0" maxValue="169000"/>
    </cacheField>
    <cacheField name="Código Interno" numFmtId="0">
      <sharedItems containsBlank="1"/>
    </cacheField>
    <cacheField name="Placa Patente" numFmtId="0">
      <sharedItems containsBlank="1" count="160">
        <s v="SFLW13"/>
        <s v="SJKL16"/>
        <s v="GBDZ38"/>
        <s v="LHCV19"/>
        <s v="RRWP38"/>
        <s v="RXXW40"/>
        <s v="RTWH37"/>
        <s v="SSVL57"/>
        <s v="TTVV23"/>
        <s v="SSTB40"/>
        <s v="THXK86"/>
        <s v="SHLW33"/>
        <s v="VRHP15"/>
        <s v="JXDK27"/>
        <s v="KSRT45"/>
        <s v="THXP99"/>
        <s v="SDKF65"/>
        <s v="TFGS79"/>
        <s v="PKZB80"/>
        <s v="VDFP78"/>
        <s v="THRJ79"/>
        <s v="LSZV62"/>
        <s v="SVGL34"/>
        <s v="LPXF73"/>
        <s v="SBLD74"/>
        <s v="VFSF65"/>
        <s v="VDWK12"/>
        <s v="TJDC55"/>
        <s v="JXGC32"/>
        <s v="PCDV84"/>
        <s v="TRBJ23"/>
        <s v="TGVF52"/>
        <s v="TTXB96"/>
        <s v="PSTV42"/>
        <s v="TJSK30"/>
        <s v="JYBF33"/>
        <s v="RBZD91"/>
        <s v="LVCS57"/>
        <s v="FZPL81"/>
        <s v="JGFD64"/>
        <s v="SJDW14"/>
        <s v="SZTF51"/>
        <s v="TJSK11"/>
        <s v="LBVT54"/>
        <s v="RXCG78"/>
        <s v="TKHS25"/>
        <s v="TDKL17"/>
        <s v="SXTX58"/>
        <s v="TFDC75"/>
        <s v="TLRS70"/>
        <s v="SDKG61"/>
        <s v="RXYT46"/>
        <s v="RSJD48"/>
        <s v="PKBJ31"/>
        <s v="RVKK81"/>
        <s v="RSTC22"/>
        <s v="VJTS35"/>
        <s v="HKVZ15"/>
        <s v="VKCY97"/>
        <s v="TSZC89"/>
        <s v="SZTL17"/>
        <s v="TTVD23"/>
        <s v="TJYK56"/>
        <s v="GLRH21"/>
        <s v="STBT82"/>
        <s v="PDBT76"/>
        <s v="TSSB38"/>
        <s v="SXHW25"/>
        <s v="TSYY69"/>
        <s v="TPJF75"/>
        <s v="HHYB74"/>
        <s v="VGPT64"/>
        <s v="TYFD45"/>
        <s v="SLWH28"/>
        <s v="FWLT41"/>
        <s v="VBWR52"/>
        <s v="RPZK49"/>
        <s v="TSSG86"/>
        <s v="PDBJ62"/>
        <s v="LYPC19"/>
        <s v="VFTG62"/>
        <s v="SFTZ65"/>
        <s v="LPXJ44"/>
        <s v="TFGP78"/>
        <s v="SVRS43"/>
        <s v="TCTX97"/>
        <s v="SBWS64"/>
        <s v="RGLK10"/>
        <s v="TYWS69"/>
        <s v="SLDR66"/>
        <s v="PKHC89"/>
        <s v="PKTZ57"/>
        <s v="PZTS12"/>
        <s v="SHDG76"/>
        <s v="PYLP70"/>
        <s v="SDPF24"/>
        <s v="TPCS18"/>
        <s v="SYPL90"/>
        <s v="TZTC96"/>
        <s v="VFTG40"/>
        <s v="TFFD89"/>
        <s v="SFLX53"/>
        <s v="SRHZ99"/>
        <s v="TZHS55"/>
        <s v="THCY49"/>
        <s v="STYG35"/>
        <s v="LVWS91"/>
        <s v="VDBP55"/>
        <s v="RKGC62"/>
        <s v="PJDC98"/>
        <s v="SKSZ29"/>
        <s v="TBJJ46"/>
        <s v="THCY28"/>
        <s v="PBXX58"/>
        <s v="RDWB83"/>
        <s v="SXHV61"/>
        <s v="SWBW81"/>
        <s v="SRWC14"/>
        <s v="RSWX56"/>
        <s v="FHRL53"/>
        <s v="SPZB83"/>
        <s v="SWBW23"/>
        <s v="RBJH77"/>
        <s v="TKHL16"/>
        <s v="JHSK67"/>
        <s v="TTVT92"/>
        <s v="RVRD47"/>
        <s v="TSPX19"/>
        <s v="SJVT25"/>
        <s v="LVWV64"/>
        <s v="SYDR45"/>
        <s v="TSYX31"/>
        <s v="FZPL98"/>
        <m/>
        <s v="RTTZ73" u="1"/>
        <s v="PCDZ57" u="1"/>
        <s v="PPJR63" u="1"/>
        <s v="RHFJ39" u="1"/>
        <s v="TSYZ42" u="1"/>
        <s v="TWSB37" u="1"/>
        <s v="SLYZ44" u="1"/>
        <s v="SGDP76" u="1"/>
        <s v="TBDD19" u="1"/>
        <s v="TKHL10" u="1"/>
        <s v="RDVR44" u="1"/>
        <s v="YZ7079" u="1"/>
        <s v="TGVF53" u="1"/>
        <s v="LHSD99" u="1"/>
        <s v="SJJH94" u="1"/>
        <s v="PKJP44" u="1"/>
        <s v="VPGG34" u="1"/>
        <s v="SBLD56" u="1"/>
        <s v="KCBZ84" u="1"/>
        <s v="RCBJ98" u="1"/>
        <s v="PRVP72" u="1"/>
        <s v="TGVD10" u="1"/>
        <s v="TFGL70" u="1"/>
        <s v="PXVL80" u="1"/>
        <s v="TFGR40" u="1"/>
        <s v="THCY22" u="1"/>
      </sharedItems>
    </cacheField>
    <cacheField name="Condición Vehículo" numFmtId="0">
      <sharedItems containsBlank="1"/>
    </cacheField>
    <cacheField name="Color Exterior" numFmtId="0">
      <sharedItems containsBlank="1"/>
    </cacheField>
    <cacheField name="Color Interior" numFmtId="0">
      <sharedItems containsBlank="1"/>
    </cacheField>
    <cacheField name="Precio Venta Total" numFmtId="0">
      <sharedItems containsString="0" containsBlank="1" containsNumber="1" containsInteger="1" minValue="3490000" maxValue="49990000"/>
    </cacheField>
    <cacheField name="Estado AutoPro" numFmtId="0">
      <sharedItems containsBlank="1"/>
    </cacheField>
    <cacheField name="Días Stock" numFmtId="0">
      <sharedItems containsString="0" containsBlank="1" containsNumber="1" containsInteger="1" minValue="1" maxValue="4381"/>
    </cacheField>
    <cacheField name="Estado Dealer" numFmtId="0">
      <sharedItems containsBlank="1" count="11">
        <s v="DISPONIBLE"/>
        <s v="CON PRENDA"/>
        <s v="VEHICULO USO DE SERVICIO"/>
        <s v="EN TALLER"/>
        <s v="EN PREPARACION"/>
        <s v="EN RESCILIACION"/>
        <s v="VEHICULO EMPRESA"/>
        <s v="NO DISPONIBLE"/>
        <s v="USO GERENCIA"/>
        <s v="EN TALLER EXTERNO"/>
        <m/>
      </sharedItems>
    </cacheField>
    <cacheField name="Bodega" numFmtId="0">
      <sharedItems containsBlank="1"/>
    </cacheField>
    <cacheField name="Equipamiento" numFmtId="0">
      <sharedItems containsBlank="1"/>
    </cacheField>
    <cacheField name="Numero Motor" numFmtId="0">
      <sharedItems containsBlank="1"/>
    </cacheField>
    <cacheField name="Numero Chasis" numFmtId="0">
      <sharedItems containsBlank="1"/>
    </cacheField>
    <cacheField name="Proveedor" numFmtId="0">
      <sharedItems containsBlank="1"/>
    </cacheField>
    <cacheField name="Fecha Disponibilidad" numFmtId="0">
      <sharedItems containsBlank="1"/>
    </cacheField>
    <cacheField name="Factura Compra" numFmtId="0">
      <sharedItems containsString="0" containsBlank="1" containsNumber="1" containsInteger="1" minValue="0" maxValue="60226"/>
    </cacheField>
    <cacheField name="Vencimiento Documento" numFmtId="0">
      <sharedItems containsBlank="1"/>
    </cacheField>
    <cacheField name="Fecha Compra" numFmtId="0">
      <sharedItems containsBlank="1"/>
    </cacheField>
    <cacheField name="Fecha Vencto. Revisión Técnica" numFmtId="0">
      <sharedItems containsBlank="1"/>
    </cacheField>
    <cacheField name="N° Propietarios" numFmtId="0">
      <sharedItems containsString="0" containsBlank="1" containsNumber="1" containsInteger="1" minValue="0" maxValue="4"/>
    </cacheField>
    <cacheField name="Folio Retoma" numFmtId="0">
      <sharedItems containsString="0" containsBlank="1" containsNumber="1" containsInteger="1" minValue="0" maxValue="0"/>
    </cacheField>
    <cacheField name="Fecha Retoma" numFmtId="0">
      <sharedItems containsBlank="1"/>
    </cacheField>
    <cacheField name="Días Reservado" numFmtId="0">
      <sharedItems containsString="0" containsBlank="1" containsNumber="1" containsInteger="1" minValue="0" maxValue="7"/>
    </cacheField>
    <cacheField name="Precio Compra Neto" numFmtId="0">
      <sharedItems containsString="0" containsBlank="1" containsNumber="1" containsInteger="1" minValue="0" maxValue="48000000"/>
    </cacheField>
    <cacheField name="Gasto" numFmtId="0">
      <sharedItems containsString="0" containsBlank="1" containsNumber="1" containsInteger="1" minValue="0" maxValue="4016851"/>
    </cacheField>
    <cacheField name="Accesorios" numFmtId="0">
      <sharedItems containsString="0" containsBlank="1" containsNumber="1" containsInteger="1" minValue="0" maxValue="0"/>
    </cacheField>
    <cacheField name="Total Costo" numFmtId="0">
      <sharedItems containsString="0" containsBlank="1" containsNumber="1" containsInteger="1" minValue="1812732" maxValue="48846030"/>
    </cacheField>
    <cacheField name="Precio Lista" numFmtId="0">
      <sharedItems containsString="0" containsBlank="1" containsNumber="1" containsInteger="1" minValue="3490000" maxValue="49990000"/>
    </cacheField>
    <cacheField name="Margen" numFmtId="0">
      <sharedItems containsString="0" containsBlank="1" containsNumber="1" containsInteger="1" minValue="-7857714" maxValue="11560760"/>
    </cacheField>
    <cacheField name="Margen %" numFmtId="0">
      <sharedItems containsString="0" containsBlank="1" containsNumber="1" containsInteger="1" minValue="-4043" maxValue="76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s v="IMPORTADORA TRENTO LTDA"/>
    <s v="LOCAL USADOS COPIAPO"/>
    <n v="0"/>
    <n v="0"/>
    <s v=""/>
    <s v=""/>
    <s v=""/>
    <s v=""/>
    <s v="13-11-2025 16:08:09"/>
    <s v=""/>
    <s v="VF3MCYHZU PS006748"/>
    <x v="0"/>
    <x v="0"/>
    <x v="0"/>
    <s v="5008BH130"/>
    <x v="0"/>
    <n v="66999"/>
    <s v="TPESTWU000433"/>
    <x v="0"/>
    <s v="USADO"/>
    <s v="BLANCO NACARADO"/>
    <s v="POR DEFINIR"/>
    <n v="22690000"/>
    <s v="Disponible"/>
    <n v="201"/>
    <x v="0"/>
    <s v="BODEGA LOS CARRERA COPIAPO"/>
    <s v="AE,CC,EE,AAC,ABS,LL,VC,AISO,AAUTO,CRE,MAV,ACD,SR,U"/>
    <s v="10Q4EP0125437"/>
    <s v="VF3MCYHZU PS006748"/>
    <s v="YOANA ELENA ROJAS HENRIQUEZ"/>
    <s v="13-11-2025 0:00:00"/>
    <n v="1"/>
    <s v="13-11-2025 0:00:00"/>
    <s v="13-11-2025 16:00:05"/>
    <s v="30-06-2027 0:00:00"/>
    <n v="1"/>
    <n v="0"/>
    <s v=""/>
    <n v="0"/>
    <n v="19800000"/>
    <n v="423030"/>
    <n v="0"/>
    <n v="20223030"/>
    <n v="22690000"/>
    <n v="2466970"/>
    <n v="1087"/>
  </r>
  <r>
    <s v="IMPORTADORA TRENTO LTDA"/>
    <s v="LOCAL USADOS"/>
    <n v="0"/>
    <n v="0"/>
    <s v=""/>
    <s v=""/>
    <s v=""/>
    <s v=""/>
    <s v="05-02-2026 13:04:12"/>
    <s v=""/>
    <s v="VF3M45GFUPS010582"/>
    <x v="0"/>
    <x v="0"/>
    <x v="1"/>
    <s v="PE5008PT16AT"/>
    <x v="0"/>
    <n v="76000"/>
    <s v="TPESTWU000446"/>
    <x v="1"/>
    <s v="USADO"/>
    <s v="GRIS ARTENSE"/>
    <s v="POR DEFINIR"/>
    <n v="19290000"/>
    <s v="Disponible"/>
    <n v="117"/>
    <x v="1"/>
    <s v="BODEGA VEHICULOS"/>
    <s v="AE,CC,EE,AAC,ABS,LL,VC,AISO,AAUTO,CRE,MAV,ACD,SR,U"/>
    <s v="10FKBL3003916"/>
    <s v="VF3M45GFUPS010582"/>
    <s v="JOHNNY SEBASTIAN DIAZ ZAMORANO"/>
    <s v="05-02-2026 0:00:00"/>
    <n v="1"/>
    <s v="05-02-2026 0:00:00"/>
    <s v="05-02-2026 13:00:32"/>
    <s v="30-09-2027 0:00:00"/>
    <n v="1"/>
    <n v="0"/>
    <s v=""/>
    <n v="0"/>
    <n v="16500000"/>
    <n v="373530"/>
    <n v="0"/>
    <n v="16873530"/>
    <n v="19290000"/>
    <n v="2416470"/>
    <n v="1253"/>
  </r>
  <r>
    <s v="IMPORTADORA TRENTO LTDA"/>
    <s v="LOCAL USADOS"/>
    <n v="0"/>
    <n v="0"/>
    <s v=""/>
    <s v=""/>
    <s v=""/>
    <s v=""/>
    <s v="03-01-2017 1:36:33"/>
    <s v=""/>
    <s v="LGHT12173E9700288"/>
    <x v="1"/>
    <x v="1"/>
    <x v="2"/>
    <s v="2012--CARGOBOX1"/>
    <x v="1"/>
    <n v="0"/>
    <s v="TDFCMTU000001"/>
    <x v="2"/>
    <s v="USADO"/>
    <s v="BLANCO"/>
    <s v="NO DEFINIDO"/>
    <n v="3490000"/>
    <s v="Disponible"/>
    <n v="4381"/>
    <x v="2"/>
    <s v="BODEGA VEHICULOS"/>
    <s v=""/>
    <s v="EQ474I-3013074700"/>
    <s v="LGHT12173E9700288"/>
    <s v="SOCIEDAD HERMANAS CALLEGARI LTDA"/>
    <s v="04-06-2014 0:00:00"/>
    <n v="0"/>
    <s v=""/>
    <s v=""/>
    <s v="04-06-2014 0:00:00"/>
    <n v="0"/>
    <n v="0"/>
    <s v=""/>
    <n v="0"/>
    <n v="82597"/>
    <n v="4016851"/>
    <n v="0"/>
    <n v="4099448"/>
    <n v="3490000"/>
    <n v="-609448"/>
    <n v="-1746"/>
  </r>
  <r>
    <s v="IMPORTADORA TRENTO LTDA"/>
    <s v="LOCAL PREMIUM CAR SALES"/>
    <n v="0"/>
    <n v="0"/>
    <s v=""/>
    <s v=""/>
    <s v=""/>
    <s v=""/>
    <s v="06-04-2026 18:46:12"/>
    <s v=""/>
    <s v="LGWEE4A40LH899522"/>
    <x v="2"/>
    <x v="2"/>
    <x v="3"/>
    <s v="HL1"/>
    <x v="2"/>
    <n v="88000"/>
    <s v="THASTWU000022"/>
    <x v="3"/>
    <s v="USADO"/>
    <s v="AZUL"/>
    <s v="POR DEFINIR"/>
    <n v="8290000"/>
    <s v="Disponible"/>
    <n v="57"/>
    <x v="0"/>
    <s v="PREMIUM CAR SALES"/>
    <s v="AE,CC,EE,NB,ABS,LL,VC,AC,AISO,AAUTO,CRE,MAV,ACD,SR"/>
    <s v="GW4G15B1805110609"/>
    <s v="LGWEE4A40LH899522"/>
    <s v="YORMAN JOSE HERNANDEZ USECHE"/>
    <s v="06-04-2026 0:00:00"/>
    <n v="1"/>
    <s v="06-04-2026 0:00:00"/>
    <s v="06-04-2026 18:45:47"/>
    <s v="31-01-2027 0:00:00"/>
    <n v="1"/>
    <n v="0"/>
    <s v=""/>
    <n v="0"/>
    <n v="6800000"/>
    <n v="231240"/>
    <n v="0"/>
    <n v="7031240"/>
    <n v="8290000"/>
    <n v="1258760"/>
    <n v="1518"/>
  </r>
  <r>
    <s v="IMPORTADORA TRENTO LTDA"/>
    <s v="LOCAL USADOS"/>
    <n v="0"/>
    <n v="0"/>
    <s v=""/>
    <s v=""/>
    <s v=""/>
    <s v=""/>
    <s v="29-04-2025 19:05:19"/>
    <s v=""/>
    <s v="LJXCU2BB5 NTF05473"/>
    <x v="3"/>
    <x v="3"/>
    <x v="4"/>
    <s v="FTU1"/>
    <x v="3"/>
    <n v="25200"/>
    <s v="TFOSTWU001363"/>
    <x v="4"/>
    <s v="USADO"/>
    <s v="NEGRO PANTERA"/>
    <s v="POR DEFINIR"/>
    <n v="10490000"/>
    <s v="Disponible"/>
    <n v="399"/>
    <x v="3"/>
    <s v="BODEGA VEHICULOS"/>
    <s v="AE,CC,EE,NB,AAC,ABS,LL,VC,AISO,AAUTO,CRE,MAV,ACD,S"/>
    <s v="M9G068199"/>
    <s v="LJXCU2BB5 NTF05473"/>
    <s v="JAIME NICOLAS MUÑOZ RODRIGUEZ"/>
    <s v="29-04-2025 0:00:00"/>
    <n v="1"/>
    <s v="29-04-2025 0:00:00"/>
    <s v="29-04-2025 18:59:46"/>
    <s v="30-11-2026 0:00:00"/>
    <n v="1"/>
    <n v="0"/>
    <s v=""/>
    <n v="1"/>
    <n v="10300000"/>
    <n v="280530"/>
    <n v="0"/>
    <n v="10580530"/>
    <n v="10490000"/>
    <n v="-90530"/>
    <n v="-86"/>
  </r>
  <r>
    <s v="IMPORTADORA TRENTO LTDA"/>
    <s v="LOCAL PREMIUM CAR SALES"/>
    <n v="0"/>
    <n v="0"/>
    <s v=""/>
    <s v=""/>
    <s v=""/>
    <s v=""/>
    <s v="02-09-2025 15:11:09"/>
    <s v=""/>
    <s v="KMFYFX71AMU043854"/>
    <x v="4"/>
    <x v="4"/>
    <x v="5"/>
    <s v="HYSTAMTDSL"/>
    <x v="3"/>
    <n v="28000"/>
    <s v="THYFRGU000001"/>
    <x v="5"/>
    <s v="USADO"/>
    <s v="BLANCO"/>
    <s v="POR DEFINIR"/>
    <n v="21500000"/>
    <s v="Disponible"/>
    <n v="273"/>
    <x v="0"/>
    <s v="PREMIUM CAR SALES"/>
    <s v="AE,CC,EE,2AB,ABS,AC,AISO,AAUTO,MAV,ACD,UD,DLL"/>
    <s v="D4HBNU232537"/>
    <s v="KMFYFX71AMU043854"/>
    <s v="ELISEO SERGIO GAJARDO VALDERRAMA"/>
    <s v="02-09-2025 0:00:00"/>
    <n v="1"/>
    <s v="02-09-2025 0:00:00"/>
    <s v="02-09-2025 15:10:43"/>
    <s v="28-02-2027 0:00:00"/>
    <n v="1"/>
    <n v="0"/>
    <s v=""/>
    <n v="0"/>
    <n v="20000000"/>
    <n v="426030"/>
    <n v="0"/>
    <n v="20426030"/>
    <n v="21500000"/>
    <n v="1073970"/>
    <n v="5"/>
  </r>
  <r>
    <s v="IMPORTADORA TRENTO LTDA"/>
    <s v="LOCAL USADOS COPIAPO"/>
    <n v="0"/>
    <n v="0"/>
    <s v=""/>
    <s v=""/>
    <s v=""/>
    <s v=""/>
    <s v="01-06-2026 18:21:00"/>
    <s v=""/>
    <s v="//+**+++///++*..."/>
    <x v="5"/>
    <x v="5"/>
    <x v="6"/>
    <s v="TY8US"/>
    <x v="3"/>
    <n v="93000"/>
    <s v="TCYSTWU000356"/>
    <x v="6"/>
    <s v="USADO"/>
    <s v="BLANCO METALIZADO"/>
    <s v="POR DEFINIR"/>
    <n v="11390000"/>
    <s v="Disponible"/>
    <n v="1"/>
    <x v="4"/>
    <s v="BODEGA LOS CARRERA COPIAPO"/>
    <s v="AE,CC,EE,ABS,LL,AC,AISO,AAUTO,CRE,MAV,ACD,SR,DLL,6"/>
    <s v="SQRE4T15BAVMJ00643"/>
    <s v="LVTDB21B8ND032457"/>
    <s v="FÉLIX RODRIGO TIFFI ARAVENA"/>
    <s v="01-06-2026 0:00:00"/>
    <n v="1"/>
    <s v="01-06-2026 0:00:00"/>
    <s v="01-06-2026 18:18:33"/>
    <s v=""/>
    <n v="2"/>
    <n v="0"/>
    <s v=""/>
    <n v="0"/>
    <n v="8800000"/>
    <n v="0"/>
    <n v="0"/>
    <n v="8800000"/>
    <n v="11390000"/>
    <n v="2590000"/>
    <n v="2274"/>
  </r>
  <r>
    <s v="IMPORTADORA TRENTO LTDA"/>
    <s v="LOCAL USADOS COPIAPO"/>
    <n v="0"/>
    <n v="0"/>
    <s v=""/>
    <s v=""/>
    <s v=""/>
    <s v=""/>
    <s v="12-09-2025 18:26:55"/>
    <s v=""/>
    <s v="*---****.../*...."/>
    <x v="6"/>
    <x v="6"/>
    <x v="7"/>
    <s v="JAT8PRO4X420MT"/>
    <x v="0"/>
    <n v="40695"/>
    <s v="TJACMTU000006"/>
    <x v="7"/>
    <s v="USADO"/>
    <s v="GRIS"/>
    <s v="POR DEFINIR"/>
    <n v="12790000"/>
    <s v="Disponible"/>
    <n v="263"/>
    <x v="3"/>
    <s v="BODEGA LOS CARRERA COPIAPO"/>
    <s v=""/>
    <s v="N4127324"/>
    <s v="LJ11PABD8 PC091786"/>
    <s v="CARLOS GABRIEL ROMERO PINO"/>
    <s v="12-09-2025 0:00:00"/>
    <n v="1"/>
    <s v="12-09-2025 0:00:00"/>
    <s v="12-09-2025 18:26:22"/>
    <s v=""/>
    <n v="3"/>
    <n v="0"/>
    <s v=""/>
    <n v="0"/>
    <n v="10600000"/>
    <n v="285030"/>
    <n v="0"/>
    <n v="10885030"/>
    <n v="12790000"/>
    <n v="1904970"/>
    <n v="1489"/>
  </r>
  <r>
    <s v="IMPORTADORA TRENTO LTDA"/>
    <s v="LOCAL PREMIUM CAR SALES"/>
    <n v="0"/>
    <n v="0"/>
    <s v=""/>
    <s v=""/>
    <s v=""/>
    <s v=""/>
    <s v="25-05-2026 10:35:24"/>
    <s v=""/>
    <s v="3FTTW8H92RRA99365"/>
    <x v="3"/>
    <x v="7"/>
    <x v="8"/>
    <s v="FOMAVXLT204X2AT"/>
    <x v="4"/>
    <n v="24000"/>
    <s v="TFOCMTU001161"/>
    <x v="8"/>
    <s v="USADO"/>
    <s v="NEGRO PROFUNDO"/>
    <s v="POR DEFINIR"/>
    <n v="22990000"/>
    <s v="Disponible"/>
    <n v="8"/>
    <x v="4"/>
    <s v="PREMIUM CAR SALES"/>
    <s v=""/>
    <s v="RRA99365"/>
    <s v="3FTTW8H92RRA99365"/>
    <s v="INSIGHTGROUP SPA"/>
    <s v="25-05-2026 0:00:00"/>
    <n v="1"/>
    <s v="25-05-2026 0:00:00"/>
    <s v="25-05-2026 10:34:53"/>
    <s v=""/>
    <n v="3"/>
    <n v="0"/>
    <s v=""/>
    <n v="0"/>
    <n v="20000000"/>
    <n v="0"/>
    <n v="0"/>
    <n v="20000000"/>
    <n v="22990000"/>
    <n v="2990000"/>
    <n v="1301"/>
  </r>
  <r>
    <s v="IMPORTADORA TRENTO LTDA"/>
    <s v="LOCAL PREMIUM CAR SALES"/>
    <n v="0"/>
    <n v="0"/>
    <s v=""/>
    <s v=""/>
    <s v=""/>
    <s v=""/>
    <s v="29-04-2026 14:31:23"/>
    <s v=""/>
    <s v="LVZA53P91 NA129835"/>
    <x v="1"/>
    <x v="8"/>
    <x v="9"/>
    <s v="S560"/>
    <x v="0"/>
    <n v="75442"/>
    <s v="TDFSTWU000054"/>
    <x v="9"/>
    <s v="USADO"/>
    <s v="BLANCO"/>
    <s v="POR DEFINIR"/>
    <n v="8890000"/>
    <s v="Disponible"/>
    <n v="34"/>
    <x v="1"/>
    <s v="PREMIUM CAR SALES"/>
    <s v="AE,CC,EE,2AB,ABS,LL,AC,AISO,AAUTO,MAV,ACD,SR,UD,DL"/>
    <s v="SFG18-22348600"/>
    <s v="LVZA53P91 NA129835"/>
    <s v="MELISSA VALESKA SAEZ FUENTES"/>
    <s v="29-04-2026 0:00:00"/>
    <n v="1"/>
    <s v="29-04-2026 0:00:00"/>
    <s v="29-04-2026 14:30:57"/>
    <s v=""/>
    <n v="1"/>
    <n v="0"/>
    <s v=""/>
    <n v="0"/>
    <n v="6900000"/>
    <n v="232740"/>
    <n v="0"/>
    <n v="7132740"/>
    <n v="8890000"/>
    <n v="1757260"/>
    <n v="1977"/>
  </r>
  <r>
    <s v="IMPORTADORA TRENTO LTDA"/>
    <s v="LOCAL PREMIUM CAR SALES"/>
    <n v="0"/>
    <n v="0"/>
    <s v=""/>
    <s v=""/>
    <s v=""/>
    <s v=""/>
    <s v="07-01-2026 16:22:02"/>
    <s v=""/>
    <s v="/**//+.+///++*..."/>
    <x v="4"/>
    <x v="9"/>
    <x v="10"/>
    <s v="HYSTFMX525AT"/>
    <x v="5"/>
    <n v="58500"/>
    <s v="THYSTWU000548"/>
    <x v="10"/>
    <s v="USADO"/>
    <s v="PLATEADO PLATA"/>
    <s v="POR DEFINIR"/>
    <n v="26390000"/>
    <s v="Disponible"/>
    <n v="146"/>
    <x v="0"/>
    <s v="PREMIUM CAR SALES"/>
    <s v="AE,CC,EE,ABS,LL,TC,VC,AC,AISO,ACP,AAUTO,CRE,MAV,AC"/>
    <s v="G4KNRA734924"/>
    <s v="KMHP281JBRU017462"/>
    <s v="MARIA PAZ GONZALEZ ARAYA"/>
    <s v="07-01-2026 0:00:00"/>
    <n v="1"/>
    <s v="07-01-2026 0:00:00"/>
    <s v="07-01-2026 16:21:28"/>
    <s v=""/>
    <n v="1"/>
    <n v="0"/>
    <s v=""/>
    <n v="0"/>
    <n v="23500000"/>
    <n v="903834"/>
    <n v="0"/>
    <n v="24403834"/>
    <n v="26390000"/>
    <n v="1986166"/>
    <n v="753"/>
  </r>
  <r>
    <s v="IMPORTADORA TRENTO LTDA"/>
    <s v="LOCAL PREMIUM CAR SALES"/>
    <n v="0"/>
    <n v="0"/>
    <s v=""/>
    <s v=""/>
    <s v=""/>
    <s v=""/>
    <s v="23-12-2025 18:40:06"/>
    <s v=""/>
    <s v="1C6RR7LG8 NS154084"/>
    <x v="7"/>
    <x v="10"/>
    <x v="11"/>
    <s v="RA1500CRSPDC4X436AT"/>
    <x v="0"/>
    <n v="33892"/>
    <s v="TRACMTU000047"/>
    <x v="11"/>
    <s v="USADO"/>
    <s v="BLANCO"/>
    <s v="POR DEFINIR"/>
    <n v="29490000"/>
    <s v="Disponible"/>
    <n v="161"/>
    <x v="0"/>
    <s v="PREMIUM CAR SALES"/>
    <s v="AE,CC,EE,NB,AAC,ABS,LL,VC,AISO,AAUTO,CRE,MAV,ACD,S"/>
    <s v="NS154084"/>
    <s v="1C6RR7LG8 NS154084"/>
    <s v="MIXY GRACIELA CORNEJO BASTIAS SOCIEDAD GASTRONOMICA E.I.R.L"/>
    <s v="23-12-2025 0:00:00"/>
    <n v="1"/>
    <s v="23-12-2025 0:00:00"/>
    <s v="23-12-2025 18:39:16"/>
    <s v="30-06-2027 0:00:00"/>
    <n v="1"/>
    <n v="0"/>
    <s v=""/>
    <n v="0"/>
    <n v="26200000"/>
    <n v="519030"/>
    <n v="0"/>
    <n v="26719030"/>
    <n v="29490000"/>
    <n v="2770970"/>
    <n v="94"/>
  </r>
  <r>
    <s v="IMPORTADORA TRENTO LTDA"/>
    <s v="LOCAL PREMIUM CAR SALES"/>
    <n v="0"/>
    <n v="0"/>
    <s v=""/>
    <s v=""/>
    <s v=""/>
    <s v=""/>
    <s v="30-05-2026 13:15:09"/>
    <s v=""/>
    <s v="LVPC52898 TCB00699"/>
    <x v="1"/>
    <x v="11"/>
    <x v="12"/>
    <s v="DF600PHEV4X215AT"/>
    <x v="6"/>
    <n v="598"/>
    <s v="TDFSTWU000056"/>
    <x v="12"/>
    <s v="USADO"/>
    <s v="GRIS CLARO"/>
    <s v="POR DEFINIR"/>
    <n v="18990000"/>
    <s v="Disponible"/>
    <n v="3"/>
    <x v="4"/>
    <s v="PREMIUM CAR SALES"/>
    <s v="AE,CC,EE,AAC,ABS,LL,VC,AISO,AAUTO,CRE,MAV,ACD,SR,U"/>
    <s v="F31A 125003402"/>
    <s v="LVPC52898 TCB00699"/>
    <s v="EMILIO ANDRES ORDENES ROJAS"/>
    <s v="30-05-2026 0:00:00"/>
    <n v="1"/>
    <s v="30-05-2026 0:00:00"/>
    <s v="30-05-2026 13:12:38"/>
    <s v=""/>
    <n v="1"/>
    <n v="0"/>
    <s v=""/>
    <n v="0"/>
    <n v="16500000"/>
    <n v="0"/>
    <n v="0"/>
    <n v="16500000"/>
    <n v="18990000"/>
    <n v="2490000"/>
    <n v="1311"/>
  </r>
  <r>
    <s v="IMPORTADORA TRENTO LTDA"/>
    <s v="LOCAL USADOS COPIAPO"/>
    <n v="0"/>
    <n v="0"/>
    <s v=""/>
    <s v=""/>
    <s v=""/>
    <s v=""/>
    <s v="30-05-2026 11:28:44"/>
    <s v=""/>
    <s v="WF0AXXWPMHGY88472"/>
    <x v="3"/>
    <x v="12"/>
    <x v="13"/>
    <s v="01--ESCAUT1"/>
    <x v="7"/>
    <n v="66252"/>
    <s v="TFOSTWU001411"/>
    <x v="13"/>
    <s v="USADO"/>
    <s v="NEGRO ABSOLUTO"/>
    <s v="POR DEFINIR"/>
    <n v="10490000"/>
    <s v="Disponible"/>
    <n v="3"/>
    <x v="4"/>
    <s v="BODEGA LOS CARRERA COPIAPO"/>
    <s v="AE,CC,EE,AAC,ABS,LL,VC,AISO,AAUTO,CRE,MAV,ACD,SR,U"/>
    <s v="HGY88472"/>
    <s v="WF0AXXWPMHGY88472"/>
    <s v="SUSAN CARMEN GLORIA HENRY HENRY"/>
    <s v="30-05-2026 0:00:00"/>
    <n v="1"/>
    <s v="30-05-2026 0:00:00"/>
    <s v="30-05-2026 11:28:08"/>
    <s v="31-10-2027 0:00:00"/>
    <n v="1"/>
    <n v="0"/>
    <s v=""/>
    <n v="0"/>
    <n v="8600000"/>
    <n v="0"/>
    <n v="0"/>
    <n v="8600000"/>
    <n v="10490000"/>
    <n v="1890000"/>
    <n v="1802"/>
  </r>
  <r>
    <s v="IMPORTADORA TRENTO LTDA"/>
    <s v="LOCAL PREMIUM CAR SALES"/>
    <n v="0"/>
    <n v="0"/>
    <s v=""/>
    <s v=""/>
    <s v=""/>
    <s v=""/>
    <s v="30-05-2026 11:49:56"/>
    <s v=""/>
    <s v="98867545CKKH86607"/>
    <x v="8"/>
    <x v="13"/>
    <x v="14"/>
    <s v="CVN"/>
    <x v="7"/>
    <n v="105000"/>
    <s v="TJESTWU000441"/>
    <x v="14"/>
    <s v="USADO"/>
    <s v="PLATEADO"/>
    <s v="POR DEFINIR"/>
    <n v="8990000"/>
    <s v="Disponible"/>
    <n v="3"/>
    <x v="4"/>
    <s v="PREMIUM CAR SALES"/>
    <s v="AE,CC,EE,ABS,LL,AC,AISO,AAUTO,CRE,MAV,ACD,SR,DLL,6"/>
    <s v="0255313"/>
    <s v="98867545CKKH86607"/>
    <s v="LAURA CECILIA FLORES ROJAS"/>
    <s v="30-05-2026 0:00:00"/>
    <n v="1"/>
    <s v="30-05-2026 0:00:00"/>
    <s v="30-05-2026 11:48:50"/>
    <s v="31-08-2026 0:00:00"/>
    <n v="3"/>
    <n v="0"/>
    <s v=""/>
    <n v="0"/>
    <n v="7600000"/>
    <n v="0"/>
    <n v="0"/>
    <n v="7600000"/>
    <n v="8990000"/>
    <n v="1390000"/>
    <n v="1546"/>
  </r>
  <r>
    <s v="IMPORTADORA TRENTO LTDA"/>
    <s v="LOCAL PREMIUM CAR SALES"/>
    <n v="0"/>
    <n v="0"/>
    <s v=""/>
    <s v=""/>
    <s v=""/>
    <s v=""/>
    <s v="18-02-2026 9:46:22"/>
    <s v=""/>
    <s v="KNACP81EG P5055975"/>
    <x v="9"/>
    <x v="14"/>
    <x v="15"/>
    <s v="KINIRO16AT"/>
    <x v="5"/>
    <n v="43000"/>
    <s v="TKISTWU001335"/>
    <x v="15"/>
    <s v="USADO"/>
    <s v="BLANCO INVIERNO"/>
    <s v="POR DEFINIR"/>
    <n v="19990000"/>
    <s v="Disponible"/>
    <n v="104"/>
    <x v="0"/>
    <s v="PREMIUM CAR SALES"/>
    <s v="AE,CC,EE,AAC,ABS,LL,AISO,AAUTO,CRE,MAV,SR,DLL,6AB"/>
    <s v="G4LLNS082877"/>
    <s v="KNACP81EG P5055975"/>
    <s v="MARY CARMEN ALFARO AHUMADA"/>
    <s v="18-02-2026 0:00:00"/>
    <n v="1"/>
    <s v="18-02-2026 0:00:00"/>
    <s v="18-02-2026 9:45:23"/>
    <s v=""/>
    <n v="0"/>
    <n v="0"/>
    <s v=""/>
    <n v="0"/>
    <n v="17750000"/>
    <n v="392280"/>
    <n v="0"/>
    <n v="18142280"/>
    <n v="19990000"/>
    <n v="1847720"/>
    <n v="924"/>
  </r>
  <r>
    <s v="IMPORTADORA TRENTO LTDA"/>
    <s v="LOCAL USADOS COPIAPO"/>
    <n v="0"/>
    <n v="0"/>
    <s v=""/>
    <s v=""/>
    <s v=""/>
    <s v=""/>
    <s v="01-06-2026 17:30:09"/>
    <s v=""/>
    <s v="MMBGJKR10NH010717"/>
    <x v="10"/>
    <x v="15"/>
    <x v="16"/>
    <s v="KM7000"/>
    <x v="0"/>
    <n v="67096"/>
    <s v="TMISTWU000374"/>
    <x v="16"/>
    <s v="USADO"/>
    <s v="BLANCO DIAMANTE"/>
    <s v="POR DEFINIR"/>
    <n v="22990000"/>
    <s v="Disponible"/>
    <n v="1"/>
    <x v="4"/>
    <s v="BODEGA LOS CARRERA COPIAPO"/>
    <s v="AE,CC,EE,ABS,LL,VC,AC,AISO,AAUTO,CRE,MAV,ACD,SR,UD"/>
    <s v="4N15 UJD6131"/>
    <s v="MMBGJKR10NH010717"/>
    <s v="IBAR RODRIGO MANZANO REQUENA"/>
    <s v="01-06-2026 0:00:00"/>
    <n v="1"/>
    <s v="01-06-2026 0:00:00"/>
    <s v="01-06-2026 17:29:47"/>
    <s v=""/>
    <n v="1"/>
    <n v="0"/>
    <s v=""/>
    <n v="0"/>
    <n v="18300000"/>
    <n v="0"/>
    <n v="0"/>
    <n v="18300000"/>
    <n v="22990000"/>
    <n v="4690000"/>
    <n v="204"/>
  </r>
  <r>
    <s v="IMPORTADORA TRENTO LTDA"/>
    <s v="LOCAL PREMIUM CAR SALES"/>
    <n v="0"/>
    <n v="0"/>
    <s v=""/>
    <s v=""/>
    <s v=""/>
    <s v=""/>
    <s v="28-04-2026 10:56:17"/>
    <s v=""/>
    <s v="///***++///++*..."/>
    <x v="11"/>
    <x v="16"/>
    <x v="17"/>
    <s v="VOSAVECD16"/>
    <x v="5"/>
    <n v="31107"/>
    <s v="TVOCMTU000041"/>
    <x v="17"/>
    <s v="USADO"/>
    <s v="BLANCO CANDY"/>
    <s v="POR DEFINIR"/>
    <n v="11590000"/>
    <s v="Disponible"/>
    <n v="35"/>
    <x v="1"/>
    <s v="PREMIUM CAR SALES"/>
    <s v="AE,CC,EE,2AB,NB,ABS,LL,AC,AISO,AAUTO,ACD,UD,DLL"/>
    <s v="CWS 588198"/>
    <s v="9BWJL45U9 PP056766"/>
    <s v="BARBARA ANDREINA CASTILLO MAVARES"/>
    <s v="28-04-2026 0:00:00"/>
    <n v="1"/>
    <s v="28-04-2026 0:00:00"/>
    <s v="28-04-2026 10:53:19"/>
    <s v=""/>
    <n v="1"/>
    <n v="0"/>
    <s v=""/>
    <n v="0"/>
    <n v="9600000"/>
    <n v="273240"/>
    <n v="0"/>
    <n v="9873240"/>
    <n v="11590000"/>
    <n v="1716760"/>
    <n v="1481"/>
  </r>
  <r>
    <s v="IMPORTADORA TRENTO LTDA"/>
    <s v="LOCAL PREMIUM CAR SALES"/>
    <n v="0"/>
    <n v="0"/>
    <s v=""/>
    <s v=""/>
    <s v=""/>
    <s v=""/>
    <s v="30-04-2026 17:13:00"/>
    <s v=""/>
    <s v="9BGJK7560LB180490"/>
    <x v="12"/>
    <x v="17"/>
    <x v="18"/>
    <s v="CHSPI18MT"/>
    <x v="8"/>
    <n v="83079"/>
    <s v="TCHSTWU000321"/>
    <x v="18"/>
    <s v="USADO"/>
    <s v="AZUL ATLANTICO"/>
    <s v="POR DEFINIR"/>
    <n v="8990000"/>
    <s v="Disponible"/>
    <n v="33"/>
    <x v="0"/>
    <s v="PREMIUM CAR SALES"/>
    <s v=""/>
    <s v="JWJ001279"/>
    <s v="9BGJK7560LB180490"/>
    <s v="ROBERTO EMILIO VILLABLANCA VERA"/>
    <s v="30-04-2026 0:00:00"/>
    <n v="1"/>
    <s v="30-04-2026 0:00:00"/>
    <s v="30-04-2026 17:12:42"/>
    <s v="28-02-2027 0:00:00"/>
    <n v="1"/>
    <n v="0"/>
    <s v=""/>
    <n v="0"/>
    <n v="7100000"/>
    <n v="0"/>
    <n v="0"/>
    <n v="7100000"/>
    <n v="8990000"/>
    <n v="1890000"/>
    <n v="2102"/>
  </r>
  <r>
    <s v="IMPORTADORA TRENTO LTDA"/>
    <s v="LOCAL PREMIUM CAR SALES"/>
    <n v="0"/>
    <n v="0"/>
    <s v=""/>
    <s v=""/>
    <s v=""/>
    <s v=""/>
    <s v="06-05-2026 18:05:59"/>
    <s v=""/>
    <s v="//.//+*+///++*..."/>
    <x v="10"/>
    <x v="18"/>
    <x v="19"/>
    <s v="NOI09"/>
    <x v="4"/>
    <n v="13500"/>
    <s v="TMISTWU000373"/>
    <x v="19"/>
    <s v="USADO"/>
    <s v="GRIS GRAFITO"/>
    <s v="POR DEFINIR"/>
    <n v="31590000"/>
    <s v="Disponible"/>
    <n v="27"/>
    <x v="4"/>
    <s v="PREMIUM CAR SALES"/>
    <s v="AE,CC,EE,NB,AAC,ABS,LL,VC,AISO,AAUTO,CRE,MAV,ACD,S"/>
    <s v="PR25 573855F"/>
    <s v="JMYXTGM4WSZ002020"/>
    <s v="LUIS GASTÓN ALCAYAGA NUÑEZ"/>
    <s v="06-05-2026 0:00:00"/>
    <n v="1"/>
    <s v="06-05-2026 0:00:00"/>
    <s v="06-05-2026 18:05:30"/>
    <s v=""/>
    <n v="1"/>
    <n v="0"/>
    <s v=""/>
    <n v="0"/>
    <n v="26300000"/>
    <n v="523740"/>
    <n v="0"/>
    <n v="26823740"/>
    <n v="31590000"/>
    <n v="4766260"/>
    <n v="1509"/>
  </r>
  <r>
    <s v="IMPORTADORA TRENTO LTDA"/>
    <s v="MEGACENTRO OVALLE"/>
    <n v="0"/>
    <n v="0"/>
    <s v=""/>
    <s v=""/>
    <s v=""/>
    <s v=""/>
    <s v="28-02-2026 16:17:28"/>
    <s v=""/>
    <s v="8AFBR01C4RJ372982"/>
    <x v="3"/>
    <x v="19"/>
    <x v="20"/>
    <s v="FORANXLT4X420MT"/>
    <x v="5"/>
    <n v="40100"/>
    <s v="TFOCMTU001156"/>
    <x v="20"/>
    <s v="USADO"/>
    <s v="GRIS MERCURIO"/>
    <s v="POR DEFINIR"/>
    <n v="28490000"/>
    <s v="Disponible"/>
    <n v="94"/>
    <x v="0"/>
    <s v="BODEGA OVALLEveih"/>
    <s v=""/>
    <s v="YN2X RJ372982"/>
    <s v="8AFBR01C4RJ372982"/>
    <s v="HECTOR LIAZ CAYULEF HUICHICOY"/>
    <s v="28-02-2026 0:00:00"/>
    <n v="1"/>
    <s v="28-02-2026 0:00:00"/>
    <s v="28-02-2026 16:16:52"/>
    <s v=""/>
    <n v="0"/>
    <n v="0"/>
    <s v=""/>
    <n v="0"/>
    <n v="24000000"/>
    <n v="877705"/>
    <n v="0"/>
    <n v="24877705"/>
    <n v="28490000"/>
    <n v="3612295"/>
    <n v="1268"/>
  </r>
  <r>
    <s v="IMPORTADORA TRENTO LTDA"/>
    <s v="LOCAL USADOS"/>
    <n v="0"/>
    <n v="0"/>
    <s v=""/>
    <s v=""/>
    <s v=""/>
    <s v=""/>
    <s v="28-02-2026 11:42:29"/>
    <s v=""/>
    <s v="1FM5K8FH7KGA98168"/>
    <x v="3"/>
    <x v="20"/>
    <x v="21"/>
    <s v="EXPUS1"/>
    <x v="9"/>
    <n v="84600"/>
    <s v="TFOSTWU001401"/>
    <x v="21"/>
    <s v="USADO"/>
    <s v="BLANCO METAL"/>
    <s v="POR DEFINIR"/>
    <n v="22990000"/>
    <s v="Disponible"/>
    <n v="94"/>
    <x v="3"/>
    <s v="BODEGA VEHICULOS"/>
    <s v=""/>
    <s v="KGA98168"/>
    <s v="1FM5K8FH7KGA98168"/>
    <s v="CLAUDIO VALENZUELA CELIS"/>
    <s v="28-02-2026 0:00:00"/>
    <n v="1"/>
    <s v="28-02-2026 0:00:00"/>
    <s v="28-02-2026 11:42:08"/>
    <s v=""/>
    <n v="0"/>
    <n v="0"/>
    <s v=""/>
    <n v="0"/>
    <n v="17000000"/>
    <n v="381030"/>
    <n v="0"/>
    <n v="17381030"/>
    <n v="22990000"/>
    <n v="5608970"/>
    <n v="244"/>
  </r>
  <r>
    <s v="IMPORTADORA TRENTO LTDA"/>
    <s v="MEGACENTRO OVALLE"/>
    <n v="0"/>
    <n v="0"/>
    <s v=""/>
    <s v=""/>
    <s v=""/>
    <s v=""/>
    <s v="07-05-2026 12:16:55"/>
    <s v=""/>
    <s v="VF3MRHNSM RS002587"/>
    <x v="0"/>
    <x v="21"/>
    <x v="22"/>
    <s v="3P1L"/>
    <x v="0"/>
    <n v="18500"/>
    <s v="TPESTWU000455"/>
    <x v="22"/>
    <s v="USADO"/>
    <s v="BLANCO NACARADO"/>
    <s v="POR DEFINIR"/>
    <n v="13690000"/>
    <s v="Disponible"/>
    <n v="26"/>
    <x v="4"/>
    <s v="BODEGA OVALLEveih"/>
    <s v="AE,CC,EE,AAC,ABS,LL,VC,AISO,AAUTO,CRE,MAV,SR,DLL,6"/>
    <s v="10Z1AJ0024780"/>
    <s v="VF3MRHNSM RS002587"/>
    <s v="PABLO ALEJANDRO IGNACIO FIGUEROA TELLO"/>
    <s v="07-05-2026 0:00:00"/>
    <n v="1"/>
    <s v="07-05-2026 0:00:00"/>
    <s v="07-05-2026 12:16:07"/>
    <s v="31-07-2027 0:00:00"/>
    <n v="2"/>
    <n v="0"/>
    <s v=""/>
    <n v="0"/>
    <n v="11200000"/>
    <n v="297240"/>
    <n v="0"/>
    <n v="11497240"/>
    <n v="13690000"/>
    <n v="2192760"/>
    <n v="1602"/>
  </r>
  <r>
    <s v="IMPORTADORA TRENTO LTDA"/>
    <s v="LOCAL USADOS COPIAPO"/>
    <n v="0"/>
    <n v="0"/>
    <s v=""/>
    <s v=""/>
    <s v=""/>
    <s v=""/>
    <s v="30-04-2026 16:45:15"/>
    <s v=""/>
    <s v="9FBHSRA95LM023521"/>
    <x v="13"/>
    <x v="22"/>
    <x v="23"/>
    <s v="124FG"/>
    <x v="2"/>
    <n v="95000"/>
    <s v="TRESTWU000047"/>
    <x v="23"/>
    <s v="USADO"/>
    <s v="GRIS ESTRELLA"/>
    <s v="POR DEFINIR"/>
    <n v="7690000"/>
    <s v="Disponible"/>
    <n v="33"/>
    <x v="3"/>
    <s v="BODEGA LOS CARRERA COPIAPO"/>
    <s v="AE,CC,EE,2AB,NB,ABS,LL,AC,AISO,MAV,SR,UD,DLL"/>
    <s v="K4M2842Q234165"/>
    <s v="9FBHSRA95LM023521"/>
    <s v="MIRIAM ELIANA ROJAS PAEZ"/>
    <s v="30-04-2026 0:00:00"/>
    <n v="1"/>
    <s v="30-04-2026 0:00:00"/>
    <s v="30-04-2026 16:43:05"/>
    <s v="30-06-2026 0:00:00"/>
    <n v="1"/>
    <n v="0"/>
    <s v=""/>
    <n v="0"/>
    <n v="5800000"/>
    <n v="0"/>
    <n v="0"/>
    <n v="5800000"/>
    <n v="7690000"/>
    <n v="1890000"/>
    <n v="2458"/>
  </r>
  <r>
    <s v="IMPORTADORA TRENTO LTDA"/>
    <s v="LOCAL USADOS COPIAPO"/>
    <n v="0"/>
    <n v="0"/>
    <s v=""/>
    <s v=""/>
    <s v=""/>
    <s v=""/>
    <s v="28-01-2026 17:28:07"/>
    <s v=""/>
    <s v="1FMCU0BZ6NUB03562"/>
    <x v="3"/>
    <x v="12"/>
    <x v="24"/>
    <s v="FOESFEHV20AT"/>
    <x v="0"/>
    <n v="45000"/>
    <s v="TFOSTWU001396"/>
    <x v="24"/>
    <s v="USADO"/>
    <s v="BLANCO METALICO"/>
    <s v="POR DEFINIR"/>
    <n v="19990000"/>
    <s v="Disponible"/>
    <n v="125"/>
    <x v="0"/>
    <s v="BODEGA LOS CARRERA COPIAPO"/>
    <s v="AE,CC,EE,AAC,ABS,LL,AISO,AAUTO,CRE,MAV,ACD,SR,UD,D"/>
    <s v="NUB03562"/>
    <s v="1FMCU0BZ6NUB03562"/>
    <s v="SOCIEDAD COMERCIAL HERMANOS GODOY ARAYA SPA"/>
    <s v="28-01-2026 0:00:00"/>
    <n v="1"/>
    <s v="28-01-2026 0:00:00"/>
    <s v="28-01-2026 17:22:31"/>
    <s v=""/>
    <n v="1"/>
    <n v="0"/>
    <s v=""/>
    <n v="0"/>
    <n v="17500000"/>
    <n v="388530"/>
    <n v="0"/>
    <n v="17888530"/>
    <n v="19990000"/>
    <n v="2101470"/>
    <n v="1051"/>
  </r>
  <r>
    <s v="IMPORTADORA TRENTO LTDA"/>
    <s v="LOCAL USADOS COPIAPO"/>
    <n v="0"/>
    <n v="0"/>
    <s v=""/>
    <s v=""/>
    <s v=""/>
    <s v=""/>
    <s v="06-02-2026 23:32:37"/>
    <s v=""/>
    <s v="98859125B TKS03533"/>
    <x v="7"/>
    <x v="10"/>
    <x v="25"/>
    <s v="RARAMCSLA4X420AT"/>
    <x v="4"/>
    <n v="16869"/>
    <s v="TRACMTU000050"/>
    <x v="25"/>
    <s v="USADO"/>
    <s v="PLATEADO PLATA BILLET"/>
    <s v="POR DEFINIR"/>
    <n v="31590000"/>
    <s v="Disponible"/>
    <n v="116"/>
    <x v="0"/>
    <s v="BODEGA LOS CARRERA COPIAPO"/>
    <s v="AE,CC,EE,AAC,ABS,LL,VC,AC,AISO,AAUTO,CRE,MAV,ACD,S"/>
    <s v="463495081880130"/>
    <s v="98859125B TKS03533"/>
    <s v="BERNARDO MAURICIO CORTES AVALOS"/>
    <s v="06-02-2026 0:00:00"/>
    <n v="60226"/>
    <s v="06-02-2026 0:00:00"/>
    <s v="06-02-2026 23:31:06"/>
    <s v=""/>
    <n v="0"/>
    <n v="0"/>
    <s v=""/>
    <n v="0"/>
    <n v="29000000"/>
    <n v="561030"/>
    <n v="0"/>
    <n v="29561030"/>
    <n v="31590000"/>
    <n v="2028970"/>
    <n v="642"/>
  </r>
  <r>
    <s v="IMPORTADORA TRENTO LTDA"/>
    <s v="LOCAL PREMIUM CAR SALES"/>
    <n v="0"/>
    <n v="0"/>
    <s v=""/>
    <s v=""/>
    <s v=""/>
    <s v=""/>
    <s v="28-02-2026 15:52:31"/>
    <s v=""/>
    <s v="LVVDB21B7 SC004108"/>
    <x v="14"/>
    <x v="23"/>
    <x v="26"/>
    <s v="JE7AWD16AT"/>
    <x v="4"/>
    <n v="7500"/>
    <s v="TJAESTWU000003"/>
    <x v="26"/>
    <s v="USADO"/>
    <s v="PLATEADO NEGRO"/>
    <s v="POR DEFINIR"/>
    <n v="17490000"/>
    <s v="Disponible"/>
    <n v="94"/>
    <x v="0"/>
    <s v="PREMIUM CAR SALES"/>
    <s v="AE,CC,EE,AAC,ABS,LL,AISO,ACP,AAUTO,CRE,MAV,ACD,SR,"/>
    <s v="SQRF4J16CAHRE00209"/>
    <s v="LVVDB21B7 SC004108"/>
    <s v="WILSON ELOY PIZARRO GERALDO"/>
    <s v="28-02-2026 0:00:00"/>
    <n v="1"/>
    <s v="28-02-2026 0:00:00"/>
    <s v="28-02-2026 15:51:53"/>
    <s v=""/>
    <n v="0"/>
    <n v="0"/>
    <s v=""/>
    <n v="0"/>
    <n v="15500000"/>
    <n v="358530"/>
    <n v="0"/>
    <n v="15858530"/>
    <n v="17490000"/>
    <n v="1631470"/>
    <n v="933"/>
  </r>
  <r>
    <s v="IMPORTADORA TRENTO LTDA"/>
    <s v="LOCAL PREMIUM CAR SALES"/>
    <n v="0"/>
    <n v="0"/>
    <s v=""/>
    <s v=""/>
    <s v=""/>
    <s v=""/>
    <s v="08-01-2026 15:20:40"/>
    <s v=""/>
    <s v="LGXC74C40R0005634"/>
    <x v="15"/>
    <x v="24"/>
    <x v="27"/>
    <s v="BYSONP15AT"/>
    <x v="5"/>
    <n v="30000"/>
    <s v="TBYSTWU000006"/>
    <x v="27"/>
    <s v="USADO"/>
    <s v="ROJO"/>
    <s v="POR DEFINIR"/>
    <n v="20990000"/>
    <s v="Disponible"/>
    <n v="145"/>
    <x v="0"/>
    <s v="PREMIUM CAR SALES"/>
    <s v="AE,CC,EE,AAC,ABS,LL,AISO,AAUTO,CRE,MAV,SR,UD,DLL,6"/>
    <s v="BYD472QA S23333377"/>
    <s v="LGXC74C40R0005634"/>
    <s v="EMILIO ANDRES ORDENES ROJAS"/>
    <s v="08-01-2026 0:00:00"/>
    <n v="1"/>
    <s v="08-01-2026 0:00:00"/>
    <s v="08-01-2026 15:16:26"/>
    <s v=""/>
    <n v="1"/>
    <n v="0"/>
    <s v=""/>
    <n v="0"/>
    <n v="20000000"/>
    <n v="524003"/>
    <n v="0"/>
    <n v="20524003"/>
    <n v="20990000"/>
    <n v="465997"/>
    <n v="222"/>
  </r>
  <r>
    <s v="IMPORTADORA TRENTO LTDA"/>
    <s v="LOCAL USADOS"/>
    <n v="0"/>
    <n v="0"/>
    <s v=""/>
    <s v=""/>
    <s v=""/>
    <s v=""/>
    <s v="17-02-2022 15:53:19"/>
    <s v=""/>
    <s v="VF3M45GZWJS004469"/>
    <x v="0"/>
    <x v="21"/>
    <x v="28"/>
    <s v="PALL7"/>
    <x v="7"/>
    <n v="120000"/>
    <s v="TPESTWU000279"/>
    <x v="28"/>
    <s v="USADO"/>
    <s v="GRIS HURRICANE"/>
    <s v="POR DEFINIR"/>
    <n v="14390000"/>
    <s v="Disponible"/>
    <n v="1566"/>
    <x v="3"/>
    <s v="BODEGA VEHICULOS"/>
    <s v="AE,CC,EE,2AB,NB,AAC,ABS,LL,TC,VC,4AB,ESP,CT,SS,AIS"/>
    <s v="10FJCC2346652"/>
    <s v="VF3M45GZWJS004469"/>
    <s v="OSCAR ARMANDO PIZARRO BEMBOW"/>
    <s v="17-02-2022 0:00:00"/>
    <n v="1"/>
    <s v="29-04-2022 19:24:00"/>
    <s v="29-04-2022 19:24:00"/>
    <s v=""/>
    <n v="0"/>
    <n v="0"/>
    <s v=""/>
    <n v="0"/>
    <n v="17650000"/>
    <n v="753678"/>
    <n v="0"/>
    <n v="18403678"/>
    <n v="14390000"/>
    <n v="-4013678"/>
    <n v="-2789"/>
  </r>
  <r>
    <s v="IMPORTADORA TRENTO LTDA"/>
    <s v="LOCAL PREMIUM CAR SALES"/>
    <n v="0"/>
    <n v="0"/>
    <s v=""/>
    <s v=""/>
    <s v=""/>
    <s v=""/>
    <s v="14-03-2023 10:52:12"/>
    <s v=""/>
    <s v="2FMPK4J94KBB16022"/>
    <x v="3"/>
    <x v="25"/>
    <x v="29"/>
    <s v="EDD900"/>
    <x v="9"/>
    <n v="55000"/>
    <s v="TFOSTWU001240"/>
    <x v="29"/>
    <s v="USADO"/>
    <s v="GRIS METALICO"/>
    <s v="POR DEFINIR"/>
    <n v="18490000"/>
    <s v="Disponible"/>
    <n v="1176"/>
    <x v="3"/>
    <s v="PREMIUM CAR SALES"/>
    <s v="AE,CC,EE,NB,AAC,ABS,LL,TC,VC,ESP,CT,SS,AISO,ACP,AA"/>
    <s v="KBB16022"/>
    <s v="2FMPK4J94KBB16022"/>
    <s v="BARBARA YEIME CEA URRIAGA"/>
    <s v="14-03-2023 0:00:00"/>
    <n v="1"/>
    <s v="14-03-2023 0:00:00"/>
    <s v="14-03-2023 10:51:51"/>
    <s v=""/>
    <n v="0"/>
    <n v="0"/>
    <s v=""/>
    <n v="0"/>
    <n v="18000000"/>
    <n v="673380"/>
    <n v="0"/>
    <n v="18673380"/>
    <n v="18490000"/>
    <n v="-183380"/>
    <n v="-99"/>
  </r>
  <r>
    <s v="IMPORTADORA TRENTO LTDA"/>
    <s v="LOCAL USADOS COPIAPO"/>
    <n v="0"/>
    <n v="0"/>
    <s v=""/>
    <s v=""/>
    <s v=""/>
    <s v=""/>
    <s v="22-01-2026 12:55:07"/>
    <s v=""/>
    <s v="KNARH81BHR5259144"/>
    <x v="9"/>
    <x v="26"/>
    <x v="30"/>
    <s v="KISO4WD2.2AT"/>
    <x v="5"/>
    <n v="37000"/>
    <s v="TKISTWU001330"/>
    <x v="30"/>
    <s v="USADO"/>
    <s v="GRIS ACERO"/>
    <s v="POR DEFINIR"/>
    <n v="33490000"/>
    <s v="Disponible"/>
    <n v="131"/>
    <x v="0"/>
    <s v="BODEGA LOS CARRERA COPIAPO"/>
    <s v="AE,CC,EE,AAC,ABS,LL,TC,VC,AISO,AAUTO,CRE,MAV,ACD,S"/>
    <s v="D4HEPH357028"/>
    <s v="KNARH81BHR5259144"/>
    <s v="OPERACIONES JORGE ALEJANDRO VARAS VARAS E.I.R.L"/>
    <s v="22-01-2026 0:00:00"/>
    <n v="1"/>
    <s v="22-01-2026 0:00:00"/>
    <s v="22-01-2026 12:54:40"/>
    <s v=""/>
    <n v="1"/>
    <n v="0"/>
    <s v=""/>
    <n v="0"/>
    <n v="28000000"/>
    <n v="1142194"/>
    <n v="0"/>
    <n v="29142194"/>
    <n v="33490000"/>
    <n v="4347806"/>
    <n v="1298"/>
  </r>
  <r>
    <s v="IMPORTADORA TRENTO LTDA"/>
    <s v="LOCAL PREMIUM CAR SALES"/>
    <n v="0"/>
    <n v="0"/>
    <s v=""/>
    <s v=""/>
    <s v=""/>
    <s v=""/>
    <s v="06-04-2026 15:27:31"/>
    <s v=""/>
    <s v="LPE19W2A6TF007924"/>
    <x v="15"/>
    <x v="27"/>
    <x v="31"/>
    <s v="BYDSHA15AT"/>
    <x v="4"/>
    <n v="20000"/>
    <s v="TBYCMTU000001"/>
    <x v="31"/>
    <s v="USADO"/>
    <s v="BLANCO"/>
    <s v="POR DEFINIR"/>
    <n v="36990000"/>
    <s v="Disponible"/>
    <n v="57"/>
    <x v="1"/>
    <s v="PREMIUM CAR SALES"/>
    <s v="AE,CC,EE,NB,AAC,ABS,LL,TC,AISO,AAUTO,CRE,ACD,SR,UD"/>
    <s v="BYD476ZQFT25007008"/>
    <s v="LPE19W2A6TF007924"/>
    <s v="SEGURIDAD PRIVADA Y ASEO INDUSTRIAL GUILLERMO DE JESUS NEIRA ARAYA SPA . ."/>
    <s v="06-04-2026 0:00:00"/>
    <n v="1"/>
    <s v="06-04-2026 0:00:00"/>
    <s v="06-04-2026 15:26:56"/>
    <s v=""/>
    <n v="1"/>
    <n v="0"/>
    <s v=""/>
    <n v="0"/>
    <n v="31627180"/>
    <n v="603648"/>
    <n v="0"/>
    <n v="32230828"/>
    <n v="36990000"/>
    <n v="4759172"/>
    <n v="1287"/>
  </r>
  <r>
    <s v="IMPORTADORA TRENTO LTDA"/>
    <s v="LOCAL USADOS COPIAPO"/>
    <n v="0"/>
    <n v="0"/>
    <s v=""/>
    <s v=""/>
    <s v=""/>
    <s v=""/>
    <s v="30-04-2026 10:10:05"/>
    <s v=""/>
    <s v="MALGT41DASM115787"/>
    <x v="4"/>
    <x v="9"/>
    <x v="32"/>
    <s v="20--ACC90"/>
    <x v="4"/>
    <n v="7193"/>
    <s v="THYAUTU000585"/>
    <x v="32"/>
    <s v="USADO"/>
    <s v="GRIS GRAFITO"/>
    <s v="POR DEFINIR"/>
    <n v="12890000"/>
    <s v="Disponible"/>
    <n v="33"/>
    <x v="1"/>
    <s v="BODEGA LOS CARRERA COPIAPO"/>
    <s v="AE,CC,EE,AAC,ABS,LL,VC,AISO,AAUTO,CRE,MAV,ACD,SR,U"/>
    <s v="G4FLRQ356179"/>
    <s v="MALGT41DASM115787"/>
    <s v="JESSICA DEL CARMEN CHILLA CAMPILLAY"/>
    <s v="30-04-2026 0:00:00"/>
    <n v="1"/>
    <s v="30-04-2026 0:00:00"/>
    <s v="30-04-2026 10:07:04"/>
    <s v=""/>
    <n v="1"/>
    <n v="0"/>
    <s v=""/>
    <n v="0"/>
    <n v="10350000"/>
    <n v="284490"/>
    <n v="0"/>
    <n v="10634490"/>
    <n v="12890000"/>
    <n v="2255510"/>
    <n v="175"/>
  </r>
  <r>
    <s v="IMPORTADORA TRENTO LTDA"/>
    <s v="LOCAL PREMIUM CAR SALES"/>
    <n v="0"/>
    <n v="0"/>
    <s v=""/>
    <s v=""/>
    <s v=""/>
    <s v=""/>
    <s v="06-04-2026 11:44:19"/>
    <s v=""/>
    <s v="1FTFW1E50 MFA34669"/>
    <x v="3"/>
    <x v="28"/>
    <x v="33"/>
    <s v="F150AUT"/>
    <x v="8"/>
    <n v="47500"/>
    <s v="TFOCMTU001159"/>
    <x v="33"/>
    <s v="USADO"/>
    <s v="ROJO METALICO"/>
    <s v="POR DEFINIR"/>
    <n v="31990000"/>
    <s v="Disponible"/>
    <n v="57"/>
    <x v="3"/>
    <s v="PREMIUM CAR SALES"/>
    <s v="AE,CC,EE,NB,AAC,ABS,LL,TC,VC,AISO,ACP,AAUTO,CRE,MA"/>
    <s v="MFA34669"/>
    <s v="1FTFW1E50 MFA34669"/>
    <s v="FREDDY ORLANDO ARIAS CHOQUE"/>
    <s v="06-04-2026 0:00:00"/>
    <n v="1"/>
    <s v="06-04-2026 0:00:00"/>
    <s v="06-04-2026 11:43:26"/>
    <s v="31-05-2026 0:00:00"/>
    <n v="1"/>
    <n v="0"/>
    <s v=""/>
    <n v="0"/>
    <n v="20000000"/>
    <n v="429240"/>
    <n v="0"/>
    <n v="20429240"/>
    <n v="31990000"/>
    <n v="11560760"/>
    <n v="3614"/>
  </r>
  <r>
    <s v="IMPORTADORA TRENTO LTDA"/>
    <s v="LOCAL PREMIUM CAR SALES"/>
    <n v="0"/>
    <n v="0"/>
    <s v=""/>
    <s v=""/>
    <s v=""/>
    <s v=""/>
    <s v="24-09-2025 17:50:46"/>
    <s v=""/>
    <s v="8AFBR01K1 RJ394381"/>
    <x v="3"/>
    <x v="19"/>
    <x v="34"/>
    <s v="RANGERDEV"/>
    <x v="5"/>
    <n v="69690"/>
    <s v="TFOCMTU001136"/>
    <x v="34"/>
    <s v="USADO"/>
    <s v="GRIS MERCURIO"/>
    <s v="POR DEFINIR"/>
    <n v="34990000"/>
    <s v="Disponible"/>
    <n v="251"/>
    <x v="0"/>
    <s v="PREMIUM CAR SALES"/>
    <s v="AE,CC,EE,AAC,ABS,LL,VC,AISO,AAUTO,CRE,MAV,ACD,SR,U"/>
    <s v="BF2X RJ394381"/>
    <s v="8AFBR01K1 RJ394381"/>
    <s v="DRILLING SERVICES AND SOLUTIONS SPA"/>
    <s v="24-09-2025 0:00:00"/>
    <n v="1"/>
    <s v="24-09-2025 0:00:00"/>
    <s v="24-09-2025 17:50:08"/>
    <s v=""/>
    <n v="1"/>
    <n v="0"/>
    <s v=""/>
    <n v="0"/>
    <n v="34000000"/>
    <n v="1178778"/>
    <n v="0"/>
    <n v="35178778"/>
    <n v="34990000"/>
    <n v="-188778"/>
    <n v="-54"/>
  </r>
  <r>
    <s v="IMPORTADORA TRENTO LTDA"/>
    <s v="MEGACENTRO OVALLE"/>
    <n v="0"/>
    <n v="0"/>
    <s v=""/>
    <s v=""/>
    <s v=""/>
    <s v=""/>
    <s v="02-01-2026 15:09:11"/>
    <s v=""/>
    <s v="VF3M45GZWJS004343"/>
    <x v="0"/>
    <x v="21"/>
    <x v="35"/>
    <s v="P7R9"/>
    <x v="7"/>
    <n v="95984"/>
    <s v="TPESTWU000443"/>
    <x v="35"/>
    <s v="USADO"/>
    <s v="ROJO ULTIMATE"/>
    <s v="POR DEFINIR"/>
    <n v="10490000"/>
    <s v="Disponible"/>
    <n v="151"/>
    <x v="3"/>
    <s v="BODEGA OVALLEveih"/>
    <s v="AE,CC,EE,ABS,LL,VC,AC,AISO,AAUTO,CRE,MAV,ACD,SR,UD"/>
    <s v="10FJCC2344377"/>
    <s v="VF3M45GZWJS004343"/>
    <s v="mario lagunas"/>
    <s v="02-01-2026 0:00:00"/>
    <n v="1"/>
    <s v="10-03-2026 22:23:00"/>
    <s v="10-03-2026 22:23:00"/>
    <s v="30-06-2026 0:00:00"/>
    <n v="1"/>
    <n v="0"/>
    <s v=""/>
    <n v="0"/>
    <n v="8800000"/>
    <n v="258030"/>
    <n v="0"/>
    <n v="9058030"/>
    <n v="10490000"/>
    <n v="1431970"/>
    <n v="1365"/>
  </r>
  <r>
    <s v="IMPORTADORA TRENTO LTDA"/>
    <s v="LOCAL USADOS COPIAPO"/>
    <n v="0"/>
    <n v="0"/>
    <s v=""/>
    <s v=""/>
    <s v=""/>
    <s v=""/>
    <s v="22-10-2025 9:20:00"/>
    <s v=""/>
    <s v="LVVDB11B7 MD082945"/>
    <x v="5"/>
    <x v="29"/>
    <x v="36"/>
    <s v="T315"/>
    <x v="8"/>
    <n v="40095"/>
    <s v="TCYSTWU000320"/>
    <x v="36"/>
    <s v="USADO"/>
    <s v="AZUL METALIZADO"/>
    <s v="POR DEFINIR"/>
    <n v="8190000"/>
    <s v="Disponible"/>
    <n v="223"/>
    <x v="5"/>
    <s v="BODEGA LOS CARRERA COPIAPO"/>
    <s v="AE,CC,EE,ABS,LL,4AB,AC,AISO,AAUTO,CRE,ACD,SR,UD,DL"/>
    <s v="SQRE4G15BATMC00062"/>
    <s v="LVVDB11B7 MD082945"/>
    <s v="MILENKA SUSANA NEGRON CABALLERO"/>
    <s v="22-10-2025 0:00:00"/>
    <n v="1"/>
    <s v="22-10-2025 0:00:00"/>
    <s v="22-10-2025 9:19:18"/>
    <s v="30-04-2026 0:00:00"/>
    <n v="1"/>
    <n v="0"/>
    <s v=""/>
    <n v="0"/>
    <n v="6200000"/>
    <n v="219030"/>
    <n v="0"/>
    <n v="6419030"/>
    <n v="8190000"/>
    <n v="1770970"/>
    <n v="2162"/>
  </r>
  <r>
    <s v="IMPORTADORA TRENTO LTDA"/>
    <s v="LOCAL PREMIUM CAR SALES"/>
    <n v="0"/>
    <n v="0"/>
    <s v=""/>
    <s v=""/>
    <s v=""/>
    <s v=""/>
    <s v="02-05-2022 18:10:07"/>
    <s v=""/>
    <s v="VF3MCYHZRLS003227"/>
    <x v="0"/>
    <x v="21"/>
    <x v="37"/>
    <s v="PCM10"/>
    <x v="9"/>
    <n v="31000"/>
    <s v="TPESTWU000283"/>
    <x v="37"/>
    <s v="USADO"/>
    <s v="BLANCO NACARADO"/>
    <s v="POR DEFINIR"/>
    <n v="14990000"/>
    <s v="Disponible"/>
    <n v="1492"/>
    <x v="3"/>
    <s v="PREMIUM CAR SALES"/>
    <s v="AE,CC,EE,NB,ABS,LL,AC,AISO,AAUTO,CRE,ACD,SR,DLL,6A"/>
    <s v="10Q3BC0371833"/>
    <s v="VF3MCYHZRLS003227"/>
    <s v="PRUDENCIA LEONELLY VALDIVIA PLAZA"/>
    <s v="02-05-2022 0:00:00"/>
    <n v="1"/>
    <s v="26-02-2025 17:20:00"/>
    <s v="26-02-2025 17:20:00"/>
    <s v=""/>
    <n v="0"/>
    <n v="0"/>
    <s v=""/>
    <n v="7"/>
    <n v="20000000"/>
    <n v="1051072"/>
    <n v="0"/>
    <n v="21051072"/>
    <n v="14990000"/>
    <n v="-6061072"/>
    <n v="-4043"/>
  </r>
  <r>
    <s v="IMPORTADORA TRENTO LTDA"/>
    <s v="LOCAL PDI"/>
    <n v="0"/>
    <n v="0"/>
    <s v=""/>
    <s v=""/>
    <s v=""/>
    <s v=""/>
    <s v="14-08-2018 18:36:12"/>
    <s v=""/>
    <s v="KNABE511AET622431"/>
    <x v="9"/>
    <x v="30"/>
    <x v="38"/>
    <s v="17--1416E4"/>
    <x v="1"/>
    <n v="50000"/>
    <s v="TKIAUTU001659"/>
    <x v="38"/>
    <s v="USADO"/>
    <s v="ROJO SIGNAL"/>
    <s v="POR DEFINIR"/>
    <n v="4390000"/>
    <s v="Disponible"/>
    <n v="2849"/>
    <x v="6"/>
    <s v="BODEGA PDI"/>
    <s v=""/>
    <s v="G3LADP101529"/>
    <s v="KNABE511AET622431"/>
    <s v="JUAN CARLOS MORALES GODOY"/>
    <s v="14-08-2018 0:00:00"/>
    <n v="0"/>
    <s v=""/>
    <s v=""/>
    <s v=""/>
    <n v="0"/>
    <n v="0"/>
    <s v=""/>
    <n v="1"/>
    <n v="0"/>
    <n v="1812732"/>
    <n v="0"/>
    <n v="1812732"/>
    <n v="4390000"/>
    <n v="2577268"/>
    <n v="5871"/>
  </r>
  <r>
    <s v="IMPORTADORA TRENTO LTDA"/>
    <s v="LOCAL PREMIUM CAR SALES"/>
    <n v="0"/>
    <n v="0"/>
    <s v=""/>
    <s v=""/>
    <s v=""/>
    <s v=""/>
    <s v="07-11-2023 9:03:21"/>
    <s v=""/>
    <s v="1FMJK1HT4GEF47400"/>
    <x v="3"/>
    <x v="31"/>
    <x v="39"/>
    <s v="RT7777"/>
    <x v="10"/>
    <n v="107300"/>
    <s v="TFOSTWU001266"/>
    <x v="39"/>
    <s v="USADO"/>
    <s v="NEGRO PROFUNDO"/>
    <s v="POR DEFINIR"/>
    <n v="15290000"/>
    <s v="Disponible"/>
    <n v="938"/>
    <x v="0"/>
    <s v="PREMIUM CAR SALES"/>
    <s v="AE,CC,EE,2AB,NB,ABS,LL,VC,4AB,ESP,AC,AISO,AAUTO,CR"/>
    <s v="GEF47400"/>
    <s v="1FMJK1HT4GEF47400"/>
    <s v="JEAN PAUL GALLEGOS ARRAÑO"/>
    <s v="07-11-2023 0:00:00"/>
    <n v="1"/>
    <s v="29-12-2023 18:16:00"/>
    <s v="29-12-2023 18:16:00"/>
    <s v=""/>
    <n v="0"/>
    <n v="0"/>
    <s v=""/>
    <n v="0"/>
    <n v="18000000"/>
    <n v="961786"/>
    <n v="0"/>
    <n v="18961786"/>
    <n v="15290000"/>
    <n v="-3671786"/>
    <n v="-2401"/>
  </r>
  <r>
    <s v="IMPORTADORA TRENTO LTDA"/>
    <s v="LOCAL PREMIUM CAR SALES"/>
    <n v="0"/>
    <n v="0"/>
    <s v=""/>
    <s v=""/>
    <s v=""/>
    <s v=""/>
    <s v="23-10-2025 13:59:01"/>
    <s v=""/>
    <s v="/////+*+///++*..."/>
    <x v="12"/>
    <x v="32"/>
    <x v="40"/>
    <s v="SIL4X4"/>
    <x v="0"/>
    <n v="44495"/>
    <s v="TCHCMTU000483"/>
    <x v="40"/>
    <s v="USADO"/>
    <s v="NEGRO"/>
    <s v="POR DEFINIR"/>
    <n v="49990000"/>
    <s v="Disponible"/>
    <n v="222"/>
    <x v="0"/>
    <s v="PREMIUM CAR SALES"/>
    <s v=""/>
    <s v="LM2 TNG625504"/>
    <s v="3GCUD9ET6 NG625504"/>
    <s v="IMPORTADORA TRENTO LTDA"/>
    <s v="23-10-2025 0:00:00"/>
    <n v="1"/>
    <s v="20-11-2025 0:00:00"/>
    <s v="20-11-2025 19:37:03"/>
    <s v=""/>
    <n v="4"/>
    <n v="0"/>
    <s v=""/>
    <n v="0"/>
    <n v="48000000"/>
    <n v="846030"/>
    <n v="0"/>
    <n v="48846030"/>
    <n v="49990000"/>
    <n v="1143970"/>
    <n v="229"/>
  </r>
  <r>
    <s v="IMPORTADORA TRENTO LTDA"/>
    <s v="MEGACENTRO OVALLE"/>
    <n v="0"/>
    <n v="0"/>
    <s v=""/>
    <s v=""/>
    <s v=""/>
    <s v=""/>
    <s v="22-04-2026 17:42:39"/>
    <s v=""/>
    <s v="KMHJB81DB RU268314"/>
    <x v="4"/>
    <x v="9"/>
    <x v="41"/>
    <s v="HT01"/>
    <x v="5"/>
    <n v="25840"/>
    <s v="THYSTWU000553"/>
    <x v="41"/>
    <s v="USADO"/>
    <s v="NEGRO"/>
    <s v="POR DEFINIR"/>
    <n v="19990000"/>
    <s v="Disponible"/>
    <n v="41"/>
    <x v="0"/>
    <s v="BODEGA OVALLEveih"/>
    <s v="AE,CC,EE,AAC,ABS,LL,AISO,AAUTO,CRE,MAV,ACD,SR,UD,D"/>
    <s v="G4NLPU935907"/>
    <s v="KMHJB81DB RU268314"/>
    <s v="SAMUEL ALEJANDRO PULGAR LOPEZ"/>
    <s v="22-04-2026 0:00:00"/>
    <n v="1"/>
    <s v="22-04-2026 0:00:00"/>
    <s v="22-04-2026 17:42:12"/>
    <s v=""/>
    <n v="1"/>
    <n v="0"/>
    <s v=""/>
    <n v="0"/>
    <n v="17200000"/>
    <n v="387240"/>
    <n v="0"/>
    <n v="17587240"/>
    <n v="19990000"/>
    <n v="2402760"/>
    <n v="1202"/>
  </r>
  <r>
    <s v="IMPORTADORA TRENTO LTDA"/>
    <s v="LOCAL PREMIUM CAR SALES"/>
    <n v="0"/>
    <n v="0"/>
    <s v=""/>
    <s v=""/>
    <s v=""/>
    <s v=""/>
    <s v="06-05-2026 18:11:52"/>
    <s v=""/>
    <s v="1FMCU9JZ4PUA50384"/>
    <x v="3"/>
    <x v="12"/>
    <x v="24"/>
    <s v="FOESFEHV20AT"/>
    <x v="5"/>
    <n v="52000"/>
    <s v="TFOSTWU001410"/>
    <x v="42"/>
    <s v="USADO"/>
    <s v="AZUL ATLAS"/>
    <s v="POR DEFINIR"/>
    <n v="23590000"/>
    <s v="Disponible"/>
    <n v="27"/>
    <x v="3"/>
    <s v="PREMIUM CAR SALES"/>
    <s v="AE,CC,EE,AAC,ABS,LL,VC,SS,AISO,ACP,AAUTO,CRE,MAV,A"/>
    <s v="PUA50384"/>
    <s v="1FMCU9JZ4PUA50384"/>
    <s v="RAUL LUIS ARQUEROS ARANCIBIA"/>
    <s v="06-05-2026 0:00:00"/>
    <n v="1"/>
    <s v="06-05-2026 0:00:00"/>
    <s v="06-05-2026 18:11:32"/>
    <s v=""/>
    <n v="1"/>
    <n v="0"/>
    <s v=""/>
    <n v="0"/>
    <n v="18900000"/>
    <n v="412740"/>
    <n v="0"/>
    <n v="19312740"/>
    <n v="23590000"/>
    <n v="4277260"/>
    <n v="1813"/>
  </r>
  <r>
    <s v="IMPORTADORA TRENTO LTDA"/>
    <s v="LOCAL USADOS COPIAPO"/>
    <n v="0"/>
    <n v="0"/>
    <s v=""/>
    <s v=""/>
    <s v=""/>
    <s v=""/>
    <s v="06-04-2026 11:01:03"/>
    <s v=""/>
    <s v="JS3TD04V3K4101439"/>
    <x v="16"/>
    <x v="33"/>
    <x v="42"/>
    <s v="SZGRANNOGLX24AT"/>
    <x v="2"/>
    <n v="63000"/>
    <s v="TSZSTWU000469"/>
    <x v="43"/>
    <s v="USADO"/>
    <s v="NEGRO"/>
    <s v="POR DEFINIR"/>
    <n v="11990000"/>
    <s v="Disponible"/>
    <n v="57"/>
    <x v="0"/>
    <s v="BODEGA LOS CARRERA COPIAPO"/>
    <s v="AE,CC,EE,ABS,LL,AC,AISO,AAUTO,CRE,MAV,ACD,UD,DLL"/>
    <s v="J24B-1339542"/>
    <s v="JS3TD04V3K4101439"/>
    <s v="JENNIFER JOHANNA TAPIA AGUILERA"/>
    <s v="06-04-2026 0:00:00"/>
    <n v="1"/>
    <s v="06-04-2026 0:00:00"/>
    <s v="06-04-2026 11:00:30"/>
    <s v=""/>
    <n v="1"/>
    <n v="0"/>
    <s v=""/>
    <n v="0"/>
    <n v="9100000"/>
    <n v="265740"/>
    <n v="0"/>
    <n v="9365740"/>
    <n v="11990000"/>
    <n v="2624260"/>
    <n v="2189"/>
  </r>
  <r>
    <s v="IMPORTADORA TRENTO LTDA"/>
    <s v="LOCAL USADOS COPIAPO"/>
    <n v="0"/>
    <n v="0"/>
    <s v=""/>
    <s v=""/>
    <s v=""/>
    <s v=""/>
    <s v="01-06-2026 17:51:47"/>
    <s v=""/>
    <s v="LS4ASJ2E2NA986230"/>
    <x v="17"/>
    <x v="34"/>
    <x v="43"/>
    <s v=""/>
    <x v="3"/>
    <n v="75000"/>
    <s v="TCGSTWU000033"/>
    <x v="44"/>
    <s v="USADO"/>
    <s v="BLANCO"/>
    <s v="POR DEFINIR"/>
    <n v="9490000"/>
    <s v="Disponible"/>
    <n v="1"/>
    <x v="4"/>
    <s v="BODEGA LOS CARRERA COPIAPO"/>
    <s v="AE,CC,EE,NB,ABS,LL,4AB,AC,AISO,AAUTO,CRE,MAV,ACD,S"/>
    <s v="JL476ZQCCMCRB001989"/>
    <s v="LS4ASJ2E2NA986230"/>
    <s v="ISMAEL ENRIQUE OLIVARES RAMOS"/>
    <s v="01-06-2026 0:00:00"/>
    <n v="1"/>
    <s v="01-06-2026 0:00:00"/>
    <s v="01-06-2026 17:36:46"/>
    <s v=""/>
    <n v="1"/>
    <n v="0"/>
    <s v=""/>
    <n v="0"/>
    <n v="7100000"/>
    <n v="0"/>
    <n v="0"/>
    <n v="7100000"/>
    <n v="9490000"/>
    <n v="2390000"/>
    <n v="2518"/>
  </r>
  <r>
    <s v="IMPORTADORA TRENTO LTDA"/>
    <s v="LOCAL PREMIUM CAR SALES"/>
    <n v="0"/>
    <n v="0"/>
    <s v=""/>
    <s v=""/>
    <s v=""/>
    <s v=""/>
    <s v="06-04-2026 18:13:21"/>
    <s v=""/>
    <s v="1FTFW1E52 PFB48046"/>
    <x v="3"/>
    <x v="28"/>
    <x v="44"/>
    <s v="F11111"/>
    <x v="5"/>
    <n v="13800"/>
    <s v="TFOCMTU001160"/>
    <x v="45"/>
    <s v="USADO"/>
    <s v="BLANCO OXFORD"/>
    <s v="POR DEFINIR"/>
    <n v="36490000"/>
    <s v="Disponible"/>
    <n v="57"/>
    <x v="0"/>
    <s v="PREMIUM CAR SALES"/>
    <s v="AE,CC,EE,NB,AAC,ABS,LL,TC,VC,SS,AISO,ACP,AAUTO,CRE"/>
    <s v="PFB48046"/>
    <s v="1FTFW1E52 PFB48046"/>
    <s v="TIERNA DAFNE KENDALL VASQUEZ"/>
    <s v="06-04-2026 0:00:00"/>
    <n v="1"/>
    <s v="06-04-2026 0:00:00"/>
    <s v="06-04-2026 18:11:36"/>
    <s v=""/>
    <n v="1"/>
    <n v="0"/>
    <s v=""/>
    <n v="0"/>
    <n v="31300000"/>
    <n v="598740"/>
    <n v="0"/>
    <n v="31898740"/>
    <n v="36490000"/>
    <n v="4591260"/>
    <n v="1258"/>
  </r>
  <r>
    <s v="IMPORTADORA TRENTO LTDA"/>
    <s v="LOCAL SALAMANCA"/>
    <n v="0"/>
    <n v="0"/>
    <s v=""/>
    <s v=""/>
    <s v=""/>
    <s v=""/>
    <s v="16-05-2026 13:31:20"/>
    <s v=""/>
    <s v="/////+/+///++*.*."/>
    <x v="6"/>
    <x v="35"/>
    <x v="45"/>
    <s v="JAJS4LUX15MT"/>
    <x v="5"/>
    <n v="8249"/>
    <s v="TJASTWU000025"/>
    <x v="46"/>
    <s v="USADO"/>
    <s v="ROJO"/>
    <s v="POR DEFINIR"/>
    <n v="10490000"/>
    <s v="Disponible"/>
    <n v="17"/>
    <x v="0"/>
    <s v="BODEGA VEHICULOS"/>
    <s v="AE,CC,EE,AAC,ABS,LL,AISO,AAUTO,CRE,MAV,SR,UD,DLL,6"/>
    <s v="R3305832"/>
    <s v="LJ12EKS31S4700355"/>
    <s v="ANDREA CAROLINA VILCHES ABARCA"/>
    <s v="16-05-2026 0:00:00"/>
    <n v="1"/>
    <s v="16-05-2026 0:00:00"/>
    <s v="16-05-2026 13:29:04"/>
    <s v=""/>
    <n v="1"/>
    <n v="0"/>
    <s v=""/>
    <n v="0"/>
    <n v="8500000"/>
    <n v="0"/>
    <n v="0"/>
    <n v="8500000"/>
    <n v="10490000"/>
    <n v="1990000"/>
    <n v="1897"/>
  </r>
  <r>
    <s v="IMPORTADORA TRENTO LTDA"/>
    <s v="LOCAL PREMIUM CAR SALES"/>
    <n v="0"/>
    <n v="0"/>
    <s v=""/>
    <s v=""/>
    <s v=""/>
    <s v=""/>
    <s v="30-05-2025 23:11:48"/>
    <s v=""/>
    <s v="/////+++++****..."/>
    <x v="18"/>
    <x v="36"/>
    <x v="46"/>
    <s v="ASTR77"/>
    <x v="0"/>
    <n v="45836"/>
    <s v="TNISTWU000581"/>
    <x v="47"/>
    <s v="USADO"/>
    <s v="GRIS METALICO"/>
    <s v="POR DEFINIR"/>
    <n v="17290000"/>
    <s v="Disponible"/>
    <n v="368"/>
    <x v="0"/>
    <s v="PREMIUM CAR SALES"/>
    <s v="AE,CC,EE,2AB,ABS,LL,VC,AC,AISO,AAUTO,CRE,SR,UD,DLL"/>
    <s v="HR13510927A"/>
    <s v="SJNTAAJ12PA169942"/>
    <s v="RODRIGO ANDRES LEDESMA RITCHIE"/>
    <s v="30-05-2025 0:00:00"/>
    <n v="1"/>
    <s v="30-05-2025 0:00:00"/>
    <s v="30-05-2025 23:10:29"/>
    <s v=""/>
    <n v="1"/>
    <n v="0"/>
    <s v=""/>
    <n v="0"/>
    <n v="17500000"/>
    <n v="598467"/>
    <n v="0"/>
    <n v="18098467"/>
    <n v="17290000"/>
    <n v="-808467"/>
    <n v="-468"/>
  </r>
  <r>
    <s v="IMPORTADORA TRENTO LTDA"/>
    <s v="LOCAL PREMIUM CAR SALES"/>
    <n v="0"/>
    <n v="0"/>
    <s v=""/>
    <s v=""/>
    <s v=""/>
    <s v=""/>
    <s v="07-01-2026 10:30:07"/>
    <s v=""/>
    <s v="MPBAR2F18 PX515886"/>
    <x v="3"/>
    <x v="19"/>
    <x v="47"/>
    <s v="FORNGRP30AT"/>
    <x v="5"/>
    <n v="30900"/>
    <s v="TFOCMTU001149"/>
    <x v="48"/>
    <s v="USADO"/>
    <s v="NARANJO NARANJA TIERRA"/>
    <s v="POR DEFINIR"/>
    <n v="43990000"/>
    <s v="Disponible"/>
    <n v="146"/>
    <x v="0"/>
    <s v="PREMIUM CAR SALES"/>
    <s v="AE,CC,EE,NB,AAC,ABS,LL,VC,AISO,AAUTO,CRE,MAV,ACD,S"/>
    <s v="DD2XPX515886"/>
    <s v="MPBAR2F18 PX515886"/>
    <s v="SERVICIOS ASEO AMC SPA"/>
    <s v="07-01-2026 0:00:00"/>
    <n v="1"/>
    <s v="07-01-2026 0:00:00"/>
    <s v="09-04-2026 10:27:26"/>
    <s v=""/>
    <n v="1"/>
    <n v="0"/>
    <s v=""/>
    <n v="0"/>
    <n v="39300000"/>
    <n v="718740"/>
    <n v="0"/>
    <n v="40018740"/>
    <n v="43990000"/>
    <n v="3971260"/>
    <n v="903"/>
  </r>
  <r>
    <s v="IMPORTADORA TRENTO LTDA"/>
    <s v="LOCAL USADOS COPIAPO"/>
    <n v="0"/>
    <n v="0"/>
    <s v=""/>
    <s v=""/>
    <s v=""/>
    <s v=""/>
    <s v="02-01-2026 16:34:09"/>
    <s v=""/>
    <s v="KPTE0A1YS PP010412"/>
    <x v="19"/>
    <x v="37"/>
    <x v="48"/>
    <s v="SSTO4X215MT"/>
    <x v="5"/>
    <n v="35150"/>
    <s v="TSYSTWU000339"/>
    <x v="49"/>
    <s v="USADO"/>
    <s v="AZUL METALICO"/>
    <s v="POR DEFINIR"/>
    <n v="18690000"/>
    <s v="Disponible"/>
    <n v="151"/>
    <x v="0"/>
    <s v="BODEGA LOS CARRERA COPIAPO"/>
    <s v="AE,CC,EE,NB,AAC,ABS,LL,VC,AISO,AAUTO,CRE,MAV,ACD,S"/>
    <s v="17595000015783"/>
    <s v="KPTE0A1YS PP010412"/>
    <s v="GONZALO ANTONIO DELGADO COFRÉ"/>
    <s v="02-01-2026 0:00:00"/>
    <n v="1"/>
    <s v="02-01-2026 0:00:00"/>
    <s v="02-01-2026 16:33:28"/>
    <s v=""/>
    <n v="1"/>
    <n v="0"/>
    <s v=""/>
    <n v="0"/>
    <n v="16400000"/>
    <n v="372030"/>
    <n v="0"/>
    <n v="16772030"/>
    <n v="18690000"/>
    <n v="1917970"/>
    <n v="1026"/>
  </r>
  <r>
    <s v="IMPORTADORA TRENTO LTDA"/>
    <s v="LOCAL USADOS COPIAPO"/>
    <n v="0"/>
    <n v="0"/>
    <s v=""/>
    <s v=""/>
    <s v=""/>
    <s v=""/>
    <s v="24-04-2026 18:17:03"/>
    <s v=""/>
    <s v="KNAPV81DB P7090666"/>
    <x v="9"/>
    <x v="38"/>
    <x v="49"/>
    <s v="TY100"/>
    <x v="0"/>
    <n v="43000"/>
    <s v="TKISTWU001339"/>
    <x v="50"/>
    <s v="USADO"/>
    <s v="GRIS ACERO"/>
    <s v="POR DEFINIR"/>
    <n v="19990000"/>
    <s v="Disponible"/>
    <n v="39"/>
    <x v="1"/>
    <s v="BODEGA LOS CARRERA COPIAPO"/>
    <s v="AE,CC,EE,AAC,ABS,LL,VC,AISO,AAUTO,CRE,MAV,ACD,SR,U"/>
    <s v="G4NLMH010969"/>
    <s v="KNAPV81DB P7090666"/>
    <s v="ATALIA NAZARET QUINTEROS CORTES"/>
    <s v="24-04-2026 0:00:00"/>
    <n v="1"/>
    <s v="24-04-2026 0:00:00"/>
    <s v="24-04-2026 18:16:25"/>
    <s v="30-04-2028 0:00:00"/>
    <n v="1"/>
    <n v="0"/>
    <s v=""/>
    <n v="0"/>
    <n v="17000000"/>
    <n v="384240"/>
    <n v="0"/>
    <n v="17384240"/>
    <n v="19990000"/>
    <n v="2605760"/>
    <n v="1304"/>
  </r>
  <r>
    <s v="IMPORTADORA TRENTO LTDA"/>
    <s v="LOCAL PREMIUM CAR SALES"/>
    <n v="0"/>
    <n v="0"/>
    <s v=""/>
    <s v=""/>
    <s v=""/>
    <s v=""/>
    <s v="18-02-2026 10:03:09"/>
    <s v=""/>
    <s v="///-*/*-.+-*/.+//"/>
    <x v="7"/>
    <x v="10"/>
    <x v="50"/>
    <s v="RA1500REBDC4X457AT"/>
    <x v="3"/>
    <n v="72237"/>
    <s v="TRACMTU000051"/>
    <x v="51"/>
    <s v="USADO"/>
    <s v="NEGRO METALICO"/>
    <s v="POR DEFINIR"/>
    <n v="35990000"/>
    <s v="Disponible"/>
    <n v="104"/>
    <x v="0"/>
    <s v="PREMIUM CAR SALES"/>
    <s v=""/>
    <s v="NN224561"/>
    <s v="1C6SRFLT6NN224561"/>
    <s v="SERVICIOS A LA MINERIA OMINT SPA"/>
    <s v="18-02-2026 0:00:00"/>
    <n v="1"/>
    <s v="18-02-2026 0:00:00"/>
    <s v="18-02-2026 10:02:46"/>
    <s v=""/>
    <n v="0"/>
    <n v="0"/>
    <s v=""/>
    <n v="0"/>
    <n v="30400000"/>
    <n v="582030"/>
    <n v="0"/>
    <n v="30982030"/>
    <n v="35990000"/>
    <n v="5007970"/>
    <n v="1391"/>
  </r>
  <r>
    <s v="IMPORTADORA TRENTO LTDA"/>
    <s v="LOCAL PREMIUM CAR SALES"/>
    <n v="0"/>
    <n v="0"/>
    <s v=""/>
    <s v=""/>
    <s v=""/>
    <s v=""/>
    <s v="07-05-2026 12:06:20"/>
    <s v=""/>
    <s v="LVTDB11B9ND037466"/>
    <x v="5"/>
    <x v="5"/>
    <x v="51"/>
    <s v="TIIII8"/>
    <x v="3"/>
    <n v="30000"/>
    <s v="TCYSTWU000353"/>
    <x v="52"/>
    <s v="USADO"/>
    <s v="AZUL OSCURO"/>
    <s v="POR DEFINIR"/>
    <n v="11490000"/>
    <s v="Disponible"/>
    <n v="26"/>
    <x v="4"/>
    <s v="PREMIUM CAR SALES"/>
    <s v="AE,CC,EE,ABS,LL,4AB,AC,AISO,AAUTO,CRE,MAV,ACD,SR,U"/>
    <s v="SQRE4T15BALML00187"/>
    <s v="LVTDB11B9ND037466"/>
    <s v="ANGEL ANTONIO YEPEZ RASSE"/>
    <s v="07-05-2026 0:00:00"/>
    <n v="1"/>
    <s v="07-05-2026 0:00:00"/>
    <s v="07-05-2026 12:02:35"/>
    <s v=""/>
    <n v="1"/>
    <n v="0"/>
    <s v=""/>
    <n v="0"/>
    <n v="9500000"/>
    <n v="271740"/>
    <n v="0"/>
    <n v="9771740"/>
    <n v="11490000"/>
    <n v="1718260"/>
    <n v="1495"/>
  </r>
  <r>
    <s v="IMPORTADORA TRENTO LTDA"/>
    <s v="LOCAL USADOS COPIAPO"/>
    <n v="0"/>
    <n v="0"/>
    <s v=""/>
    <s v=""/>
    <s v=""/>
    <s v=""/>
    <s v="15-07-2025 13:46:05"/>
    <s v=""/>
    <s v="KPT60A1USMP040811"/>
    <x v="19"/>
    <x v="39"/>
    <x v="52"/>
    <s v="NK80"/>
    <x v="8"/>
    <n v="75000"/>
    <s v="TSYSTWU000337"/>
    <x v="53"/>
    <s v="USADO"/>
    <s v="BLANCO"/>
    <s v="POR DEFINIR"/>
    <n v="12990000"/>
    <s v="Disponible"/>
    <n v="322"/>
    <x v="3"/>
    <s v="BODEGA LOS CARRERA COPIAPO"/>
    <s v="AE,CC,EE,ABS,LL,VC,4AB,AC,AISO,AAUTO,CRE,SR,DLL"/>
    <s v="67391002105133"/>
    <s v="KPT60A1USMP040811"/>
    <s v="CAROLINA MARICELA PIZARRO CASTRO"/>
    <s v="15-07-2025 0:00:00"/>
    <n v="1"/>
    <s v="15-07-2025 0:00:00"/>
    <s v="15-07-2025 13:45:17"/>
    <s v="30-04-2026 0:00:00"/>
    <n v="2"/>
    <n v="0"/>
    <s v=""/>
    <n v="0"/>
    <n v="11000000"/>
    <n v="443877"/>
    <n v="0"/>
    <n v="11443877"/>
    <n v="12990000"/>
    <n v="1546123"/>
    <n v="119"/>
  </r>
  <r>
    <s v="IMPORTADORA TRENTO LTDA"/>
    <s v="LOCAL PREMIUM CAR SALES"/>
    <n v="0"/>
    <n v="0"/>
    <s v=""/>
    <s v=""/>
    <s v=""/>
    <s v=""/>
    <s v="18-03-2026 18:56:36"/>
    <s v=""/>
    <s v="8AFAR22Z9PJ320092"/>
    <x v="3"/>
    <x v="19"/>
    <x v="53"/>
    <s v="01--TFOCMTU216"/>
    <x v="0"/>
    <n v="70000"/>
    <s v="TFOCMTU001157"/>
    <x v="54"/>
    <s v="USADO"/>
    <s v="BLANCO"/>
    <s v="POR DEFINIR"/>
    <n v="17990000"/>
    <s v="Disponible"/>
    <n v="76"/>
    <x v="0"/>
    <s v="PREMIUM CAR SALES"/>
    <s v="AE,CC,EE,AAC,ABS,LL,VC,AISO,AAUTO,CRE,MAV,ACD,SR,D"/>
    <s v="EV2S PJ320092"/>
    <s v="8AFAR22Z9PJ320092"/>
    <s v="EVENTOS GUAYACAN SPA"/>
    <s v="18-03-2026 0:00:00"/>
    <n v="1"/>
    <s v="18-03-2026 0:00:00"/>
    <s v="18-03-2026 18:56:05"/>
    <s v="30-04-2026 0:00:00"/>
    <n v="1"/>
    <n v="0"/>
    <s v=""/>
    <n v="0"/>
    <n v="14500000"/>
    <n v="343530"/>
    <n v="0"/>
    <n v="14843530"/>
    <n v="17990000"/>
    <n v="3146470"/>
    <n v="1749"/>
  </r>
  <r>
    <s v="IMPORTADORA TRENTO LTDA"/>
    <s v="LOCAL USADOS COPIAPO"/>
    <n v="0"/>
    <n v="0"/>
    <s v=""/>
    <s v=""/>
    <s v=""/>
    <s v=""/>
    <s v="30-04-2026 16:15:08"/>
    <s v=""/>
    <s v="LGWEE4A59PK600630"/>
    <x v="2"/>
    <x v="40"/>
    <x v="54"/>
    <s v="HAJOL15AT"/>
    <x v="3"/>
    <n v="58239"/>
    <s v="THASTWU000023"/>
    <x v="55"/>
    <s v="USADO"/>
    <s v="ROJO"/>
    <s v="POR DEFINIR"/>
    <n v="12490000"/>
    <s v="Disponible"/>
    <n v="33"/>
    <x v="0"/>
    <s v="BODEGA LOS CARRERA COPIAPO"/>
    <s v="AE,CC,EE,AAC,ABS,LL,VC,AISO,AAUTO,CRE,MAV,ACD,SR,U"/>
    <s v="GW4G15K21499027556"/>
    <s v="LGWEE4A59PK600630"/>
    <s v="MARIA JOSE CASTILLO ARAYA"/>
    <s v="30-04-2026 0:00:00"/>
    <n v="1"/>
    <s v="30-04-2026 0:00:00"/>
    <s v="30-04-2026 16:09:10"/>
    <s v=""/>
    <n v="1"/>
    <n v="0"/>
    <s v=""/>
    <n v="0"/>
    <n v="10100000"/>
    <n v="280740"/>
    <n v="0"/>
    <n v="10380740"/>
    <n v="12490000"/>
    <n v="2109260"/>
    <n v="1689"/>
  </r>
  <r>
    <s v="IMPORTADORA TRENTO LTDA"/>
    <s v="LOCAL PREMIUM CAR SALES"/>
    <n v="0"/>
    <n v="0"/>
    <s v=""/>
    <s v=""/>
    <s v=""/>
    <s v=""/>
    <s v="06-04-2026 12:02:41"/>
    <s v=""/>
    <s v="LVVDB21B5SC004219"/>
    <x v="14"/>
    <x v="23"/>
    <x v="26"/>
    <s v="JE7AWD16AT"/>
    <x v="6"/>
    <n v="6400"/>
    <s v="TJAESTWU000004"/>
    <x v="56"/>
    <s v="USADO"/>
    <s v="GRIS ARTEMIS"/>
    <s v="POR DEFINIR"/>
    <n v="16490000"/>
    <s v="Disponible"/>
    <n v="57"/>
    <x v="0"/>
    <s v="PREMIUM CAR SALES"/>
    <s v="AE,CC,EE,AAC,ABS,LL,TC,AISO,AAUTO,CRE,MAV,ACD,SR,U"/>
    <s v="SQRF4J16CAHRE00160"/>
    <s v="LVVDB21B5 SC004219"/>
    <s v="JOSE LUIS ALE DAIRE CALLEGARI"/>
    <s v="06-04-2026 0:00:00"/>
    <n v="1"/>
    <s v="06-04-2026 0:00:00"/>
    <s v="06-04-2026 12:01:30"/>
    <s v=""/>
    <n v="1"/>
    <n v="0"/>
    <s v=""/>
    <n v="0"/>
    <n v="14500000"/>
    <n v="346740"/>
    <n v="0"/>
    <n v="14846740"/>
    <n v="16490000"/>
    <n v="1643260"/>
    <n v="997"/>
  </r>
  <r>
    <s v="IMPORTADORA TRENTO LTDA"/>
    <s v="LOCAL PDI"/>
    <n v="0"/>
    <n v="0"/>
    <s v=""/>
    <s v=""/>
    <s v=""/>
    <s v=""/>
    <s v="03-01-2017 1:36:33"/>
    <s v=""/>
    <s v="KNCSJX76AF7939699"/>
    <x v="9"/>
    <x v="41"/>
    <x v="55"/>
    <s v="17--1336"/>
    <x v="11"/>
    <n v="0"/>
    <s v="TKICMTN000002"/>
    <x v="57"/>
    <s v="USADO"/>
    <s v="BLANCO INVIERNO"/>
    <s v="NO DEFINIDO"/>
    <n v="14800000"/>
    <s v="Disponible"/>
    <n v="3858"/>
    <x v="6"/>
    <s v="BODEGA PDI"/>
    <s v=""/>
    <s v="D4CBF677399"/>
    <s v="KNCSJX76AF7939699"/>
    <s v="SERVICIOS DE INGENIERIA Y MINERIA SPA"/>
    <s v="09-11-2015 0:00:00"/>
    <n v="23832"/>
    <s v="10-11-2015 0:00:00"/>
    <s v="12-11-2020 15:42:13"/>
    <s v="09-11-2015 0:00:00"/>
    <n v="0"/>
    <n v="0"/>
    <s v=""/>
    <n v="0"/>
    <n v="323597"/>
    <n v="3165631"/>
    <n v="0"/>
    <n v="3489228"/>
    <n v="14800000"/>
    <n v="11310772"/>
    <n v="7642"/>
  </r>
  <r>
    <s v="IMPORTADORA TRENTO LTDA"/>
    <s v="LOCAL SALAMANCA"/>
    <n v="0"/>
    <n v="0"/>
    <s v=""/>
    <s v=""/>
    <s v=""/>
    <s v=""/>
    <s v="30-04-2026 15:19:16"/>
    <s v=""/>
    <s v="LVVDB21B4 SC023313"/>
    <x v="5"/>
    <x v="42"/>
    <x v="56"/>
    <s v="CHTIG3PRGLS15AT"/>
    <x v="6"/>
    <n v="22255"/>
    <s v="TCYSTWU000352"/>
    <x v="58"/>
    <s v="USADO"/>
    <s v="GRIS PLATA"/>
    <s v="POR DEFINIR"/>
    <n v="11690000"/>
    <s v="Disponible"/>
    <n v="33"/>
    <x v="0"/>
    <s v="BODEGA VEHICULOS"/>
    <s v=""/>
    <s v="SQRE4G15CBDRL00035"/>
    <s v="LVVDB21B4 SC023313"/>
    <s v="RUTH ESTER OSSANDON NARBONA"/>
    <s v="30-04-2026 0:00:00"/>
    <n v="1"/>
    <s v="30-04-2026 0:00:00"/>
    <s v="30-04-2026 15:17:56"/>
    <s v=""/>
    <n v="1"/>
    <n v="0"/>
    <s v=""/>
    <n v="0"/>
    <n v="10000000"/>
    <n v="279240"/>
    <n v="0"/>
    <n v="10279240"/>
    <n v="11690000"/>
    <n v="1410760"/>
    <n v="1207"/>
  </r>
  <r>
    <s v="IMPORTADORA TRENTO LTDA"/>
    <s v="LOCAL PREMIUM CAR SALES"/>
    <n v="0"/>
    <n v="0"/>
    <s v=""/>
    <s v=""/>
    <s v=""/>
    <s v=""/>
    <s v="01-04-2026 18:18:58"/>
    <s v=""/>
    <s v="VF3MCYHZUSL001353"/>
    <x v="0"/>
    <x v="0"/>
    <x v="0"/>
    <s v="5008BH130"/>
    <x v="4"/>
    <n v="20000"/>
    <s v="TPESTWU000451"/>
    <x v="59"/>
    <s v="USADO"/>
    <s v="BLANCO NACARADO"/>
    <s v="POR DEFINIR"/>
    <n v="26990000"/>
    <s v="Disponible"/>
    <n v="62"/>
    <x v="0"/>
    <s v="PREMIUM CAR SALES"/>
    <s v="AE,CC,EE,AAC,ABS,LL,VC,AISO,ACP,AAUTO,CRE,MAV,ACD,"/>
    <s v="10Q3EJ1989595"/>
    <s v="VF3MCYHZUSL001353"/>
    <s v="CAMILA MONSERRAT COLLAO CASTILLO"/>
    <s v="01-04-2026 0:00:00"/>
    <n v="1"/>
    <s v="01-04-2026 0:00:00"/>
    <s v="01-04-2026 18:18:30"/>
    <s v=""/>
    <n v="1"/>
    <n v="0"/>
    <s v=""/>
    <n v="0"/>
    <n v="23500000"/>
    <n v="481740"/>
    <n v="0"/>
    <n v="23981740"/>
    <n v="26990000"/>
    <n v="3008260"/>
    <n v="1115"/>
  </r>
  <r>
    <s v="IMPORTADORA TRENTO LTDA"/>
    <s v="LOCAL PREMIUM CAR SALES"/>
    <n v="0"/>
    <n v="0"/>
    <s v=""/>
    <s v=""/>
    <s v=""/>
    <s v=""/>
    <s v="13-05-2026 12:22:14"/>
    <s v=""/>
    <s v="LVTDB21B7PD021629"/>
    <x v="20"/>
    <x v="43"/>
    <x v="57"/>
    <s v="EXLXADV15AT"/>
    <x v="5"/>
    <n v="43000"/>
    <s v="TEXESTWU000005"/>
    <x v="60"/>
    <s v="USADO"/>
    <s v="GRIS PHANTOM"/>
    <s v="POR DEFINIR"/>
    <n v="13790000"/>
    <s v="Disponible"/>
    <n v="20"/>
    <x v="4"/>
    <s v="PREMIUM CAR SALES"/>
    <s v=""/>
    <s v="SQRE4T15CAPNE00204"/>
    <s v="LVTDB21B7PD021629"/>
    <s v="ELIANA DEL CARMEN GONZÁLEZ ARAYA"/>
    <s v="13-05-2026 0:00:00"/>
    <n v="1"/>
    <s v="13-05-2026 0:00:00"/>
    <s v="13-05-2026 12:21:23"/>
    <s v=""/>
    <n v="1"/>
    <n v="0"/>
    <s v=""/>
    <n v="0"/>
    <n v="11300000"/>
    <n v="0"/>
    <n v="0"/>
    <n v="11300000"/>
    <n v="13790000"/>
    <n v="2490000"/>
    <n v="1806"/>
  </r>
  <r>
    <s v="IMPORTADORA TRENTO LTDA"/>
    <s v="LOCAL PREMIUM CAR SALES"/>
    <n v="0"/>
    <n v="0"/>
    <s v=""/>
    <s v=""/>
    <s v=""/>
    <s v=""/>
    <s v="03-10-2025 18:06:52"/>
    <s v=""/>
    <s v="////////******++."/>
    <x v="4"/>
    <x v="9"/>
    <x v="58"/>
    <s v="HYSTF4X425AT"/>
    <x v="4"/>
    <n v="17000"/>
    <s v="THYSTWU000544"/>
    <x v="61"/>
    <s v="USADO"/>
    <s v="PLATEADO PLATA"/>
    <s v="POR DEFINIR"/>
    <n v="32990000"/>
    <s v="Disponible"/>
    <n v="242"/>
    <x v="0"/>
    <s v="PREMIUM CAR SALES"/>
    <s v="AE,CC,EE,ABS,LL,VC,AC,AISO,CRE,MAV,ACD,SR,DLL,6AB,"/>
    <s v="G4KNRA851884"/>
    <s v="KMHP281JD RU030971"/>
    <s v="RODOLFO ANDRES SALGADO MARILEO"/>
    <s v="03-10-2025 0:00:00"/>
    <n v="1"/>
    <s v="03-10-2025 0:00:00"/>
    <s v="03-10-2025 18:06:12"/>
    <s v=""/>
    <n v="2"/>
    <n v="0"/>
    <s v=""/>
    <n v="0"/>
    <n v="28700000"/>
    <n v="1053703"/>
    <n v="0"/>
    <n v="29753703"/>
    <n v="32990000"/>
    <n v="3236297"/>
    <n v="981"/>
  </r>
  <r>
    <s v="IMPORTADORA TRENTO LTDA"/>
    <s v="MEGACENTRO OVALLE"/>
    <n v="0"/>
    <n v="0"/>
    <s v=""/>
    <s v=""/>
    <s v=""/>
    <s v=""/>
    <s v="22-05-2026 18:40:31"/>
    <s v=""/>
    <s v="/////+++**+++*..."/>
    <x v="16"/>
    <x v="44"/>
    <x v="59"/>
    <s v="SZBAL4X215AT"/>
    <x v="5"/>
    <n v="22000"/>
    <s v="TSZAUTU000460"/>
    <x v="62"/>
    <s v="USADO"/>
    <s v="AZUL MARINO"/>
    <s v="POR DEFINIR"/>
    <n v="12490000"/>
    <s v="Disponible"/>
    <n v="11"/>
    <x v="4"/>
    <s v="BODEGA OVALLEveih"/>
    <s v="AE,CC,EE,2AB,NB,ABS,LL,AC,AISO,AAUTO,MAV,ACD,SR,UD"/>
    <s v="K15BN1459791"/>
    <s v="MBHWBA3S3SG662957"/>
    <s v="MAURICIO ARIEL OSSANDON ARAYA"/>
    <s v="22-05-2026 0:00:00"/>
    <n v="1"/>
    <s v="22-05-2026 0:00:00"/>
    <s v="22-05-2026 18:40:05"/>
    <s v=""/>
    <n v="1"/>
    <n v="0"/>
    <s v=""/>
    <n v="0"/>
    <n v="10300000"/>
    <n v="0"/>
    <n v="0"/>
    <n v="10300000"/>
    <n v="12490000"/>
    <n v="2190000"/>
    <n v="1753"/>
  </r>
  <r>
    <s v="IMPORTADORA TRENTO LTDA"/>
    <s v="LOCAL USADOS COPIAPO"/>
    <n v="0"/>
    <n v="0"/>
    <s v=""/>
    <s v=""/>
    <s v=""/>
    <s v=""/>
    <s v="15-03-2022 11:58:49"/>
    <s v=""/>
    <s v="KPTG0B1TSFP339581"/>
    <x v="19"/>
    <x v="45"/>
    <x v="60"/>
    <s v="05--12345678"/>
    <x v="12"/>
    <n v="169000"/>
    <s v="TSYSTWU000306"/>
    <x v="63"/>
    <s v="USADO"/>
    <s v="NEGRO"/>
    <s v="POR DEFINIR"/>
    <n v="8490000"/>
    <s v="Disponible"/>
    <n v="1540"/>
    <x v="7"/>
    <s v="BODEGA LOS CARRERA COPIAPO"/>
    <s v="AE,CC,2AB,NB,ABS,AC,AISO,CRE,MAV"/>
    <s v="67196010530787"/>
    <s v="KPTG0B1TSFP339581"/>
    <s v="ALEJANDRA DEL CARMEN URTUBIA MENDIETA"/>
    <s v="15-03-2022 0:00:00"/>
    <n v="1"/>
    <s v="15-03-2022 0:00:00"/>
    <s v="15-03-2022 11:58:28"/>
    <s v=""/>
    <n v="0"/>
    <n v="0"/>
    <s v=""/>
    <n v="0"/>
    <n v="10500000"/>
    <n v="461694"/>
    <n v="0"/>
    <n v="10961694"/>
    <n v="8490000"/>
    <n v="-2471694"/>
    <n v="-2911"/>
  </r>
  <r>
    <s v="IMPORTADORA TRENTO LTDA"/>
    <s v="MEGACENTRO OVALLE"/>
    <n v="0"/>
    <n v="0"/>
    <s v=""/>
    <s v=""/>
    <s v=""/>
    <s v=""/>
    <s v="30-04-2026 10:49:34"/>
    <s v=""/>
    <s v="LVZA53P93 PAA16703"/>
    <x v="1"/>
    <x v="8"/>
    <x v="61"/>
    <s v="DF56018MT"/>
    <x v="0"/>
    <n v="31487"/>
    <s v="TDFSTWU000055"/>
    <x v="64"/>
    <s v="USADO"/>
    <s v="GRIS CLARO"/>
    <s v="POR DEFINIR"/>
    <n v="8990000"/>
    <s v="Disponible"/>
    <n v="33"/>
    <x v="1"/>
    <s v="BODEGA OVALLEveih"/>
    <s v=""/>
    <s v="SFG18-22372086"/>
    <s v="LVZA53P93 PAA16703"/>
    <s v="MARIA JOSE SOLEDAD MOROSO NAVEA"/>
    <s v="30-04-2026 0:00:00"/>
    <n v="1"/>
    <s v="30-04-2026 0:00:00"/>
    <s v="30-04-2026 10:41:13"/>
    <s v=""/>
    <n v="3"/>
    <n v="0"/>
    <s v=""/>
    <n v="0"/>
    <n v="7300000"/>
    <n v="0"/>
    <n v="0"/>
    <n v="7300000"/>
    <n v="8990000"/>
    <n v="1690000"/>
    <n v="188"/>
  </r>
  <r>
    <s v="IMPORTADORA TRENTO LTDA"/>
    <s v="LOCAL PREMIUM CAR SALES"/>
    <n v="0"/>
    <n v="0"/>
    <s v=""/>
    <s v=""/>
    <s v=""/>
    <s v=""/>
    <s v="01-04-2026 12:48:10"/>
    <s v=""/>
    <s v="1GNSK7KC8 KR384750"/>
    <x v="12"/>
    <x v="46"/>
    <x v="62"/>
    <s v="CHTAH4X453AT"/>
    <x v="9"/>
    <n v="85300"/>
    <s v="TCHSTWU000319"/>
    <x v="65"/>
    <s v="USADO"/>
    <s v="GRIS METALICO"/>
    <s v="POR DEFINIR"/>
    <n v="28990000"/>
    <s v="Disponible"/>
    <n v="62"/>
    <x v="0"/>
    <s v="PREMIUM CAR SALES"/>
    <s v="AE,CC,EE,AAC,ABS,LL,TC,VC,AISO,AAUTO,CRE,MAV,ACD,S"/>
    <s v="CKR384750"/>
    <s v="1GNSK7KC8 KR384750"/>
    <s v="RAUL EDUARDO HUERTA DIAZ"/>
    <s v="01-04-2026 0:00:00"/>
    <n v="1"/>
    <s v="01-04-2026 0:00:00"/>
    <s v="01-04-2026 12:45:35"/>
    <s v="30-09-2026 0:00:00"/>
    <n v="3"/>
    <n v="0"/>
    <s v=""/>
    <n v="0"/>
    <n v="24500000"/>
    <n v="496740"/>
    <n v="0"/>
    <n v="24996740"/>
    <n v="28990000"/>
    <n v="3993260"/>
    <n v="1377"/>
  </r>
  <r>
    <s v="IMPORTADORA TRENTO LTDA"/>
    <s v="LOCAL SALAMANCA"/>
    <n v="0"/>
    <n v="0"/>
    <s v=""/>
    <s v=""/>
    <s v=""/>
    <s v=""/>
    <s v="02-10-2025 17:10:39"/>
    <s v=""/>
    <s v="9V8FF4HY1RA800991"/>
    <x v="0"/>
    <x v="47"/>
    <x v="63"/>
    <s v="PELANHDI4X422AT"/>
    <x v="4"/>
    <n v="5800"/>
    <s v="TPECMTU000016"/>
    <x v="66"/>
    <s v="USADO"/>
    <s v="GRIS ALUMINIUM"/>
    <s v="POR DEFINIR"/>
    <n v="20990000"/>
    <s v="Disponible"/>
    <n v="243"/>
    <x v="0"/>
    <s v="BODEGA VEHICULOS"/>
    <s v="AE,CC,EE,AAC,ABS,LL,VC,AISO,AAUTO,CRE,MAV,ACD,SR,U"/>
    <s v="10VRAC4002861"/>
    <s v="9V8FF4HY1RA800991"/>
    <s v="JONATHAN JAVIER LARA BARRAZA"/>
    <s v="02-10-2025 0:00:00"/>
    <n v="1"/>
    <s v="02-10-2025 0:00:00"/>
    <s v="02-10-2025 17:09:54"/>
    <s v=""/>
    <n v="1"/>
    <n v="0"/>
    <s v=""/>
    <n v="0"/>
    <n v="27929100"/>
    <n v="918614"/>
    <n v="0"/>
    <n v="28847714"/>
    <n v="20990000"/>
    <n v="-7857714"/>
    <n v="-3744"/>
  </r>
  <r>
    <s v="IMPORTADORA TRENTO LTDA"/>
    <s v="LOCAL USADOS COPIAPO"/>
    <n v="0"/>
    <n v="0"/>
    <s v=""/>
    <s v=""/>
    <s v=""/>
    <s v=""/>
    <s v="05-02-2026 13:13:22"/>
    <s v=""/>
    <s v="JN1JAAT33PW000133"/>
    <x v="18"/>
    <x v="48"/>
    <x v="64"/>
    <s v="XXTT22"/>
    <x v="5"/>
    <n v="19000"/>
    <s v="TNISTWU000607"/>
    <x v="67"/>
    <s v="USADO"/>
    <s v="BLANCO PERLA"/>
    <s v="POR DEFINIR"/>
    <n v="21490000"/>
    <s v="Disponible"/>
    <n v="117"/>
    <x v="0"/>
    <s v="BODEGA LOS CARRERA COPIAPO"/>
    <s v="AE,CC,EE,AAC,ABS,LL,VC,AISO,AAUTO,CRE,MAV,ACD,SR,U"/>
    <s v="PR25206464F"/>
    <s v="JN1JAAT33PW000133"/>
    <s v="ROXANA DE LOURDES VALLE GALLEGUILLOS"/>
    <s v="05-02-2026 0:00:00"/>
    <n v="1"/>
    <s v="05-02-2026 0:00:00"/>
    <s v="05-02-2026 13:12:44"/>
    <s v=""/>
    <n v="1"/>
    <n v="0"/>
    <s v=""/>
    <n v="0"/>
    <n v="18500000"/>
    <n v="689954"/>
    <n v="0"/>
    <n v="19189954"/>
    <n v="21490000"/>
    <n v="2300046"/>
    <n v="107"/>
  </r>
  <r>
    <s v="IMPORTADORA TRENTO LTDA"/>
    <s v="LOCAL PREMIUM CAR SALES"/>
    <n v="0"/>
    <n v="0"/>
    <s v=""/>
    <s v=""/>
    <s v=""/>
    <s v=""/>
    <s v="22-05-2026 17:42:59"/>
    <s v=""/>
    <s v="VR3USHNSK SJ500220"/>
    <x v="0"/>
    <x v="49"/>
    <x v="65"/>
    <s v="PE2008ACT12MT"/>
    <x v="4"/>
    <n v="22000"/>
    <s v="TPESTWU000456"/>
    <x v="68"/>
    <s v="USADO"/>
    <s v="BLANCO OKENITE"/>
    <s v="POR DEFINIR"/>
    <n v="14990000"/>
    <s v="Disponible"/>
    <n v="11"/>
    <x v="4"/>
    <s v="PREMIUM CAR SALES"/>
    <s v="AE,CC,EE,AAC,ABS,LL,AISO,AAUTO,CRE,MAV,ACD,SR,UD,D"/>
    <s v="10Z1AC0194696"/>
    <s v="VR3USHNSK SJ500220"/>
    <s v="FRANCISCA DANIELA JADRANKA NEIRA VUSKOVIC"/>
    <s v="22-05-2026 0:00:00"/>
    <n v="1"/>
    <s v="22-05-2026 0:00:00"/>
    <s v="22-05-2026 17:42:16"/>
    <s v=""/>
    <n v="1"/>
    <n v="0"/>
    <s v=""/>
    <n v="0"/>
    <n v="12246151"/>
    <n v="0"/>
    <n v="0"/>
    <n v="12246151"/>
    <n v="14990000"/>
    <n v="2743849"/>
    <n v="183"/>
  </r>
  <r>
    <s v="IMPORTADORA TRENTO LTDA"/>
    <s v="LOCAL PREMIUM CAR SALES"/>
    <n v="0"/>
    <n v="0"/>
    <s v=""/>
    <s v=""/>
    <s v=""/>
    <s v=""/>
    <s v="13-05-2026 13:08:12"/>
    <s v=""/>
    <s v="/////++++//++*..."/>
    <x v="21"/>
    <x v="50"/>
    <x v="66"/>
    <s v="GWPOER4X2MT20"/>
    <x v="5"/>
    <n v="19000"/>
    <s v="TGWCMTU000019"/>
    <x v="69"/>
    <s v="USADO"/>
    <s v="PLATEADO PLATA"/>
    <s v="POR DEFINIR"/>
    <n v="16490000"/>
    <s v="Disponible"/>
    <n v="20"/>
    <x v="4"/>
    <s v="PREMIUM CAR SALES"/>
    <s v="AE,CC,EE,AAC,ABS,LL,VC,AISO,AAUTO,CRE,MAV,ACD,SR,U"/>
    <s v="GW4D20M23597131983"/>
    <s v="LGWCCF190 RJ615909"/>
    <s v="SERVICIO AUTOMOTRIZ MARIO EDINSON TAPIA RIVEROS EIRL . ."/>
    <s v="13-05-2026 0:00:00"/>
    <n v="1"/>
    <s v="13-05-2026 0:00:00"/>
    <s v="13-05-2026 13:07:32"/>
    <s v=""/>
    <n v="1"/>
    <n v="0"/>
    <s v=""/>
    <n v="0"/>
    <n v="13500000"/>
    <n v="0"/>
    <n v="0"/>
    <n v="13500000"/>
    <n v="16490000"/>
    <n v="2990000"/>
    <n v="1813"/>
  </r>
  <r>
    <s v="IMPORTADORA TRENTO LTDA"/>
    <s v="LOCAL USADOS COPIAPO"/>
    <n v="0"/>
    <n v="0"/>
    <s v=""/>
    <s v=""/>
    <s v=""/>
    <s v=""/>
    <s v="03-08-2022 14:52:06"/>
    <s v=""/>
    <s v="***//*.+*********"/>
    <x v="18"/>
    <x v="51"/>
    <x v="67"/>
    <s v="22--010"/>
    <x v="12"/>
    <n v="96083"/>
    <s v="TNISTWU000449"/>
    <x v="70"/>
    <s v="USADO"/>
    <s v="BLANCO PERLA"/>
    <s v="POR DEFINIR"/>
    <n v="9890000"/>
    <s v="Disponible"/>
    <n v="71"/>
    <x v="0"/>
    <s v="BODEGA LOS CARRERA COPIAPO"/>
    <s v=""/>
    <s v="HR16411356R"/>
    <s v="SJNFBAF15GA090279"/>
    <s v="SERGIO H OLIVARES ORTIZ  Y CIA LTDA"/>
    <s v="23-03-2026 0:00:00"/>
    <n v="1"/>
    <s v="03-08-2022 0:00:00"/>
    <s v="30-03-2026 8:51:48"/>
    <s v=""/>
    <n v="0"/>
    <n v="0"/>
    <s v=""/>
    <n v="0"/>
    <n v="9300000"/>
    <n v="1603570"/>
    <n v="0"/>
    <n v="10903570"/>
    <n v="9890000"/>
    <n v="-1013570"/>
    <n v="-1025"/>
  </r>
  <r>
    <s v="IMPORTADORA TRENTO LTDA"/>
    <s v="LOCAL USADOS COPIAPO"/>
    <n v="0"/>
    <n v="0"/>
    <s v=""/>
    <s v=""/>
    <s v=""/>
    <s v=""/>
    <s v="28-04-2026 13:25:38"/>
    <s v=""/>
    <s v="LVVDD21B9RC025336"/>
    <x v="14"/>
    <x v="23"/>
    <x v="68"/>
    <s v="JA716ATSUMMIT"/>
    <x v="4"/>
    <n v="12000"/>
    <s v="TJAESTWU000006"/>
    <x v="71"/>
    <s v="USADO"/>
    <s v="BLANCO AURA"/>
    <s v="POR DEFINIR"/>
    <n v="20990000"/>
    <s v="Disponible"/>
    <n v="35"/>
    <x v="1"/>
    <s v="BODEGA LOS CARRERA COPIAPO"/>
    <s v="AE,CC,EE,NB,AAC,ABS,LL,VC,AISO,AAUTO,CRE,MAV,ACD,S"/>
    <s v="SQRF4J16CAMRA00471"/>
    <s v="LVVDD21B9RC025336"/>
    <s v="TRANSPORTE DOBLE C SPA"/>
    <s v="28-04-2026 0:00:00"/>
    <n v="1"/>
    <s v="28-04-2026 0:00:00"/>
    <s v="28-04-2026 13:24:50"/>
    <s v=""/>
    <n v="2"/>
    <n v="0"/>
    <s v=""/>
    <n v="0"/>
    <n v="17500000"/>
    <n v="391740"/>
    <n v="0"/>
    <n v="17891740"/>
    <n v="20990000"/>
    <n v="3098260"/>
    <n v="1476"/>
  </r>
  <r>
    <s v="IMPORTADORA TRENTO LTDA"/>
    <s v="LOCAL USADOS"/>
    <n v="0"/>
    <n v="0"/>
    <s v=""/>
    <s v=""/>
    <s v=""/>
    <s v=""/>
    <s v="10-11-2025 18:59:30"/>
    <s v=""/>
    <s v="//.//+++/+/++*..."/>
    <x v="14"/>
    <x v="23"/>
    <x v="26"/>
    <s v="JE7AWD16AT"/>
    <x v="4"/>
    <n v="10200"/>
    <s v="TJAESTWU000001"/>
    <x v="72"/>
    <s v="USADO"/>
    <s v="ROJO NEGRO RUBI"/>
    <s v="POR DEFINIR"/>
    <n v="16490000"/>
    <s v="Disponible"/>
    <n v="204"/>
    <x v="5"/>
    <s v="BODEGA VEHICULOS"/>
    <s v="AE,CC,EE,AAC,ABS,LL,AISO,AAUTO,CRE,MAV,ACD,SR,UD,D"/>
    <s v="SQRF4J16CAMPM02301"/>
    <s v="LVVDB21B5 RC012704"/>
    <s v="LEONARDO JORGE ESTEBAN BOLTON MONTALVA"/>
    <s v="10-11-2025 0:00:00"/>
    <n v="1"/>
    <s v="10-11-2025 0:00:00"/>
    <s v="10-11-2025 18:58:34"/>
    <s v=""/>
    <n v="1"/>
    <n v="0"/>
    <s v=""/>
    <n v="0"/>
    <n v="15500000"/>
    <n v="358530"/>
    <n v="0"/>
    <n v="15858530"/>
    <n v="16490000"/>
    <n v="631470"/>
    <n v="383"/>
  </r>
  <r>
    <s v="IMPORTADORA TRENTO LTDA"/>
    <s v="LOCAL USADOS COPIAPO"/>
    <n v="0"/>
    <n v="0"/>
    <s v=""/>
    <s v=""/>
    <s v=""/>
    <s v=""/>
    <s v="18-03-2026 11:24:08"/>
    <s v=""/>
    <s v="JMYXTGM4W NZ000993"/>
    <x v="10"/>
    <x v="18"/>
    <x v="69"/>
    <s v="MIOUTGL25AT"/>
    <x v="0"/>
    <n v="44000"/>
    <s v="TMISTWU000370"/>
    <x v="73"/>
    <s v="USADO"/>
    <s v="AZUL METALICO"/>
    <s v="POR DEFINIR"/>
    <n v="18190000"/>
    <s v="Disponible"/>
    <n v="76"/>
    <x v="1"/>
    <s v="BODEGA LOS CARRERA COPIAPO"/>
    <s v="AE,CC,EE,AAC,ABS,LL,VC,AISO,AAUTO,CRE,MAV,ACD,SR,U"/>
    <s v="PR25 251342"/>
    <s v="JMYXTGM4W NZ000993"/>
    <s v="DANIELA ALEJANDRA DONAIRE FREDES"/>
    <s v="18-03-2026 0:00:00"/>
    <n v="1"/>
    <s v="18-03-2026 0:00:00"/>
    <s v="18-03-2026 11:23:40"/>
    <s v="30-11-2027 0:00:00"/>
    <n v="1"/>
    <n v="0"/>
    <s v=""/>
    <n v="0"/>
    <n v="15200000"/>
    <n v="354030"/>
    <n v="0"/>
    <n v="15554030"/>
    <n v="18190000"/>
    <n v="2635970"/>
    <n v="1449"/>
  </r>
  <r>
    <s v="IMPORTADORA TRENTO LTDA"/>
    <s v="LOCAL USADOS"/>
    <n v="0"/>
    <n v="0"/>
    <s v=""/>
    <s v=""/>
    <s v=""/>
    <s v=""/>
    <s v="20-03-2020 12:53:54"/>
    <s v=""/>
    <s v="KNAPB811BE7498300"/>
    <x v="9"/>
    <x v="38"/>
    <x v="70"/>
    <s v="17--0120"/>
    <x v="1"/>
    <n v="83000"/>
    <s v="TKISTWU001135"/>
    <x v="74"/>
    <s v="USADO"/>
    <s v="ROJO ORANGE"/>
    <s v="POR DEFINIR"/>
    <n v="8490000"/>
    <s v="Disponible"/>
    <n v="2265"/>
    <x v="8"/>
    <s v="BODEGA VEHICULOS"/>
    <s v=""/>
    <s v="G4KDDH424564"/>
    <s v="KNAPB811BE7498300"/>
    <s v="IMPORTADORA TRENTO LTDA"/>
    <s v="20-03-2020 0:00:00"/>
    <n v="1"/>
    <s v="13-04-2020 0:00:00"/>
    <s v="13-04-2020 10:05:55"/>
    <s v=""/>
    <n v="0"/>
    <n v="0"/>
    <s v=""/>
    <n v="0"/>
    <n v="0"/>
    <n v="2523835"/>
    <n v="0"/>
    <n v="2523835"/>
    <n v="8490000"/>
    <n v="5966165"/>
    <n v="7027"/>
  </r>
  <r>
    <s v="IMPORTADORA TRENTO LTDA"/>
    <s v="LOCAL PREMIUM CAR SALES"/>
    <n v="0"/>
    <n v="0"/>
    <s v=""/>
    <s v=""/>
    <s v=""/>
    <s v=""/>
    <s v="29-04-2026 14:50:28"/>
    <s v=""/>
    <s v="JM7DM2W7AS0309501"/>
    <x v="22"/>
    <x v="52"/>
    <x v="71"/>
    <s v="MACX3020AT"/>
    <x v="4"/>
    <n v="39700"/>
    <s v="TMASTWU000106"/>
    <x v="75"/>
    <s v="USADO"/>
    <s v="AZUL OSCURO METALIZADO"/>
    <s v="POR DEFINIR"/>
    <n v="21990000"/>
    <s v="Disponible"/>
    <n v="34"/>
    <x v="1"/>
    <s v="PREMIUM CAR SALES"/>
    <s v="AE,CC,EE,AAC,ABS,LL,VC,AISO,ACP,AAUTO,CRE,MAV,ACD,"/>
    <s v="PE 22028517"/>
    <s v="JM7DM2W7AS0309501"/>
    <s v="COMPAÑÍA DE ASISTENCIA MEDICA DOMICILIARIA A INSTITUCIONES PÚBL"/>
    <s v="29-04-2026 0:00:00"/>
    <n v="1"/>
    <s v="29-04-2026 0:00:00"/>
    <s v="29-04-2026 14:49:51"/>
    <s v=""/>
    <n v="1"/>
    <n v="0"/>
    <s v=""/>
    <n v="0"/>
    <n v="18300000"/>
    <n v="403740"/>
    <n v="0"/>
    <n v="18703740"/>
    <n v="21990000"/>
    <n v="3286260"/>
    <n v="1494"/>
  </r>
  <r>
    <s v="IMPORTADORA TRENTO LTDA"/>
    <s v="MEGACENTRO OVALLE"/>
    <n v="0"/>
    <n v="0"/>
    <s v=""/>
    <s v=""/>
    <s v=""/>
    <s v=""/>
    <s v="30-05-2026 11:41:55"/>
    <s v=""/>
    <s v="LVVDB11B9ND032419"/>
    <x v="5"/>
    <x v="29"/>
    <x v="36"/>
    <s v="T315"/>
    <x v="3"/>
    <n v="94076"/>
    <s v="TCYSTWU000355"/>
    <x v="76"/>
    <s v="USADO"/>
    <s v="GRIS PLATA"/>
    <s v="POR DEFINIR"/>
    <n v="7990000"/>
    <s v="Disponible"/>
    <n v="3"/>
    <x v="4"/>
    <s v="BODEGA OVALLEveih"/>
    <s v="AE,CC,EE,2AB,ABS,LL,AC,AISO,AAUTO,MAV,ACD,SR,UD,DL"/>
    <s v="SQRE4G15BATMJ01319"/>
    <s v="LVVDB11B9ND032419"/>
    <s v="MARCELO ALEJANDRO CARVAJAL BUGUEÑO"/>
    <s v="30-05-2026 0:00:00"/>
    <n v="1"/>
    <s v="30-05-2026 0:00:00"/>
    <s v="30-05-2026 11:41:07"/>
    <s v="31-01-2027 0:00:00"/>
    <n v="1"/>
    <n v="0"/>
    <s v=""/>
    <n v="0"/>
    <n v="6450000"/>
    <n v="0"/>
    <n v="0"/>
    <n v="6450000"/>
    <n v="7990000"/>
    <n v="1540000"/>
    <n v="1927"/>
  </r>
  <r>
    <s v="IMPORTADORA TRENTO LTDA"/>
    <s v="LOCAL USADOS"/>
    <n v="0"/>
    <n v="0"/>
    <s v=""/>
    <s v=""/>
    <s v=""/>
    <s v=""/>
    <s v="04-03-2025 17:16:08"/>
    <s v=""/>
    <s v="LVVDB21B8SD022028"/>
    <x v="23"/>
    <x v="53"/>
    <x v="72"/>
    <s v="OMC515AT"/>
    <x v="4"/>
    <n v="1905"/>
    <s v="TOMOSTWU000003"/>
    <x v="77"/>
    <s v="USADO"/>
    <s v="BLANCO"/>
    <s v="POR DEFINIR"/>
    <n v="11290000"/>
    <s v="Disponible"/>
    <n v="455"/>
    <x v="3"/>
    <s v="BODEGA VEHICULOS"/>
    <s v="AE,CC,EE,NB,AAC,ABS,LL,AISO,AAUTO,CRE,MAV,ACD,UD,G"/>
    <s v="SQRE4T15CCHRD00089"/>
    <s v="LVVDB21B8SD022028"/>
    <s v="ANDREA ALEJANDRA LIBERON LIBERON"/>
    <s v="04-03-2025 0:00:00"/>
    <n v="1"/>
    <s v="04-03-2025 0:00:00"/>
    <s v="04-03-2025 17:00:37"/>
    <s v=""/>
    <n v="1"/>
    <n v="0"/>
    <s v=""/>
    <n v="0"/>
    <n v="10300000"/>
    <n v="280530"/>
    <n v="0"/>
    <n v="10580530"/>
    <n v="11290000"/>
    <n v="709470"/>
    <n v="628"/>
  </r>
  <r>
    <s v="IMPORTADORA TRENTO LTDA"/>
    <s v="LOCAL USADOS"/>
    <n v="0"/>
    <n v="0"/>
    <s v=""/>
    <s v=""/>
    <s v=""/>
    <s v=""/>
    <s v="04-02-2026 12:44:44"/>
    <s v=""/>
    <s v="3N1AB7AE8LY202955"/>
    <x v="18"/>
    <x v="54"/>
    <x v="73"/>
    <s v="NISEN18AT"/>
    <x v="9"/>
    <n v="96000"/>
    <s v="TNIAUTU000649"/>
    <x v="78"/>
    <s v="USADO"/>
    <s v="BLANCO PERLA"/>
    <s v="POR DEFINIR"/>
    <n v="10990000"/>
    <s v="Disponible"/>
    <n v="118"/>
    <x v="0"/>
    <s v="BODEGA VEHICULOS"/>
    <s v="AE,CC,EE,NB,ABS,LL,4AB,AC,AISO,AAUTO,ACD,DLL"/>
    <s v="MRA8720448J"/>
    <s v="3N1AB7AE8LY202955"/>
    <s v="RUPERTO ALEJANDRO GALLEGOS GUTIERREZ"/>
    <s v="04-02-2026 0:00:00"/>
    <n v="1"/>
    <s v="04-02-2026 0:00:00"/>
    <s v="04-02-2026 12:43:25"/>
    <s v="31-05-2026 0:00:00"/>
    <n v="4"/>
    <n v="0"/>
    <s v=""/>
    <n v="0"/>
    <n v="8500000"/>
    <n v="253530"/>
    <n v="0"/>
    <n v="8753530"/>
    <n v="10990000"/>
    <n v="2236470"/>
    <n v="2035"/>
  </r>
  <r>
    <s v="IMPORTADORA TRENTO LTDA"/>
    <s v="LOCAL PREMIUM CAR SALES"/>
    <n v="0"/>
    <n v="0"/>
    <s v=""/>
    <s v=""/>
    <s v=""/>
    <s v=""/>
    <s v="30-10-2025 18:48:57"/>
    <s v=""/>
    <s v="1FTFW1RGXKFC93274"/>
    <x v="3"/>
    <x v="28"/>
    <x v="74"/>
    <s v="FRK7"/>
    <x v="9"/>
    <n v="80000"/>
    <s v="TFOCMTU001138"/>
    <x v="79"/>
    <s v="USADO"/>
    <s v="BLANCO OXFORD"/>
    <s v="POR DEFINIR"/>
    <n v="45990000"/>
    <s v="Disponible"/>
    <n v="215"/>
    <x v="0"/>
    <s v="PREMIUM CAR SALES"/>
    <s v="AE,CC,EE,AAC,ABS,LL,TC,VC,SS,AISO,AAUTO,CRE,MAV,AC"/>
    <s v="KFC93274"/>
    <s v="1FTFW1RGXKFC93274"/>
    <s v="ARRIAGADA DIAZ MANUEL ANTONIO Y PINTO OÑATE MARIA BELEN LTDA"/>
    <s v="30-10-2025 0:00:00"/>
    <n v="1"/>
    <s v="31-03-2026 10:59:00"/>
    <s v="31-03-2026 10:59:00"/>
    <s v="31-01-2026 0:00:00"/>
    <n v="2"/>
    <n v="0"/>
    <s v=""/>
    <n v="0"/>
    <n v="37200000"/>
    <n v="684030"/>
    <n v="0"/>
    <n v="37884030"/>
    <n v="45990000"/>
    <n v="8105970"/>
    <n v="1763"/>
  </r>
  <r>
    <s v="IMPORTADORA TRENTO LTDA"/>
    <s v="LOCAL PREMIUM CAR SALES"/>
    <n v="0"/>
    <n v="0"/>
    <s v=""/>
    <s v=""/>
    <s v=""/>
    <s v=""/>
    <s v="18-05-2026 12:54:42"/>
    <s v=""/>
    <s v="LVZZU3P96SCB03062"/>
    <x v="1"/>
    <x v="55"/>
    <x v="75"/>
    <s v="US500"/>
    <x v="4"/>
    <n v="6443"/>
    <s v="TDFAUTU000002"/>
    <x v="80"/>
    <s v="USADO"/>
    <s v="BLANCO"/>
    <s v="POR DEFINIR"/>
    <n v="11290000"/>
    <s v="Disponible"/>
    <n v="15"/>
    <x v="3"/>
    <s v="PREMIUM CAR SALES"/>
    <s v="AE,CC,EE,ABS,LL,AC,AISO,AAUTO,CRE,MAV,ACD,SR,UD,DL"/>
    <s v="SFG15A 24402834"/>
    <s v="LVZZU3P96SCB03062"/>
    <s v="JOSE MIGUEL NUÑEZ ALVARADO"/>
    <s v="18-05-2026 0:00:00"/>
    <n v="1"/>
    <s v="18-05-2026 0:00:00"/>
    <s v="18-05-2026 12:54:06"/>
    <s v=""/>
    <n v="1"/>
    <n v="0"/>
    <s v=""/>
    <n v="0"/>
    <n v="9000000"/>
    <n v="0"/>
    <n v="0"/>
    <n v="9000000"/>
    <n v="11290000"/>
    <n v="2290000"/>
    <n v="2028"/>
  </r>
  <r>
    <s v="IMPORTADORA TRENTO LTDA"/>
    <s v="MEGACENTRO OVALLE"/>
    <n v="0"/>
    <n v="0"/>
    <s v=""/>
    <s v=""/>
    <s v=""/>
    <s v=""/>
    <s v="23-02-2026 15:52:12"/>
    <s v=""/>
    <s v="MPBUR2366NX379509"/>
    <x v="3"/>
    <x v="19"/>
    <x v="76"/>
    <s v="FRR20"/>
    <x v="0"/>
    <n v="114000"/>
    <s v="TFOCMTU001154"/>
    <x v="81"/>
    <s v="USADO"/>
    <s v="NEGRO ABSOLUTO"/>
    <s v="POR DEFINIR"/>
    <n v="30290000"/>
    <s v="Disponible"/>
    <n v="99"/>
    <x v="0"/>
    <s v="BODEGA OVALLEveih"/>
    <s v=""/>
    <s v="YN2SXM379509"/>
    <s v="MPBUR2366NX379509"/>
    <s v="SOCIEDAD AGRICOLA, GANADERA, FORESTAL Y DE TRANSPORTES SANTO TOMAS LIMITADA"/>
    <s v="23-02-2026 0:00:00"/>
    <n v="24"/>
    <s v="29-01-2026 0:00:00"/>
    <s v="18-03-2026 12:59:05"/>
    <s v=""/>
    <n v="0"/>
    <n v="0"/>
    <s v=""/>
    <n v="0"/>
    <n v="26500000"/>
    <n v="523530"/>
    <n v="0"/>
    <n v="27023530"/>
    <n v="30290000"/>
    <n v="3266470"/>
    <n v="1078"/>
  </r>
  <r>
    <s v="IMPORTADORA TRENTO LTDA"/>
    <s v="LOCAL USADOS"/>
    <n v="0"/>
    <n v="0"/>
    <s v=""/>
    <s v=""/>
    <s v=""/>
    <s v=""/>
    <s v="04-05-2026 17:27:55"/>
    <s v=""/>
    <s v="/..+/+++///++*..."/>
    <x v="24"/>
    <x v="56"/>
    <x v="77"/>
    <s v="CR566"/>
    <x v="2"/>
    <n v="72580"/>
    <s v="TCIAUTU000131"/>
    <x v="82"/>
    <s v="USADO"/>
    <s v="GRIS SATINADO T BLANCO"/>
    <s v="POR DEFINIR"/>
    <n v="9290000"/>
    <s v="Disponible"/>
    <n v="29"/>
    <x v="3"/>
    <s v="BODEGA VEHICULOS"/>
    <s v="AE,CC,EE,2AB,ABS,LL,AC,AISO,AAUTO,MAV,ACD,DLL"/>
    <s v="10XK132270863"/>
    <s v="VF72RHNZWJ4344809"/>
    <s v="MYRIAM LORENA ALVAREZ DIAZ"/>
    <s v="04-05-2026 0:00:00"/>
    <n v="1"/>
    <s v="04-05-2026 0:00:00"/>
    <s v="04-05-2026 17:22:16"/>
    <s v=""/>
    <n v="4"/>
    <n v="0"/>
    <s v=""/>
    <n v="0"/>
    <n v="8300000"/>
    <n v="253740"/>
    <n v="0"/>
    <n v="8553740"/>
    <n v="9290000"/>
    <n v="736260"/>
    <n v="793"/>
  </r>
  <r>
    <s v="IMPORTADORA TRENTO LTDA"/>
    <s v="LOCAL USADOS COPIAPO"/>
    <n v="0"/>
    <n v="0"/>
    <s v=""/>
    <s v=""/>
    <s v=""/>
    <s v=""/>
    <s v="06-04-2026 14:59:49"/>
    <s v=""/>
    <s v="9V8FF4HY1 RA800320"/>
    <x v="0"/>
    <x v="47"/>
    <x v="63"/>
    <s v="PELNDDHI4X422AT"/>
    <x v="5"/>
    <n v="29570"/>
    <s v="TPECMTU000018"/>
    <x v="83"/>
    <s v="USADO"/>
    <s v="GRIS ALUMINIUM"/>
    <s v="POR DEFINIR"/>
    <n v="19990000"/>
    <s v="Disponible"/>
    <n v="57"/>
    <x v="1"/>
    <s v="BODEGA LOS CARRERA COPIAPO"/>
    <s v="AE,CC,EE,NB,AAC,ABS,LL,VC,AISO,AAUTO,CRE,ACD,SR,UD"/>
    <s v="10VRAC4001968"/>
    <s v="9V8FF4HY1 RA800320"/>
    <s v="RODRIGO ALEJANDRO FUENTES ARAYA"/>
    <s v="06-04-2026 0:00:00"/>
    <n v="1"/>
    <s v="06-04-2026 0:00:00"/>
    <s v="06-04-2026 14:59:18"/>
    <s v=""/>
    <n v="1"/>
    <n v="0"/>
    <s v=""/>
    <n v="0"/>
    <n v="16000000"/>
    <n v="369240"/>
    <n v="0"/>
    <n v="16369240"/>
    <n v="19990000"/>
    <n v="3620760"/>
    <n v="1811"/>
  </r>
  <r>
    <s v="IMPORTADORA TRENTO LTDA"/>
    <s v="LOCAL PREMIUM CAR SALES"/>
    <n v="0"/>
    <n v="0"/>
    <s v=""/>
    <s v=""/>
    <s v=""/>
    <s v=""/>
    <s v="25-05-2026 16:44:02"/>
    <s v=""/>
    <s v="3KPA251AA PE534052"/>
    <x v="9"/>
    <x v="57"/>
    <x v="78"/>
    <s v="PATAN"/>
    <x v="0"/>
    <n v="39280"/>
    <s v="TKIAUTU002214"/>
    <x v="84"/>
    <s v="USADO"/>
    <s v="BLANCO INVIERNO"/>
    <s v="POR DEFINIR"/>
    <n v="12290000"/>
    <s v="Disponible"/>
    <n v="8"/>
    <x v="4"/>
    <s v="PREMIUM CAR SALES"/>
    <s v="AE,CC,EE,ABS,LL,AC,AISO,AAUTO,CRE,MAV,ACD,SR,UD,DL"/>
    <s v="G4LCNE709367"/>
    <s v="3KPA251AA PE534052"/>
    <s v="CLAUDIA CECILIA HERRERA MUÑOZ"/>
    <s v="25-05-2026 0:00:00"/>
    <n v="1"/>
    <s v="25-05-2026 0:00:00"/>
    <s v="25-05-2026 16:43:21"/>
    <s v=""/>
    <n v="1"/>
    <n v="0"/>
    <s v=""/>
    <n v="0"/>
    <n v="9400000"/>
    <n v="0"/>
    <n v="0"/>
    <n v="9400000"/>
    <n v="12290000"/>
    <n v="2890000"/>
    <n v="2352"/>
  </r>
  <r>
    <s v="IMPORTADORA TRENTO LTDA"/>
    <s v="LOCAL USADOS COPIAPO"/>
    <n v="0"/>
    <n v="0"/>
    <s v=""/>
    <s v=""/>
    <s v=""/>
    <s v=""/>
    <s v="18-05-2026 12:26:28"/>
    <s v=""/>
    <s v="9V8FF4HY1RA801169"/>
    <x v="0"/>
    <x v="47"/>
    <x v="63"/>
    <s v="PELNDDHI4X422AT"/>
    <x v="5"/>
    <n v="11557"/>
    <s v="TPECMTU000020"/>
    <x v="85"/>
    <s v="USADO"/>
    <s v="GRIS ALUMINIUM"/>
    <s v="POR DEFINIR"/>
    <n v="19990000"/>
    <s v="Disponible"/>
    <n v="15"/>
    <x v="1"/>
    <s v="BODEGA LOS CARRERA COPIAPO"/>
    <s v="AE,CC,EE,NB,AAC,ABS,LL,VC,AISO,AAUTO,CRE,MAV,ACD,S"/>
    <s v="10VRAC4002519"/>
    <s v="9V8FF4HY1RA801169"/>
    <s v="DAVID RODRIGO ARACENA LOIS"/>
    <s v="18-05-2026 0:00:00"/>
    <n v="1"/>
    <s v="18-05-2026 0:00:00"/>
    <s v="18-05-2026 12:25:24"/>
    <s v=""/>
    <n v="1"/>
    <n v="0"/>
    <s v=""/>
    <n v="0"/>
    <n v="16000000"/>
    <n v="0"/>
    <n v="0"/>
    <n v="16000000"/>
    <n v="19990000"/>
    <n v="3990000"/>
    <n v="1996"/>
  </r>
  <r>
    <s v="IMPORTADORA TRENTO LTDA"/>
    <s v="LOCAL USADOS COPIAPO"/>
    <n v="0"/>
    <n v="0"/>
    <s v=""/>
    <s v=""/>
    <s v=""/>
    <s v=""/>
    <s v="05-06-2025 17:27:51"/>
    <s v=""/>
    <s v="9BGEN76C0 PB119398"/>
    <x v="12"/>
    <x v="58"/>
    <x v="79"/>
    <s v="TU8000"/>
    <x v="3"/>
    <n v="33420"/>
    <s v="TCHSTWU000300"/>
    <x v="86"/>
    <s v="USADO"/>
    <s v="GRIS METALICO"/>
    <s v="POR DEFINIR"/>
    <n v="11690000"/>
    <s v="Disponible"/>
    <n v="362"/>
    <x v="0"/>
    <s v="BODEGA LOS CARRERA COPIAPO"/>
    <s v=""/>
    <s v="L4H 221104607"/>
    <s v="9BGEN76C0 PB119398"/>
    <s v="MARITZA XIMENA FLORES NAVARRO"/>
    <s v="05-06-2025 0:00:00"/>
    <n v="1"/>
    <s v="14-01-2026 23:58:00"/>
    <s v="14-01-2026 23:58:00"/>
    <s v=""/>
    <n v="1"/>
    <n v="0"/>
    <s v=""/>
    <n v="0"/>
    <n v="9300000"/>
    <n v="436959"/>
    <n v="0"/>
    <n v="9736959"/>
    <n v="11690000"/>
    <n v="1953041"/>
    <n v="1671"/>
  </r>
  <r>
    <s v="IMPORTADORA TRENTO LTDA"/>
    <s v="LOCAL USADOS COPIAPO"/>
    <n v="0"/>
    <n v="0"/>
    <s v=""/>
    <s v=""/>
    <s v=""/>
    <s v=""/>
    <s v="30-12-2025 10:51:56"/>
    <s v=""/>
    <s v="MA1VE2RJC M6E84266"/>
    <x v="25"/>
    <x v="59"/>
    <x v="80"/>
    <s v="MAKUV100HB12MT"/>
    <x v="3"/>
    <n v="0"/>
    <s v="TMHAUTU000006"/>
    <x v="87"/>
    <s v="USADO"/>
    <s v="BLANCO"/>
    <s v="POR DEFINIR"/>
    <n v="6390000"/>
    <s v="Disponible"/>
    <n v="154"/>
    <x v="3"/>
    <s v="BODEGA LOS CARRERA COPIAPO"/>
    <s v="AE,CC,AC,AISO,ACD"/>
    <s v="RJMZE50719"/>
    <s v="MA1VE2RJC M6E84266"/>
    <s v="FRANK EDWARD ECHANDIA HERNÁNDEZ"/>
    <s v="30-12-2025 0:00:00"/>
    <n v="1"/>
    <s v="30-12-2025 0:00:00"/>
    <s v="30-12-2025 10:51:21"/>
    <s v=""/>
    <n v="0"/>
    <n v="0"/>
    <s v=""/>
    <n v="0"/>
    <n v="8137896"/>
    <n v="248098"/>
    <n v="0"/>
    <n v="8385994"/>
    <n v="6390000"/>
    <n v="-1995994"/>
    <n v="-3124"/>
  </r>
  <r>
    <s v="IMPORTADORA TRENTO LTDA"/>
    <s v="LOCAL PREMIUM CAR SALES"/>
    <n v="0"/>
    <n v="0"/>
    <s v=""/>
    <s v=""/>
    <s v=""/>
    <s v=""/>
    <s v="04-02-2026 18:55:48"/>
    <s v=""/>
    <s v="3FMCR9E91RRF05973"/>
    <x v="3"/>
    <x v="60"/>
    <x v="81"/>
    <s v="BRUS7"/>
    <x v="4"/>
    <n v="13400"/>
    <s v="TFOSTWU001397"/>
    <x v="88"/>
    <s v="USADO"/>
    <s v="GRIS AZULADO"/>
    <s v="POR DEFINIR"/>
    <n v="28290000"/>
    <s v="Disponible"/>
    <n v="118"/>
    <x v="0"/>
    <s v="PREMIUM CAR SALES"/>
    <s v="AE,CC,EE,AAC,ABS,LL,VC,ESP,AISO,AAUTO,CRE,ACD,SR,U"/>
    <s v="RRF05973"/>
    <s v="3FMCR9E91RRF05973"/>
    <s v="RUTH ESTER OSSANDON NARBONA"/>
    <s v="04-02-2026 0:00:00"/>
    <n v="1"/>
    <s v="04-02-2026 0:00:00"/>
    <s v="04-02-2026 18:50:21"/>
    <s v=""/>
    <n v="1"/>
    <n v="0"/>
    <s v=""/>
    <n v="0"/>
    <n v="23500000"/>
    <n v="949179"/>
    <n v="0"/>
    <n v="24449179"/>
    <n v="28290000"/>
    <n v="3840821"/>
    <n v="1358"/>
  </r>
  <r>
    <s v="IMPORTADORA TRENTO LTDA"/>
    <s v="MEGACENTRO OVALLE"/>
    <n v="0"/>
    <n v="0"/>
    <s v=""/>
    <s v=""/>
    <s v=""/>
    <s v=""/>
    <s v="18-04-2026 13:36:35"/>
    <s v=""/>
    <s v="MALB241CAPM142324"/>
    <x v="4"/>
    <x v="9"/>
    <x v="82"/>
    <s v="HYGRDI10SDN12MT"/>
    <x v="0"/>
    <n v="59200"/>
    <s v="THYAUTU000584"/>
    <x v="89"/>
    <s v="USADO"/>
    <s v="ROJO PASION"/>
    <s v="POR DEFINIR"/>
    <n v="9190000"/>
    <s v="Disponible"/>
    <n v="45"/>
    <x v="1"/>
    <s v="BODEGA OVALLEveih"/>
    <s v="AE,CC,EE,NB,ABS,LL,4AB,AC,AISO,AAUTO,CRE,MAV,ACD,U"/>
    <s v="G4LANM260060"/>
    <s v="MALB241CAPM142324"/>
    <s v="ROBINSON LORENZO CASTILLO BERRIOS"/>
    <s v="18-04-2026 0:00:00"/>
    <n v="1"/>
    <s v="18-04-2026 0:00:00"/>
    <s v="18-04-2026 13:34:30"/>
    <s v="30-09-2027 0:00:00"/>
    <n v="1"/>
    <n v="0"/>
    <s v=""/>
    <n v="0"/>
    <n v="7000000"/>
    <n v="234240"/>
    <n v="0"/>
    <n v="7234240"/>
    <n v="9190000"/>
    <n v="1955760"/>
    <n v="2128"/>
  </r>
  <r>
    <s v="IMPORTADORA TRENTO LTDA"/>
    <s v="LOCAL USADOS COPIAPO"/>
    <n v="0"/>
    <n v="0"/>
    <s v=""/>
    <s v=""/>
    <s v=""/>
    <s v=""/>
    <s v="06-05-2026 17:51:31"/>
    <s v=""/>
    <s v="/////+++/./++*..."/>
    <x v="5"/>
    <x v="61"/>
    <x v="83"/>
    <s v="CHNEARRI3GLS15MT"/>
    <x v="8"/>
    <n v="59576"/>
    <s v="TCYAUTU000147"/>
    <x v="90"/>
    <s v="USADO"/>
    <s v="ROJO METALIZADO"/>
    <s v="POR DEFINIR"/>
    <n v="6190000"/>
    <s v="Disponible"/>
    <n v="27"/>
    <x v="0"/>
    <s v="BODEGA LOS CARRERA COPIAPO"/>
    <s v="AE,CC,EE,2AB,AC,AISO,AAUTO,SR,UD,DLL"/>
    <s v="SQRD4G15BBLD00056"/>
    <s v="LVVDC11B1MD013133"/>
    <s v="MAURICIO ANDRÉS VALENZUELA SOLAR"/>
    <s v="06-05-2026 0:00:00"/>
    <n v="1"/>
    <s v="06-05-2026 0:00:00"/>
    <s v="06-05-2026 17:48:56"/>
    <s v=""/>
    <n v="1"/>
    <n v="0"/>
    <s v=""/>
    <n v="0"/>
    <n v="4800000"/>
    <n v="201240"/>
    <n v="0"/>
    <n v="5001240"/>
    <n v="6190000"/>
    <n v="1188760"/>
    <n v="192"/>
  </r>
  <r>
    <s v="IMPORTADORA TRENTO LTDA"/>
    <s v="MEGACENTRO OVALLE"/>
    <n v="0"/>
    <n v="0"/>
    <s v=""/>
    <s v=""/>
    <s v=""/>
    <s v=""/>
    <s v="05-12-2025 18:11:39"/>
    <s v=""/>
    <s v="1FTEW1E51LFC25883"/>
    <x v="3"/>
    <x v="28"/>
    <x v="84"/>
    <s v="FOF150LA4X450AT"/>
    <x v="8"/>
    <n v="111255"/>
    <s v="TFOCMTU001144"/>
    <x v="91"/>
    <s v="USADO"/>
    <s v="PLATEADO METALICO"/>
    <s v="POR DEFINIR"/>
    <n v="27190000"/>
    <s v="Disponible"/>
    <n v="179"/>
    <x v="0"/>
    <s v="BODEGA OVALLEveih"/>
    <s v="AE,CC,EE,NB,AAC,ABS,LL,AISO,AAUTO,CRE,MAV,SR,DLL,6"/>
    <s v="LFC25883"/>
    <s v="1FTEW1E51LFC25883"/>
    <s v="GILBERTO ALEJANDRO PARDO ALCAYAGA"/>
    <s v="05-12-2025 0:00:00"/>
    <n v="1"/>
    <s v="05-12-2025 0:00:00"/>
    <s v="05-12-2025 18:11:02"/>
    <s v=""/>
    <n v="2"/>
    <n v="0"/>
    <s v=""/>
    <n v="0"/>
    <n v="24000000"/>
    <n v="486030"/>
    <n v="0"/>
    <n v="24486030"/>
    <n v="27190000"/>
    <n v="2703970"/>
    <n v="994"/>
  </r>
  <r>
    <s v="IMPORTADORA TRENTO LTDA"/>
    <s v="LOCAL USADOS COPIAPO"/>
    <n v="0"/>
    <n v="0"/>
    <s v=""/>
    <s v=""/>
    <s v=""/>
    <s v=""/>
    <s v="30-03-2026 13:25:15"/>
    <s v=""/>
    <s v="VF3MCYHZUNL000473"/>
    <x v="0"/>
    <x v="0"/>
    <x v="0"/>
    <s v="5008BH130"/>
    <x v="8"/>
    <n v="77000"/>
    <s v="TPESTWU000450"/>
    <x v="92"/>
    <s v="USADO"/>
    <s v="GRIS PLATINIUM"/>
    <s v="POR DEFINIR"/>
    <n v="16490000"/>
    <s v="Disponible"/>
    <n v="64"/>
    <x v="0"/>
    <s v="BODEGA LOS CARRERA COPIAPO"/>
    <s v="AE,CC,EE,AAC,ABS,LL,VC,AISO,AAUTO,CRE,MAV,ACD,SR,U"/>
    <s v="10Q3EJ1170226"/>
    <s v="VF3MCYHZUNL000473"/>
    <s v="JESSICA ALEJANDRA MELLA TAPIA"/>
    <s v="30-03-2026 0:00:00"/>
    <n v="1"/>
    <s v="30-03-2026 0:00:00"/>
    <s v="30-03-2026 13:24:46"/>
    <s v=""/>
    <n v="1"/>
    <n v="0"/>
    <s v=""/>
    <n v="0"/>
    <n v="14600000"/>
    <n v="348240"/>
    <n v="0"/>
    <n v="14948240"/>
    <n v="16490000"/>
    <n v="1541760"/>
    <n v="935"/>
  </r>
  <r>
    <s v="IMPORTADORA TRENTO LTDA"/>
    <s v="LOCAL USADOS COPIAPO"/>
    <n v="0"/>
    <n v="0"/>
    <s v=""/>
    <s v=""/>
    <s v=""/>
    <s v=""/>
    <s v="28-08-2025 17:50:15"/>
    <s v=""/>
    <s v="VR3FDAHDE P3009377"/>
    <x v="0"/>
    <x v="47"/>
    <x v="85"/>
    <s v="L666MT"/>
    <x v="0"/>
    <n v="67000"/>
    <s v="TPECMTU000014"/>
    <x v="93"/>
    <s v="USADO"/>
    <s v="BLANCO"/>
    <s v="POR DEFINIR"/>
    <n v="13750000"/>
    <s v="Disponible"/>
    <n v="278"/>
    <x v="5"/>
    <s v="BODEGA LOS CARRERA COPIAPO"/>
    <s v="AE,CC,EE,ABS,VC,AC,AISO,AAUTO,CRE,MAV,ACD,SR,UD,DL"/>
    <s v="A5D22003815"/>
    <s v="VR3FDAHDE P3009377"/>
    <s v="DANIEL ALEJANDRO RODRIGUEZ LETELIER"/>
    <s v="28-08-2025 0:00:00"/>
    <n v="1"/>
    <s v="28-08-2025 0:00:00"/>
    <s v="28-08-2025 17:49:40"/>
    <s v=""/>
    <n v="1"/>
    <n v="0"/>
    <s v=""/>
    <n v="0"/>
    <n v="14000000"/>
    <n v="336030"/>
    <n v="0"/>
    <n v="14336030"/>
    <n v="13750000"/>
    <n v="-586030"/>
    <n v="-426"/>
  </r>
  <r>
    <s v="IMPORTADORA TRENTO LTDA"/>
    <s v="LOCAL PREMIUM CAR SALES"/>
    <n v="0"/>
    <n v="0"/>
    <s v=""/>
    <s v=""/>
    <s v=""/>
    <s v=""/>
    <s v="17-11-2025 18:40:32"/>
    <s v=""/>
    <s v="VF3MCYHZM NS002292"/>
    <x v="0"/>
    <x v="21"/>
    <x v="86"/>
    <s v="P300815"/>
    <x v="8"/>
    <n v="98100"/>
    <s v="TPESTWU000435"/>
    <x v="94"/>
    <s v="USADO"/>
    <s v="BLANCO NACARADO"/>
    <s v="POR DEFINIR"/>
    <n v="14890000"/>
    <s v="Disponible"/>
    <n v="197"/>
    <x v="3"/>
    <s v="PREMIUM CAR SALES"/>
    <s v="AE,CC,EE,AAC,ABS,LL,AISO,AAUTO,CRE,MAV,SR,DLL,6AB"/>
    <s v="10Q4EL0002967"/>
    <s v="VF3MCYHZM NS002292"/>
    <s v="ADOLFO MARCELO ACUÑA MADRIGAL"/>
    <s v="17-11-2025 0:00:00"/>
    <n v="1"/>
    <s v="17-11-2025 0:00:00"/>
    <s v="17-11-2025 18:38:59"/>
    <s v=""/>
    <n v="3"/>
    <n v="0"/>
    <s v=""/>
    <n v="0"/>
    <n v="13490000"/>
    <n v="328380"/>
    <n v="0"/>
    <n v="13818380"/>
    <n v="14890000"/>
    <n v="1071620"/>
    <n v="72"/>
  </r>
  <r>
    <s v="IMPORTADORA TRENTO LTDA"/>
    <s v="MEGACENTRO OVALLE"/>
    <n v="0"/>
    <n v="0"/>
    <s v=""/>
    <s v=""/>
    <s v=""/>
    <s v=""/>
    <s v="30-09-2025 19:19:30"/>
    <s v=""/>
    <s v="VF3MRHNSM PS004241"/>
    <x v="0"/>
    <x v="21"/>
    <x v="22"/>
    <s v="3P1L"/>
    <x v="0"/>
    <n v="45360"/>
    <s v="TPESTWU000424"/>
    <x v="95"/>
    <s v="USADO"/>
    <s v="BLANCO NACARADO"/>
    <s v="POR DEFINIR"/>
    <n v="13990000"/>
    <s v="Disponible"/>
    <n v="245"/>
    <x v="0"/>
    <s v="BODEGA OVALLEveih"/>
    <s v="AE,CC,EE,AAC,ABS,LL,VC,AISO,AAUTO,CRE,MAV,SR,UD,DL"/>
    <s v="10TMAF0001673"/>
    <s v="VF3MRHNSM PS004241"/>
    <s v="CECILIA BEATRIZ TAPIA CASTRO"/>
    <s v="30-09-2025 0:00:00"/>
    <n v="1"/>
    <s v="06-11-2025 11:46:00"/>
    <s v="06-11-2025 11:46:00"/>
    <s v="31-07-2027 0:00:00"/>
    <n v="1"/>
    <n v="0"/>
    <s v=""/>
    <n v="0"/>
    <n v="12100000"/>
    <n v="307530"/>
    <n v="0"/>
    <n v="12407530"/>
    <n v="13990000"/>
    <n v="1582470"/>
    <n v="1131"/>
  </r>
  <r>
    <s v="IMPORTADORA TRENTO LTDA"/>
    <s v="MEGACENTRO OVALLE"/>
    <n v="0"/>
    <n v="0"/>
    <s v=""/>
    <s v=""/>
    <s v=""/>
    <s v=""/>
    <s v="27-05-2026 17:54:58"/>
    <s v=""/>
    <s v="JF1SK7LL5RG259442"/>
    <x v="26"/>
    <x v="62"/>
    <x v="87"/>
    <s v="SF99"/>
    <x v="5"/>
    <n v="76000"/>
    <s v="TSUSTWU000399"/>
    <x v="96"/>
    <s v="USADO"/>
    <s v="PLATEADO HIELO CLARO"/>
    <s v="POR DEFINIR"/>
    <n v="23990000"/>
    <s v="Disponible"/>
    <n v="6"/>
    <x v="4"/>
    <s v="BODEGA OVALLEveih"/>
    <s v="AE,CC,EE,NB,AAC,ABS,LL,VC,AISO,AAUTO,CRE,MAV,ACD,S"/>
    <s v="YX96759"/>
    <s v="JF1SK7LL5RG259442"/>
    <s v="EDUARDO ENRIQUE ANTIQUERA ANTIQUERA"/>
    <s v="27-05-2026 0:00:00"/>
    <n v="1"/>
    <s v="27-05-2026 0:00:00"/>
    <s v="27-05-2026 17:50:26"/>
    <s v=""/>
    <n v="1"/>
    <n v="0"/>
    <s v=""/>
    <n v="0"/>
    <n v="19000000"/>
    <n v="0"/>
    <n v="0"/>
    <n v="19000000"/>
    <n v="23990000"/>
    <n v="4990000"/>
    <n v="208"/>
  </r>
  <r>
    <s v="IMPORTADORA TRENTO LTDA"/>
    <s v="LOCAL USADOS COPIAPO"/>
    <n v="0"/>
    <n v="0"/>
    <s v=""/>
    <s v=""/>
    <s v=""/>
    <s v=""/>
    <s v="19-12-2025 10:02:31"/>
    <s v=""/>
    <s v="8AFBR00E1RJ404211"/>
    <x v="3"/>
    <x v="19"/>
    <x v="88"/>
    <s v="FORANXLS20MT"/>
    <x v="4"/>
    <n v="34500"/>
    <s v="TFOCMTU001145"/>
    <x v="97"/>
    <s v="USADO"/>
    <s v="BLANCO"/>
    <s v="POR DEFINIR"/>
    <n v="29490000"/>
    <s v="Disponible"/>
    <n v="165"/>
    <x v="0"/>
    <s v="BODEGA LOS CARRERA COPIAPO"/>
    <s v="AE,CC,EE,AAC,ABS,LL,VC,ESP,AISO,AAUTO,CRE,MAV,SR,U"/>
    <s v="P02X RJ404211"/>
    <s v="8AFBR00E1RJ404211"/>
    <s v="MATIAS OLAZO SPA"/>
    <s v="19-12-2025 0:00:00"/>
    <n v="1"/>
    <s v="19-12-2025 0:00:00"/>
    <s v="19-12-2025 9:51:58"/>
    <s v=""/>
    <n v="1"/>
    <n v="0"/>
    <s v=""/>
    <n v="0"/>
    <n v="27000000"/>
    <n v="531030"/>
    <n v="0"/>
    <n v="27531030"/>
    <n v="29490000"/>
    <n v="1958970"/>
    <n v="664"/>
  </r>
  <r>
    <s v="IMPORTADORA TRENTO LTDA"/>
    <s v="LOCAL USADOS COPIAPO"/>
    <n v="0"/>
    <n v="0"/>
    <s v=""/>
    <s v=""/>
    <s v=""/>
    <s v=""/>
    <s v="02-10-2025 16:52:58"/>
    <s v=""/>
    <s v="VR3KAHPY6 SS009601"/>
    <x v="0"/>
    <x v="21"/>
    <x v="89"/>
    <s v="3008ALLUSA"/>
    <x v="4"/>
    <n v="4687"/>
    <s v="TPESTWU000425"/>
    <x v="98"/>
    <s v="USADO"/>
    <s v="GRIS ARTENSE"/>
    <s v="POR DEFINIR"/>
    <n v="23890000"/>
    <s v="Disponible"/>
    <n v="243"/>
    <x v="0"/>
    <s v="BODEGA LOS CARRERA COPIAPO"/>
    <s v="AE,CC,EE,AAC,ABS,LL,AISO,AAUTO,CRE,MAV,ACD,SR,UD,D"/>
    <s v="10ZA040090603"/>
    <s v="VR3KAHPY6 SS009601"/>
    <s v="PEDRO ANDRES NARVAEZ FLORES"/>
    <s v="02-10-2025 0:00:00"/>
    <n v="1"/>
    <s v="02-10-2025 0:00:00"/>
    <s v="02-10-2025 16:52:06"/>
    <s v=""/>
    <n v="1"/>
    <n v="0"/>
    <s v=""/>
    <n v="0"/>
    <n v="28490000"/>
    <n v="914223"/>
    <n v="0"/>
    <n v="29404223"/>
    <n v="23890000"/>
    <n v="-5514223"/>
    <n v="-2308"/>
  </r>
  <r>
    <s v="IMPORTADORA TRENTO LTDA"/>
    <s v="LOCAL PREMIUM CAR SALES"/>
    <n v="0"/>
    <n v="0"/>
    <s v=""/>
    <s v=""/>
    <s v=""/>
    <s v=""/>
    <s v="06-04-2026 12:38:49"/>
    <s v=""/>
    <s v="LJXCU2BB8SHF74852"/>
    <x v="3"/>
    <x v="3"/>
    <x v="90"/>
    <s v="FOTETI15AT"/>
    <x v="4"/>
    <n v="8335"/>
    <s v="TFOSTWU001404"/>
    <x v="99"/>
    <s v="USADO"/>
    <s v="NEGRO PANTERA"/>
    <s v="POR DEFINIR"/>
    <n v="19490000"/>
    <s v="Disponible"/>
    <n v="57"/>
    <x v="3"/>
    <s v="PREMIUM CAR SALES"/>
    <s v="AE,CC,EE,AAC,ABS,LL,TC,VC,AISO,ACP,AAUTO,CRE,MAV,A"/>
    <s v="S3G021632"/>
    <s v="LJXCU2BB8SHF74852"/>
    <s v="GUILLERMO MARCELO CUELLO PIZARRO"/>
    <s v="06-04-2026 0:00:00"/>
    <n v="1"/>
    <s v="06-04-2026 0:00:00"/>
    <s v="06-04-2026 12:34:16"/>
    <s v=""/>
    <n v="1"/>
    <n v="0"/>
    <s v=""/>
    <n v="0"/>
    <n v="16000000"/>
    <n v="369240"/>
    <n v="0"/>
    <n v="16369240"/>
    <n v="19490000"/>
    <n v="3120760"/>
    <n v="1601"/>
  </r>
  <r>
    <s v="IMPORTADORA TRENTO LTDA"/>
    <s v="LOCAL PREMIUM CAR SALES"/>
    <n v="0"/>
    <n v="0"/>
    <s v=""/>
    <s v=""/>
    <s v=""/>
    <s v=""/>
    <s v="16-05-2024 13:37:55"/>
    <s v=""/>
    <s v="2FMPK4J93PBA47752"/>
    <x v="3"/>
    <x v="25"/>
    <x v="91"/>
    <s v="FED001"/>
    <x v="5"/>
    <n v="5000"/>
    <s v="TFOSTWU001301"/>
    <x v="100"/>
    <s v="USADO"/>
    <s v="BLANCO METALICO"/>
    <s v="POR DEFINIR"/>
    <n v="27990000"/>
    <s v="Disponible"/>
    <n v="747"/>
    <x v="0"/>
    <s v="PREMIUM CAR SALES"/>
    <s v="AE,CC,EE,AAC,ABS,LL,TC,VC,ESP,SS,AISO,ACP,AAUTO,AE"/>
    <s v="PBA47752"/>
    <s v="2FMPK4J93PBA47752"/>
    <s v="LORETO ROXANA REBOLLEDO RISSETTI"/>
    <s v="16-05-2024 0:00:00"/>
    <n v="1"/>
    <s v="28-02-2026 15:33:00"/>
    <s v="28-02-2026 15:33:00"/>
    <s v=""/>
    <n v="0"/>
    <n v="0"/>
    <s v=""/>
    <n v="0"/>
    <n v="33990000"/>
    <n v="709880"/>
    <n v="0"/>
    <n v="34699880"/>
    <n v="27990000"/>
    <n v="-6709880"/>
    <n v="-2397"/>
  </r>
  <r>
    <s v="IMPORTADORA TRENTO LTDA"/>
    <s v="LOCAL USADOS COPIAPO"/>
    <n v="0"/>
    <n v="0"/>
    <s v=""/>
    <s v=""/>
    <s v=""/>
    <s v=""/>
    <s v="28-11-2025 12:40:34"/>
    <s v=""/>
    <s v="SJNTAAJ12 PA121164"/>
    <x v="18"/>
    <x v="36"/>
    <x v="46"/>
    <s v="ASTR77"/>
    <x v="0"/>
    <n v="45000"/>
    <s v="TNISTWU000600"/>
    <x v="101"/>
    <s v="USADO"/>
    <s v="BLANCO PERLA"/>
    <s v="POR DEFINIR"/>
    <n v="17390000"/>
    <s v="Disponible"/>
    <n v="186"/>
    <x v="0"/>
    <s v="BODEGA LOS CARRERA COPIAPO"/>
    <s v="AE,CC,EE,ABS,LL,VC,AC,AISO,AAUTO,CRE,MAV,ACD,SR,UD"/>
    <s v="HR13460529A"/>
    <s v="SJNTAAJ12 PA121164"/>
    <s v="PATRICIA JESUS PAYACAN PALACIOS"/>
    <s v="28-11-2025 0:00:00"/>
    <n v="1"/>
    <s v="28-11-2025 0:00:00"/>
    <s v="28-11-2025 12:39:51"/>
    <s v="30-06-2026 0:00:00"/>
    <n v="1"/>
    <n v="0"/>
    <s v=""/>
    <n v="0"/>
    <n v="15400000"/>
    <n v="566967"/>
    <n v="0"/>
    <n v="15966967"/>
    <n v="17390000"/>
    <n v="1423033"/>
    <n v="818"/>
  </r>
  <r>
    <s v="IMPORTADORA TRENTO LTDA"/>
    <s v="LOCAL PREMIUM CAR SALES"/>
    <n v="0"/>
    <n v="0"/>
    <s v=""/>
    <s v=""/>
    <s v=""/>
    <s v=""/>
    <s v="30-04-2024 14:05:18"/>
    <s v=""/>
    <s v="*/+--....../*...."/>
    <x v="11"/>
    <x v="63"/>
    <x v="92"/>
    <s v="VWA44"/>
    <x v="0"/>
    <n v="15600"/>
    <s v="TVOCMTU000037"/>
    <x v="102"/>
    <s v="USADO"/>
    <s v="GRIS INDIO METALIZADO"/>
    <s v="POR DEFINIR"/>
    <n v="33190000"/>
    <s v="Disponible"/>
    <n v="763"/>
    <x v="7"/>
    <s v="PREMIUM CAR SALES"/>
    <s v="AE,CC,EE,NB,AAC,ABS,LL,TC,VC,ESP,SS,AISO,AAUTO,CRE"/>
    <s v="CSH 255654"/>
    <s v="WV1ZZZ2HZPA010091"/>
    <s v="INMOBILIA ROJAS ALVAREZ LTDA"/>
    <s v="30-04-2024 0:00:00"/>
    <n v="1"/>
    <s v="12-05-2025 17:38:00"/>
    <s v="12-05-2025 17:38:00"/>
    <s v=""/>
    <n v="0"/>
    <n v="0"/>
    <s v=""/>
    <n v="0"/>
    <n v="28500000"/>
    <n v="1097663"/>
    <n v="0"/>
    <n v="29597663"/>
    <n v="33190000"/>
    <n v="3592337"/>
    <n v="1082"/>
  </r>
  <r>
    <s v="IMPORTADORA TRENTO LTDA"/>
    <s v="MEGACENTRO OVALLE"/>
    <n v="0"/>
    <n v="0"/>
    <s v=""/>
    <s v=""/>
    <s v=""/>
    <s v=""/>
    <s v="13-05-2026 12:15:42"/>
    <s v=""/>
    <s v="98859121B SKR89716"/>
    <x v="7"/>
    <x v="64"/>
    <x v="93"/>
    <s v="RARAMBH4X420AT"/>
    <x v="4"/>
    <n v="7500"/>
    <s v="TRACMTU000052"/>
    <x v="103"/>
    <s v="USADO"/>
    <s v="BLANCO POLAR"/>
    <s v="POR DEFINIR"/>
    <n v="27490000"/>
    <s v="Disponible"/>
    <n v="20"/>
    <x v="0"/>
    <s v="BODEGA OVALLEveih"/>
    <s v=""/>
    <s v="463495081650383"/>
    <s v="98859121B SKR89716"/>
    <s v="JORGE ANTONIO AGUILERA CÁCERES"/>
    <s v="13-05-2026 0:00:00"/>
    <n v="1"/>
    <s v="13-05-2026 0:00:00"/>
    <s v="13-05-2026 12:13:40"/>
    <s v=""/>
    <n v="1"/>
    <n v="0"/>
    <s v=""/>
    <n v="0"/>
    <n v="22120000"/>
    <n v="0"/>
    <n v="0"/>
    <n v="22120000"/>
    <n v="27490000"/>
    <n v="5370000"/>
    <n v="1953"/>
  </r>
  <r>
    <s v="IMPORTADORA TRENTO LTDA"/>
    <s v="LOCAL PREMIUM CAR SALES"/>
    <n v="0"/>
    <n v="0"/>
    <s v=""/>
    <s v=""/>
    <s v=""/>
    <s v=""/>
    <s v="25-05-2026 10:25:02"/>
    <s v=""/>
    <s v="/////+++///.+*..."/>
    <x v="27"/>
    <x v="65"/>
    <x v="94"/>
    <s v="LK777"/>
    <x v="5"/>
    <n v="18000"/>
    <s v="TMGSTWU000059"/>
    <x v="104"/>
    <s v="USADO"/>
    <s v="ROJO"/>
    <s v="POR DEFINIR"/>
    <n v="9990000"/>
    <s v="Disponible"/>
    <n v="8"/>
    <x v="4"/>
    <s v="PREMIUM CAR SALES"/>
    <s v="AE,CC,EE,2AB,ABS,LL,AC,AISO,AAUTO,CRE,ACD,SR,UD,DL"/>
    <s v="15S4CANGN9040295"/>
    <s v="LSJW74U60 PZ053216"/>
    <s v="RAMON ANDRES ANABALON RIVERA"/>
    <s v="25-05-2026 0:00:00"/>
    <n v="1"/>
    <s v="25-05-2026 0:00:00"/>
    <s v="25-05-2026 10:24:24"/>
    <s v=""/>
    <n v="1"/>
    <n v="0"/>
    <s v=""/>
    <n v="0"/>
    <n v="7800000"/>
    <n v="0"/>
    <n v="0"/>
    <n v="7800000"/>
    <n v="9990000"/>
    <n v="2190000"/>
    <n v="2192"/>
  </r>
  <r>
    <s v="IMPORTADORA TRENTO LTDA"/>
    <s v="LOCAL USADOS COPIAPO"/>
    <n v="0"/>
    <n v="0"/>
    <s v=""/>
    <s v=""/>
    <s v=""/>
    <s v=""/>
    <s v="30-05-2026 11:24:30"/>
    <s v=""/>
    <s v="JN1KC4E26 P9020038"/>
    <x v="18"/>
    <x v="66"/>
    <x v="95"/>
    <s v="NIUR01"/>
    <x v="0"/>
    <n v="71248"/>
    <s v="TNIFRGU000002"/>
    <x v="105"/>
    <s v="USADO"/>
    <s v="BLANCO"/>
    <s v="POR DEFINIR"/>
    <n v="19990000"/>
    <s v="Disponible"/>
    <n v="3"/>
    <x v="4"/>
    <s v="BODEGA LOS CARRERA COPIAPO"/>
    <s v="AE,CC,EE,2AB,ABS,AC,AISO,AAUTO,CRE,ACD,DLL"/>
    <s v="YD25113544B"/>
    <s v="JN1KC4E26 P9020038"/>
    <s v="INVERSIONES SEYMAQ ATACAMA LIMITADA"/>
    <s v="30-05-2026 0:00:00"/>
    <n v="1"/>
    <s v="30-05-2026 0:00:00"/>
    <s v="30-05-2026 11:24:09"/>
    <s v="31-08-2027 0:00:00"/>
    <n v="3"/>
    <n v="0"/>
    <s v=""/>
    <n v="0"/>
    <n v="15500000"/>
    <n v="0"/>
    <n v="0"/>
    <n v="15500000"/>
    <n v="19990000"/>
    <n v="4490000"/>
    <n v="2246"/>
  </r>
  <r>
    <s v="IMPORTADORA TRENTO LTDA"/>
    <s v="LOCAL PREMIUM CAR SALES"/>
    <n v="0"/>
    <n v="0"/>
    <s v=""/>
    <s v=""/>
    <s v=""/>
    <s v=""/>
    <s v="30-10-2025 16:09:38"/>
    <s v=""/>
    <s v="1FTFW1RG1KFC72541"/>
    <x v="3"/>
    <x v="28"/>
    <x v="74"/>
    <s v="FRK7"/>
    <x v="9"/>
    <n v="97261"/>
    <s v="TFOCMTU001137"/>
    <x v="106"/>
    <s v="USADO"/>
    <s v="BLANCO OXFOR"/>
    <s v="POR DEFINIR"/>
    <n v="45990000"/>
    <s v="Disponible"/>
    <n v="215"/>
    <x v="9"/>
    <s v="PREMIUM CAR SALES"/>
    <s v="AE,CC,EE,AAC,ABS,TC,VC,AISO,AAUTO,CRE,MAV,ACD,SR,U"/>
    <s v="KFC72541"/>
    <s v="1FTFW1RG1KFC72541"/>
    <s v="ARRIAGADA DIAZ MANUEL ANTONIO Y PINTO OÑATE MARIA BELEN LTDA"/>
    <s v="30-10-2025 0:00:00"/>
    <n v="1"/>
    <s v="25-02-2026 10:09:00"/>
    <s v="25-02-2026 10:09:00"/>
    <s v="30-04-2026 0:00:00"/>
    <n v="1"/>
    <n v="0"/>
    <s v=""/>
    <n v="0"/>
    <n v="34200000"/>
    <n v="639030"/>
    <n v="0"/>
    <n v="34839030"/>
    <n v="45990000"/>
    <n v="11150970"/>
    <n v="2425"/>
  </r>
  <r>
    <s v="IMPORTADORA TRENTO LTDA"/>
    <s v="LOCAL PREMIUM CAR SALES"/>
    <n v="0"/>
    <n v="0"/>
    <s v=""/>
    <s v=""/>
    <s v=""/>
    <s v=""/>
    <s v="29-04-2026 14:53:48"/>
    <s v=""/>
    <s v="VR3EDYHT0 TJ505511"/>
    <x v="0"/>
    <x v="67"/>
    <x v="96"/>
    <s v="PEPART15MT"/>
    <x v="4"/>
    <n v="15700"/>
    <s v="TPEFRGU000059"/>
    <x v="107"/>
    <s v="USADO"/>
    <s v="BLANCO HIELO"/>
    <s v="POR DEFINIR"/>
    <n v="16990000"/>
    <s v="Disponible"/>
    <n v="34"/>
    <x v="1"/>
    <s v="PREMIUM CAR SALES"/>
    <s v=""/>
    <s v="10Q4EU0509634"/>
    <s v="VR3EDYHT0 TJ505511"/>
    <s v="SEGURIDAD PRIVADA Y ASEO INDUSTRIAL GUILLERMO DE JESUS NEIRA ARAYA SPA . ."/>
    <s v="29-04-2026 0:00:00"/>
    <n v="1"/>
    <s v="29-04-2026 0:00:00"/>
    <s v="29-04-2026 14:53:24"/>
    <s v=""/>
    <n v="1"/>
    <n v="0"/>
    <s v=""/>
    <n v="0"/>
    <n v="13500000"/>
    <n v="331740"/>
    <n v="0"/>
    <n v="13831740"/>
    <n v="16990000"/>
    <n v="3158260"/>
    <n v="1859"/>
  </r>
  <r>
    <s v="IMPORTADORA TRENTO LTDA"/>
    <s v="LOCAL PREMIUM CAR SALES"/>
    <n v="0"/>
    <n v="0"/>
    <s v=""/>
    <s v=""/>
    <s v=""/>
    <s v=""/>
    <s v="22-05-2026 18:33:04"/>
    <s v=""/>
    <s v="VF7DDYHT2RJ543727"/>
    <x v="24"/>
    <x v="68"/>
    <x v="97"/>
    <s v="CICELYSHDI15MT"/>
    <x v="5"/>
    <n v="49400"/>
    <s v="TCIAUTU000132"/>
    <x v="108"/>
    <s v="USADO"/>
    <s v="GRIS ARTENSE"/>
    <s v="POR DEFINIR"/>
    <n v="11990000"/>
    <s v="Disponible"/>
    <n v="11"/>
    <x v="0"/>
    <s v="PREMIUM CAR SALES"/>
    <s v="AE,CC,EE,2AB,NB,ABS,LL,AC,AISO,AAUTO,ACD,UD,DLL"/>
    <s v="10Q4DF0142811"/>
    <s v="VF7DDYHT2RJ543727"/>
    <s v="COMERCIAL SAN MARINO SPA."/>
    <s v="22-05-2026 0:00:00"/>
    <n v="1"/>
    <s v="22-05-2026 0:00:00"/>
    <s v="22-05-2026 18:31:16"/>
    <s v=""/>
    <n v="1"/>
    <n v="0"/>
    <s v=""/>
    <n v="0"/>
    <n v="10200000"/>
    <n v="0"/>
    <n v="0"/>
    <n v="10200000"/>
    <n v="11990000"/>
    <n v="1790000"/>
    <n v="1493"/>
  </r>
  <r>
    <s v="IMPORTADORA TRENTO LTDA"/>
    <s v="LOCAL PREMIUM CAR SALES"/>
    <n v="0"/>
    <n v="0"/>
    <s v=""/>
    <s v=""/>
    <s v=""/>
    <s v=""/>
    <s v="27-01-2023 10:03:02"/>
    <s v=""/>
    <s v="LJXCU2BB4MTP00962"/>
    <x v="3"/>
    <x v="3"/>
    <x v="4"/>
    <s v="FTU1"/>
    <x v="8"/>
    <n v="26963"/>
    <s v="TFOSTWU001235"/>
    <x v="109"/>
    <s v="USADO"/>
    <s v="ROJO"/>
    <s v="POR DEFINIR"/>
    <n v="12990000"/>
    <s v="Disponible"/>
    <n v="1222"/>
    <x v="3"/>
    <s v="PREMIUM CAR SALES"/>
    <s v="AE,CC,EE,NB,AAC,ABS,LL,VC,4AB,ESP,AISO,ACP,AAUTO,A"/>
    <s v="L5G014983"/>
    <s v="LJXCU2BB4MTP00962"/>
    <s v="GLADYS ISABEL CAMPOS LEDEZMA"/>
    <s v="27-01-2023 0:00:00"/>
    <n v="1"/>
    <s v="27-01-2023 0:00:00"/>
    <s v="27-01-2023 10:02:29"/>
    <s v=""/>
    <n v="0"/>
    <n v="0"/>
    <s v=""/>
    <n v="0"/>
    <n v="15500000"/>
    <n v="899467"/>
    <n v="0"/>
    <n v="16399467"/>
    <n v="12990000"/>
    <n v="-3409467"/>
    <n v="-2625"/>
  </r>
  <r>
    <s v="IMPORTADORA TRENTO LTDA"/>
    <s v="LOCAL PREMIUM CAR SALES"/>
    <n v="0"/>
    <n v="0"/>
    <s v=""/>
    <s v=""/>
    <s v=""/>
    <s v=""/>
    <s v="18-02-2026 9:30:32"/>
    <s v=""/>
    <s v="1FMCU0BZ6 NUB02251"/>
    <x v="3"/>
    <x v="12"/>
    <x v="24"/>
    <s v="FOESFEHV20AT"/>
    <x v="0"/>
    <n v="80000"/>
    <s v="TFOSTWU001399"/>
    <x v="110"/>
    <s v="USADO"/>
    <s v="GRIS"/>
    <s v="POR DEFINIR"/>
    <n v="19290000"/>
    <s v="Disponible"/>
    <n v="104"/>
    <x v="0"/>
    <s v="PREMIUM CAR SALES"/>
    <s v="AE,CC,EE,AAC,ABS,LL,VC,ESP,SS,AISO,ACP,AAUTO,CRE,M"/>
    <s v="NUB02251"/>
    <s v="1FMCU0BZ6 NUB02251"/>
    <s v="KARLA NIKOL FLORES CASTILLO"/>
    <s v="18-02-2026 0:00:00"/>
    <n v="1"/>
    <s v="18-02-2026 0:00:00"/>
    <s v="18-02-2026 9:30:04"/>
    <s v=""/>
    <n v="0"/>
    <n v="0"/>
    <s v=""/>
    <n v="0"/>
    <n v="15400000"/>
    <n v="357030"/>
    <n v="0"/>
    <n v="15757030"/>
    <n v="19290000"/>
    <n v="3532970"/>
    <n v="1832"/>
  </r>
  <r>
    <s v="IMPORTADORA TRENTO LTDA"/>
    <s v="LOCAL PREMIUM CAR SALES"/>
    <n v="0"/>
    <n v="0"/>
    <s v=""/>
    <s v=""/>
    <s v=""/>
    <s v=""/>
    <s v="28-04-2026 11:00:49"/>
    <s v=""/>
    <s v="/////+/+///++*..."/>
    <x v="0"/>
    <x v="47"/>
    <x v="63"/>
    <s v="PELANHDI4X422AT"/>
    <x v="5"/>
    <n v="81000"/>
    <s v="TPECMTU000019"/>
    <x v="111"/>
    <s v="USADO"/>
    <s v="BLANCO BANQUISE"/>
    <s v="POR DEFINIR"/>
    <n v="18990000"/>
    <s v="Disponible"/>
    <n v="35"/>
    <x v="4"/>
    <s v="PREMIUM CAR SALES"/>
    <s v="AE,CC,EE,AAC,ABS,LL,VC,AISO,AAUTO,CRE,MAV,ACD,SR,U"/>
    <s v="10VRAC4001684"/>
    <s v="9V8FF4HY1 PA800951"/>
    <s v="SAFETY CIRCLE SERVICIOS INTEGRALES SPA"/>
    <s v="28-04-2026 0:00:00"/>
    <n v="1"/>
    <s v="28-04-2026 0:00:00"/>
    <s v="28-04-2026 11:00:18"/>
    <s v=""/>
    <n v="1"/>
    <n v="0"/>
    <s v=""/>
    <n v="0"/>
    <n v="15500000"/>
    <n v="361740"/>
    <n v="0"/>
    <n v="15861740"/>
    <n v="18990000"/>
    <n v="3128260"/>
    <n v="1647"/>
  </r>
  <r>
    <s v="IMPORTADORA TRENTO LTDA"/>
    <s v="LOCAL PREMIUM CAR SALES"/>
    <n v="0"/>
    <n v="0"/>
    <s v=""/>
    <s v=""/>
    <s v=""/>
    <s v=""/>
    <s v="30-04-2026 17:50:27"/>
    <s v=""/>
    <s v="///./+++++/++*..."/>
    <x v="2"/>
    <x v="69"/>
    <x v="98"/>
    <s v="HAH6GT4X420AT"/>
    <x v="5"/>
    <n v="53000"/>
    <s v="THASTWU000024"/>
    <x v="112"/>
    <s v="USADO"/>
    <s v="GRIS METALICO"/>
    <s v="POR DEFINIR"/>
    <n v="18490000"/>
    <s v="Disponible"/>
    <n v="33"/>
    <x v="9"/>
    <s v="PREMIUM CAR SALES"/>
    <s v="AE,CC,EE,AAC,ABS,LL,VC,AISO,AAUTO,CRE,MAV,ACD,SR,U"/>
    <s v="GW4N2023401031045"/>
    <s v="LGWFF6A58 RH923399"/>
    <s v="VICTORIA PAZ MILLA SOTO"/>
    <s v="30-04-2026 0:00:00"/>
    <n v="1"/>
    <s v="30-04-2026 0:00:00"/>
    <s v="30-04-2026 17:49:33"/>
    <s v=""/>
    <n v="1"/>
    <n v="0"/>
    <s v=""/>
    <n v="0"/>
    <n v="15700000"/>
    <n v="0"/>
    <n v="0"/>
    <n v="15700000"/>
    <n v="18490000"/>
    <n v="2790000"/>
    <n v="1509"/>
  </r>
  <r>
    <s v="IMPORTADORA TRENTO LTDA"/>
    <s v="LOCAL USADOS COPIAPO"/>
    <n v="0"/>
    <n v="0"/>
    <s v=""/>
    <s v=""/>
    <s v=""/>
    <s v=""/>
    <s v="30-03-2026 14:30:41"/>
    <s v=""/>
    <s v="MALA851CALM037708"/>
    <x v="4"/>
    <x v="9"/>
    <x v="99"/>
    <s v="HYGRI10GLS15MT"/>
    <x v="9"/>
    <n v="61894"/>
    <s v="THYAUTU000583"/>
    <x v="113"/>
    <s v="USADO"/>
    <s v="BLANCO"/>
    <s v="POR DEFINIR"/>
    <n v="7890000"/>
    <s v="Disponible"/>
    <n v="64"/>
    <x v="0"/>
    <s v="BODEGA LOS CARRERA COPIAPO"/>
    <s v="AE,ABS,AC,AISO,AAUTO,ACD,UD,DLL"/>
    <s v="G4LAKM317549"/>
    <s v="MALA851CALM037708"/>
    <s v="CONSTANZA NICOLLE CHAPARRO ALFARO"/>
    <s v="30-03-2026 0:00:00"/>
    <n v="1"/>
    <s v="30-03-2026 0:00:00"/>
    <s v="30-03-2026 14:24:28"/>
    <s v="30-11-2026 0:00:00"/>
    <n v="1"/>
    <n v="0"/>
    <s v=""/>
    <n v="0"/>
    <n v="5700000"/>
    <n v="0"/>
    <n v="0"/>
    <n v="5700000"/>
    <n v="7890000"/>
    <n v="2190000"/>
    <n v="2776"/>
  </r>
  <r>
    <s v="IMPORTADORA TRENTO LTDA"/>
    <s v="LOCAL PREMIUM CAR SALES"/>
    <n v="0"/>
    <n v="0"/>
    <s v=""/>
    <s v=""/>
    <s v=""/>
    <s v=""/>
    <s v="28-04-2026 11:16:31"/>
    <s v=""/>
    <s v="/////++***/++*..."/>
    <x v="28"/>
    <x v="70"/>
    <x v="100"/>
    <s v="ZXTERRDCDLX25MT"/>
    <x v="3"/>
    <n v="58000"/>
    <s v="TZXCMTU000004"/>
    <x v="114"/>
    <s v="USADO"/>
    <s v="PLATEADO PLATA"/>
    <s v="POR DEFINIR"/>
    <n v="11290000"/>
    <s v="Disponible"/>
    <n v="35"/>
    <x v="0"/>
    <s v="PREMIUM CAR SALES"/>
    <s v="AE,CC,EE,NB,ABS,LL,VC,4AB,AC,AISO,AAUTO,MAV,ACD,UD"/>
    <s v="20-36100283"/>
    <s v="LTA1222U2N9101636"/>
    <s v="ALFONSO SEGUNDO CARVAJAL ROJAS"/>
    <s v="28-04-2026 0:00:00"/>
    <n v="1"/>
    <s v="28-04-2026 0:00:00"/>
    <s v="28-04-2026 11:16:03"/>
    <s v=""/>
    <n v="1"/>
    <n v="0"/>
    <s v=""/>
    <n v="0"/>
    <n v="8900000"/>
    <n v="262740"/>
    <n v="0"/>
    <n v="9162740"/>
    <n v="11290000"/>
    <n v="2127260"/>
    <n v="1884"/>
  </r>
  <r>
    <s v="IMPORTADORA TRENTO LTDA"/>
    <s v="LOCAL PREMIUM CAR SALES"/>
    <n v="0"/>
    <n v="0"/>
    <s v=""/>
    <s v=""/>
    <s v=""/>
    <s v=""/>
    <s v="29-10-2025 11:58:40"/>
    <s v=""/>
    <s v="1FMSK7DH5 PGB01768"/>
    <x v="3"/>
    <x v="20"/>
    <x v="101"/>
    <s v="EX7878"/>
    <x v="5"/>
    <n v="48600"/>
    <s v="TFOSTWU001385"/>
    <x v="115"/>
    <s v="USADO"/>
    <s v="BLANCO METALICO"/>
    <s v="POR DEFINIR"/>
    <n v="30490000"/>
    <s v="Disponible"/>
    <n v="216"/>
    <x v="0"/>
    <s v="PREMIUM CAR SALES"/>
    <s v="AE,CC,EE,AAC,ABS,LL,VC,AISO,AAUTO,CRE,ACD,SR,UD,DL"/>
    <s v="PGB01768"/>
    <s v="1FMSK7DH5 PGB01768"/>
    <s v="MONICA DE LOURDES FREDES TALAMILLA"/>
    <s v="29-10-2025 0:00:00"/>
    <n v="1"/>
    <s v="29-10-2025 0:00:00"/>
    <s v="29-10-2025 11:58:13"/>
    <s v=""/>
    <n v="1"/>
    <n v="0"/>
    <s v=""/>
    <n v="0"/>
    <n v="27000000"/>
    <n v="531030"/>
    <n v="0"/>
    <n v="27531030"/>
    <n v="30490000"/>
    <n v="2958970"/>
    <n v="97"/>
  </r>
  <r>
    <s v="IMPORTADORA TRENTO LTDA"/>
    <s v="LOCAL PREMIUM CAR SALES"/>
    <n v="0"/>
    <n v="0"/>
    <s v=""/>
    <s v=""/>
    <s v=""/>
    <s v=""/>
    <s v="18-05-2026 13:35:28"/>
    <s v=""/>
    <s v="9BWCH6CH0 PP008570"/>
    <x v="11"/>
    <x v="71"/>
    <x v="102"/>
    <s v="VN01"/>
    <x v="0"/>
    <n v="41520"/>
    <s v="TVOSTWU000035"/>
    <x v="116"/>
    <s v="USADO"/>
    <s v="GRIS PIEDRA DE LUNA"/>
    <s v="POR DEFINIR"/>
    <n v="15190000"/>
    <s v="Disponible"/>
    <n v="15"/>
    <x v="1"/>
    <s v="PREMIUM CAR SALES"/>
    <s v="AE,CC,EE,AAC,ABS,LL,AISO,AAUTO,CRE,MAV,ACD,SR,UD,D"/>
    <s v="DHS 442900"/>
    <s v="9BWCH6CH0 PP008570"/>
    <s v="MARÍA CAROLINA SANTANDER VEGA"/>
    <s v="18-05-2026 0:00:00"/>
    <n v="1"/>
    <s v="18-05-2026 0:00:00"/>
    <s v="18-05-2026 13:34:34"/>
    <s v=""/>
    <n v="1"/>
    <n v="0"/>
    <s v=""/>
    <n v="0"/>
    <n v="12900000"/>
    <n v="0"/>
    <n v="0"/>
    <n v="12900000"/>
    <n v="15190000"/>
    <n v="2290000"/>
    <n v="1508"/>
  </r>
  <r>
    <s v="IMPORTADORA TRENTO LTDA"/>
    <s v="MEGACENTRO OVALLE"/>
    <n v="0"/>
    <n v="0"/>
    <s v=""/>
    <s v=""/>
    <s v=""/>
    <s v=""/>
    <s v="29-07-2025 17:36:47"/>
    <s v=""/>
    <s v="//////////+++..*+"/>
    <x v="0"/>
    <x v="0"/>
    <x v="1"/>
    <s v="PE5008PT16AT"/>
    <x v="0"/>
    <n v="28000"/>
    <s v="TPESTWU000414"/>
    <x v="117"/>
    <s v="USADO"/>
    <s v="GRIS PLATINIUM"/>
    <s v="POR DEFINIR"/>
    <n v="19990000"/>
    <s v="Disponible"/>
    <n v="308"/>
    <x v="0"/>
    <s v="BODEGA OVALLEveih"/>
    <s v="AE,CC,EE,AAC,ABS,LL,VC,AISO,AAUTO,CRE,MAV,ACD,SR,U"/>
    <s v="10FKBL3036897"/>
    <s v="VF3M45GFURS001123"/>
    <s v="AMEL  RUBENICA MICHELANGELLI ROJAS"/>
    <s v="29-07-2025 0:00:00"/>
    <n v="1"/>
    <s v="29-07-2025 0:00:00"/>
    <s v="29-07-2025 17:19:27"/>
    <s v="31-07-2026 0:00:00"/>
    <n v="1"/>
    <n v="0"/>
    <s v=""/>
    <n v="0"/>
    <n v="20600000"/>
    <n v="435030"/>
    <n v="0"/>
    <n v="21035030"/>
    <n v="19990000"/>
    <n v="-1045030"/>
    <n v="-523"/>
  </r>
  <r>
    <s v="IMPORTADORA TRENTO LTDA"/>
    <s v="MEGACENTRO OVALLE"/>
    <n v="0"/>
    <n v="0"/>
    <s v=""/>
    <s v=""/>
    <s v=""/>
    <s v=""/>
    <s v="06-04-2026 14:45:14"/>
    <s v=""/>
    <s v="LTA12H2UX N9100771"/>
    <x v="28"/>
    <x v="70"/>
    <x v="103"/>
    <s v="ZXTERRA4X425AT"/>
    <x v="3"/>
    <n v="65000"/>
    <s v="TZXCMTU000003"/>
    <x v="118"/>
    <s v="USADO"/>
    <s v="BLANCO"/>
    <s v="POR DEFINIR"/>
    <n v="13690000"/>
    <s v="Disponible"/>
    <n v="57"/>
    <x v="1"/>
    <s v="BODEGA OVALLEveih"/>
    <s v="AE,CC,EE,NB,ABS,LL,AC,AISO,AAUTO,CRE,MAV,ACD,SR,UD"/>
    <s v="2336061171"/>
    <s v="LTA12H2UX N9100771"/>
    <s v="FRANCISCO JAVIER RODRIGO MAJMUD VICUÑA"/>
    <s v="06-04-2026 0:00:00"/>
    <n v="1"/>
    <s v="06-04-2026 0:00:00"/>
    <s v="06-04-2026 14:43:48"/>
    <s v=""/>
    <n v="1"/>
    <n v="0"/>
    <s v=""/>
    <n v="0"/>
    <n v="11500000"/>
    <n v="301740"/>
    <n v="0"/>
    <n v="11801740"/>
    <n v="13690000"/>
    <n v="1888260"/>
    <n v="1379"/>
  </r>
  <r>
    <s v="IMPORTADORA TRENTO LTDA"/>
    <s v="LOCAL USADOS"/>
    <n v="0"/>
    <n v="0"/>
    <s v=""/>
    <s v=""/>
    <s v=""/>
    <s v=""/>
    <s v="08-06-2022 9:26:11"/>
    <s v=""/>
    <s v="1C4RJFAM4DC548094"/>
    <x v="8"/>
    <x v="72"/>
    <x v="104"/>
    <s v="MIP"/>
    <x v="13"/>
    <n v="160000"/>
    <s v="TJESTWU000395"/>
    <x v="119"/>
    <s v="USADO"/>
    <s v="GRIS GRAFITO"/>
    <s v="POR DEFINIR"/>
    <n v="11490000"/>
    <s v="Disponible"/>
    <n v="1455"/>
    <x v="7"/>
    <s v="BODEGA VEHICULOS"/>
    <s v="CC,EE,2AB,NB,AAC,ABS,LL,VC,ESP,CT,AELE,CRE,MAV,ACD"/>
    <s v="DC548094"/>
    <s v="1C4RJFAM4DC548094"/>
    <s v="ERICK DARNEY VERGARA ROJAS"/>
    <s v="08-06-2022 0:00:00"/>
    <n v="1"/>
    <s v="08-06-2022 0:00:00"/>
    <s v="08-06-2022 9:25:50"/>
    <s v=""/>
    <n v="0"/>
    <n v="0"/>
    <s v=""/>
    <n v="0"/>
    <n v="13800000"/>
    <n v="513046"/>
    <n v="0"/>
    <n v="14313046"/>
    <n v="11490000"/>
    <n v="-2823046"/>
    <n v="-2457"/>
  </r>
  <r>
    <s v="IMPORTADORA TRENTO LTDA"/>
    <s v="LOCAL PREMIUM CAR SALES"/>
    <n v="0"/>
    <n v="0"/>
    <s v=""/>
    <s v=""/>
    <s v=""/>
    <s v=""/>
    <s v="29-11-2025 11:09:26"/>
    <s v=""/>
    <s v="VF3M45GYW PS010176"/>
    <x v="0"/>
    <x v="21"/>
    <x v="105"/>
    <s v="PE3008AT"/>
    <x v="0"/>
    <n v="25000"/>
    <s v="TPESTWU000438"/>
    <x v="120"/>
    <s v="USADO"/>
    <s v="ROJO ULTIMATE"/>
    <s v="POR DEFINIR"/>
    <n v="16990000"/>
    <s v="Disponible"/>
    <n v="185"/>
    <x v="0"/>
    <s v="PREMIUM CAR SALES"/>
    <s v="AE,CC,EE,AAC,ABS,LL,AISO,AAUTO,CRE,MAV,ACD,SR,UD,D"/>
    <s v="10FJCX3000757"/>
    <s v="VF3M45GYW PS010176"/>
    <s v="MARCELO SEBASTIAN GARRIDO JERALDO"/>
    <s v="29-11-2025 0:00:00"/>
    <n v="1"/>
    <s v="08-01-2026 18:02:00"/>
    <s v="08-01-2026 18:02:00"/>
    <s v="30-06-2027 0:00:00"/>
    <n v="3"/>
    <n v="0"/>
    <s v=""/>
    <n v="0"/>
    <n v="16000000"/>
    <n v="366030"/>
    <n v="0"/>
    <n v="16366030"/>
    <n v="16990000"/>
    <n v="623970"/>
    <n v="367"/>
  </r>
  <r>
    <s v="IMPORTADORA TRENTO LTDA"/>
    <s v="LOCAL PREMIUM CAR SALES"/>
    <n v="0"/>
    <n v="0"/>
    <s v=""/>
    <s v=""/>
    <s v=""/>
    <s v=""/>
    <s v="06-04-2026 13:31:44"/>
    <s v=""/>
    <s v="VF3M45GYWPS011277"/>
    <x v="0"/>
    <x v="21"/>
    <x v="105"/>
    <s v="PE3008AT"/>
    <x v="0"/>
    <n v="63000"/>
    <s v="TPESTWU000452"/>
    <x v="121"/>
    <s v="USADO"/>
    <s v="BLANCO NACARADO"/>
    <s v="POR DEFINIR"/>
    <n v="16490000"/>
    <s v="Disponible"/>
    <n v="57"/>
    <x v="4"/>
    <s v="PREMIUM CAR SALES"/>
    <s v="AE,CC,EE,AAC,ABS,LL,VC,AISO,AAUTO,CRE,MAV,ACD,SR,U"/>
    <s v="10FJCX3008191"/>
    <s v="VF3M45GYWPS011277"/>
    <s v="MARIO ANDRES TABILO ABARCA"/>
    <s v="06-04-2026 0:00:00"/>
    <n v="1"/>
    <s v="06-04-2026 0:00:00"/>
    <s v="06-04-2026 13:30:57"/>
    <s v="30-06-2027 0:00:00"/>
    <n v="1"/>
    <n v="0"/>
    <s v=""/>
    <n v="0"/>
    <n v="14000000"/>
    <n v="339240"/>
    <n v="0"/>
    <n v="14339240"/>
    <n v="16490000"/>
    <n v="2150760"/>
    <n v="1304"/>
  </r>
  <r>
    <s v="IMPORTADORA TRENTO LTDA"/>
    <s v="LOCAL USADOS"/>
    <n v="0"/>
    <n v="0"/>
    <s v=""/>
    <s v=""/>
    <s v=""/>
    <s v=""/>
    <s v="25-07-2025 12:11:03"/>
    <s v=""/>
    <s v="3N1CN8AE1NL804585"/>
    <x v="18"/>
    <x v="73"/>
    <x v="106"/>
    <s v="NVC7"/>
    <x v="8"/>
    <n v="85390"/>
    <s v="TNIAUTU000640"/>
    <x v="122"/>
    <s v="USADO"/>
    <s v="PLATEADO"/>
    <s v="POR DEFINIR"/>
    <n v="9790000"/>
    <s v="Disponible"/>
    <n v="312"/>
    <x v="3"/>
    <s v="BODEGA VEHICULOS"/>
    <s v="AE,CC,EE,ABS,LL,AC,AISO,AAUTO,CRE,MAV,ACD,SR,UD,DL"/>
    <s v="HR16-332561V"/>
    <s v="3N1CN8AE1NL804585"/>
    <s v="CARLOS ALBERTO DAZA GONZALEZ"/>
    <s v="25-07-2025 0:00:00"/>
    <n v="1"/>
    <s v="25-07-2025 17:36:00"/>
    <s v="25-07-2025 17:36:00"/>
    <s v="31-10-2025 0:00:00"/>
    <n v="1"/>
    <n v="0"/>
    <s v=""/>
    <n v="0"/>
    <n v="7700000"/>
    <n v="241530"/>
    <n v="0"/>
    <n v="7941530"/>
    <n v="9790000"/>
    <n v="1848470"/>
    <n v="1888"/>
  </r>
  <r>
    <s v="IMPORTADORA TRENTO LTDA"/>
    <s v="LOCAL PREMIUM CAR SALES"/>
    <n v="0"/>
    <n v="0"/>
    <s v=""/>
    <s v=""/>
    <s v=""/>
    <s v=""/>
    <s v="22-05-2026 18:47:39"/>
    <s v=""/>
    <s v="5N1MDNR53PC279056"/>
    <x v="18"/>
    <x v="74"/>
    <x v="107"/>
    <s v="NIPATH4X435AT"/>
    <x v="5"/>
    <n v="35000"/>
    <s v="TNISTWU000612"/>
    <x v="123"/>
    <s v="USADO"/>
    <s v="GRIS VOLCANICO BI TONO"/>
    <s v="POR DEFINIR"/>
    <n v="35990000"/>
    <s v="Disponible"/>
    <n v="11"/>
    <x v="5"/>
    <s v="PREMIUM CAR SALES"/>
    <s v="AE,CC,EE,AAC,ABS,LL,VC,AISO,AAUTO,CRE,MAV,TELE,ACD"/>
    <s v="VQ35780440W"/>
    <s v="5N1MDNR53PC279056"/>
    <s v="CRISTIAN LEONARDO SALINAS ALVAREZ"/>
    <s v="22-05-2026 0:00:00"/>
    <n v="1"/>
    <s v="22-05-2026 0:00:00"/>
    <s v="22-05-2026 18:47:03"/>
    <s v=""/>
    <n v="1"/>
    <n v="0"/>
    <s v=""/>
    <n v="0"/>
    <n v="29300000"/>
    <n v="0"/>
    <n v="0"/>
    <n v="29300000"/>
    <n v="35990000"/>
    <n v="6690000"/>
    <n v="1859"/>
  </r>
  <r>
    <s v="IMPORTADORA TRENTO LTDA"/>
    <s v="LOCAL USADOS"/>
    <n v="0"/>
    <n v="0"/>
    <s v=""/>
    <s v=""/>
    <s v=""/>
    <s v=""/>
    <s v="27-08-2025 14:34:07"/>
    <s v=""/>
    <s v="KL1FC1CU8GB533760"/>
    <x v="12"/>
    <x v="75"/>
    <x v="108"/>
    <s v="CHCAPLS24AT"/>
    <x v="10"/>
    <n v="75000"/>
    <s v="TCHSTWU000305"/>
    <x v="124"/>
    <s v="USADO"/>
    <s v="NEGRO"/>
    <s v="POR DEFINIR"/>
    <n v="9590000"/>
    <s v="Disponible"/>
    <n v="279"/>
    <x v="3"/>
    <s v="BODEGA VEHICULOS"/>
    <s v=""/>
    <s v="LE9161750229"/>
    <s v="KL1FC1CU8GB533760"/>
    <s v="CRISTIAN OMAR MALUENDA LEON"/>
    <s v="27-08-2025 0:00:00"/>
    <n v="1"/>
    <s v="04-11-2025 23:53:00"/>
    <s v="04-11-2025 23:53:00"/>
    <s v="31-10-2025 0:00:00"/>
    <n v="1"/>
    <n v="0"/>
    <s v=""/>
    <n v="0"/>
    <n v="7300000"/>
    <n v="235530"/>
    <n v="0"/>
    <n v="7535530"/>
    <n v="9590000"/>
    <n v="2054470"/>
    <n v="2142"/>
  </r>
  <r>
    <s v="IMPORTADORA TRENTO LTDA"/>
    <s v="MEGACENTRO OVALLE"/>
    <n v="0"/>
    <n v="0"/>
    <s v=""/>
    <s v=""/>
    <s v=""/>
    <s v=""/>
    <s v="18-03-2026 17:39:09"/>
    <s v=""/>
    <s v="LJNTGUC52 RN409084"/>
    <x v="1"/>
    <x v="76"/>
    <x v="109"/>
    <s v="DFD1LUX4X423MT"/>
    <x v="4"/>
    <n v="37000"/>
    <s v="TDFCMTU000013"/>
    <x v="125"/>
    <s v="USADO"/>
    <s v="NEGRO"/>
    <s v="POR DEFINIR"/>
    <n v="16590000"/>
    <s v="Disponible"/>
    <n v="76"/>
    <x v="0"/>
    <s v="BODEGA OVALLEveih"/>
    <s v="AE,CC,EE,2AB,ABS,LL,VC,AC,AISO,AAUTO,CRE,MAV,ACD,S"/>
    <s v="M9T 60A Q1012197"/>
    <s v="LJNTGUC52 RN409084"/>
    <s v="FIDEL ANDRES ROJAS ARAYA"/>
    <s v="18-03-2026 0:00:00"/>
    <n v="1"/>
    <s v="18-03-2026 0:00:00"/>
    <s v="18-03-2026 17:38:43"/>
    <s v=""/>
    <n v="1"/>
    <n v="0"/>
    <s v=""/>
    <n v="0"/>
    <n v="13900000"/>
    <n v="334530"/>
    <n v="0"/>
    <n v="14234530"/>
    <n v="16590000"/>
    <n v="2355470"/>
    <n v="142"/>
  </r>
  <r>
    <s v="IMPORTADORA TRENTO LTDA"/>
    <s v="LOCAL PREMIUM CAR SALES"/>
    <n v="0"/>
    <n v="0"/>
    <s v=""/>
    <s v=""/>
    <s v=""/>
    <s v=""/>
    <s v="04-02-2026 12:30:05"/>
    <s v=""/>
    <s v="LVVDB21B8 ND055115"/>
    <x v="5"/>
    <x v="77"/>
    <x v="110"/>
    <s v="T7PRODEV"/>
    <x v="3"/>
    <n v="56079"/>
    <s v="TCYSTWU000340"/>
    <x v="126"/>
    <s v="USADO"/>
    <s v="BLANCO METALIZADO"/>
    <s v="POR DEFINIR"/>
    <n v="11990000"/>
    <s v="Disponible"/>
    <n v="118"/>
    <x v="3"/>
    <s v="PREMIUM CAR SALES"/>
    <s v="AE,CC,EE,AAC,ABS,LL,AISO,AAUTO,CRE,MAV,TELE,ACD,SR"/>
    <s v="SQRE4T15CAPNA00418"/>
    <s v="LVVDB21B8 ND055115"/>
    <s v="MARIA ANTONIETA DEL CARMEN WHITTAKER ROA"/>
    <s v="04-02-2026 0:00:00"/>
    <n v="1"/>
    <s v="23-05-2026 12:34:00"/>
    <s v="23-05-2026 12:34:00"/>
    <s v="31-10-2026 0:00:00"/>
    <n v="1"/>
    <n v="0"/>
    <s v=""/>
    <n v="1"/>
    <n v="10000000"/>
    <n v="276030"/>
    <n v="0"/>
    <n v="10276030"/>
    <n v="11990000"/>
    <n v="1713970"/>
    <n v="1429"/>
  </r>
  <r>
    <s v="IMPORTADORA TRENTO LTDA"/>
    <s v="LOCAL PREMIUM CAR SALES"/>
    <n v="0"/>
    <n v="0"/>
    <s v=""/>
    <s v=""/>
    <s v=""/>
    <s v=""/>
    <s v="03-10-2025 17:16:55"/>
    <s v=""/>
    <s v="/////**++**++////"/>
    <x v="22"/>
    <x v="78"/>
    <x v="111"/>
    <s v="MZCX60PR4X433AT"/>
    <x v="4"/>
    <n v="19678"/>
    <s v="TMASTWU000104"/>
    <x v="127"/>
    <s v="USADO"/>
    <s v="ROJO CRISTAL"/>
    <s v="POR DEFINIR"/>
    <n v="36990000"/>
    <s v="Disponible"/>
    <n v="242"/>
    <x v="0"/>
    <s v="PREMIUM CAR SALES"/>
    <s v="AE,EE,AAC,ABS,LL,TC,VC,AISO,ACP,AAUTO,AELE,CRE,MAV"/>
    <s v="H3 10225780"/>
    <s v="JM7KH1HD2R1101438"/>
    <s v="ISABEL SOLEDAD CORTES DURAN"/>
    <s v="03-10-2025 0:00:00"/>
    <n v="1"/>
    <s v="06-11-2025 11:25:00"/>
    <s v="06-11-2025 11:25:00"/>
    <s v=""/>
    <n v="1"/>
    <n v="0"/>
    <s v=""/>
    <n v="0"/>
    <n v="38000000"/>
    <n v="1283058"/>
    <n v="0"/>
    <n v="39283058"/>
    <n v="36990000"/>
    <n v="-2293058"/>
    <n v="-62"/>
  </r>
  <r>
    <s v="IMPORTADORA TRENTO LTDA"/>
    <s v="MEGACENTRO OVALLE"/>
    <n v="0"/>
    <n v="0"/>
    <s v=""/>
    <s v=""/>
    <s v=""/>
    <s v=""/>
    <s v="30-05-2026 11:34:31"/>
    <s v=""/>
    <s v="LVVDB21B6 PE015130"/>
    <x v="5"/>
    <x v="79"/>
    <x v="112"/>
    <s v="T2GC"/>
    <x v="0"/>
    <n v="54200"/>
    <s v="TCYSTWU000354"/>
    <x v="128"/>
    <s v="USADO"/>
    <s v="GRIS GRAFITO"/>
    <s v="POR DEFINIR"/>
    <n v="8490000"/>
    <s v="Disponible"/>
    <n v="3"/>
    <x v="4"/>
    <s v="BODEGA OVALLEveih"/>
    <s v="AE,CC,EE,2AB,ABS,LL,AC,AISO,AAUTO,CRE,MAV,ACD,SR,U"/>
    <s v="SQRD4G15BWNH60485"/>
    <s v="LVVDB21B6 PE015130"/>
    <s v="YANETH DUBERLYZ BRAVO SIMANCA"/>
    <s v="30-05-2026 0:00:00"/>
    <n v="1"/>
    <s v="30-05-2026 0:00:00"/>
    <s v="30-05-2026 11:34:06"/>
    <s v="31-08-2027 0:00:00"/>
    <n v="1"/>
    <n v="0"/>
    <s v=""/>
    <n v="0"/>
    <n v="7100000"/>
    <n v="0"/>
    <n v="0"/>
    <n v="7100000"/>
    <n v="8490000"/>
    <n v="1390000"/>
    <n v="1637"/>
  </r>
  <r>
    <s v="IMPORTADORA TRENTO LTDA"/>
    <s v="LOCAL USADOS COPIAPO"/>
    <n v="0"/>
    <n v="0"/>
    <s v=""/>
    <s v=""/>
    <s v=""/>
    <s v=""/>
    <s v="30-12-2024 11:00:44"/>
    <s v=""/>
    <s v="VR7ACYHZRLL001059"/>
    <x v="24"/>
    <x v="53"/>
    <x v="113"/>
    <s v="7912"/>
    <x v="9"/>
    <n v="96150"/>
    <s v="TCISTWU000009"/>
    <x v="129"/>
    <s v="USADO"/>
    <s v="BLANCO"/>
    <s v="POR DEFINIR"/>
    <n v="13990000"/>
    <s v="Disponible"/>
    <n v="519"/>
    <x v="3"/>
    <s v="BODEGA LOS CARRERA COPIAPO"/>
    <s v="AE,CC,EE,NB,ABS,LL,AC,AISO,AAUTO,CRE,ACD,SR,DLL,6A"/>
    <s v="10Q3AR0085523"/>
    <s v="VR7ACYHZRLL001059"/>
    <s v="LUIS ANTONIO CASTRO BALAIC"/>
    <s v="30-12-2024 0:00:00"/>
    <n v="1"/>
    <s v="30-12-2024 0:00:00"/>
    <s v="30-12-2024 10:53:26"/>
    <s v="31-07-2025 0:00:00"/>
    <n v="3"/>
    <n v="0"/>
    <s v=""/>
    <n v="0"/>
    <n v="14190000"/>
    <n v="338880"/>
    <n v="0"/>
    <n v="14528880"/>
    <n v="13990000"/>
    <n v="-538880"/>
    <n v="-385"/>
  </r>
  <r>
    <s v="IMPORTADORA TRENTO LTDA"/>
    <s v="LOCAL PREMIUM CAR SALES"/>
    <n v="0"/>
    <n v="0"/>
    <s v=""/>
    <s v=""/>
    <s v=""/>
    <s v=""/>
    <s v="27-05-2026 11:54:28"/>
    <s v=""/>
    <s v="*.**/+++///++*..."/>
    <x v="2"/>
    <x v="40"/>
    <x v="114"/>
    <s v="HAJO4X215"/>
    <x v="0"/>
    <n v="32387"/>
    <s v="THASTWU000025"/>
    <x v="130"/>
    <s v="USADO"/>
    <s v="BLANCO TITANIO"/>
    <s v="POR DEFINIR"/>
    <n v="11390000"/>
    <s v="Disponible"/>
    <n v="6"/>
    <x v="4"/>
    <s v="PREMIUM CAR SALES"/>
    <s v="AE,CC,EE,AAC,ABS,LL,4AB,AISO,AAUTO,CRE,MAV,ACD,SR,"/>
    <s v="GW4G15K23498019895"/>
    <s v="LGWEE4A50RK603581"/>
    <s v="HECTOR MIGUEL MONROY SABOGAL"/>
    <s v="27-05-2026 0:00:00"/>
    <n v="1"/>
    <s v="27-05-2026 0:00:00"/>
    <s v="27-05-2026 11:53:49"/>
    <s v=""/>
    <n v="1"/>
    <n v="0"/>
    <s v=""/>
    <n v="0"/>
    <n v="9300000"/>
    <n v="0"/>
    <n v="0"/>
    <n v="9300000"/>
    <n v="11390000"/>
    <n v="2090000"/>
    <n v="1835"/>
  </r>
  <r>
    <s v="IMPORTADORA TRENTO LTDA"/>
    <s v="LOCAL PREMIUM CAR SALES"/>
    <n v="0"/>
    <n v="0"/>
    <s v=""/>
    <s v=""/>
    <s v=""/>
    <s v=""/>
    <s v="25-05-2026 10:42:35"/>
    <s v=""/>
    <s v="LVTDD24B3 PD064404"/>
    <x v="20"/>
    <x v="80"/>
    <x v="115"/>
    <s v="EXVXUN4X420AT"/>
    <x v="4"/>
    <n v="44200"/>
    <s v="TEXESTWU000006"/>
    <x v="131"/>
    <s v="USADO"/>
    <s v="BLANCO QUARTZ"/>
    <s v="POR DEFINIR"/>
    <n v="28990000"/>
    <s v="Disponible"/>
    <n v="8"/>
    <x v="4"/>
    <s v="PREMIUM CAR SALES"/>
    <s v="AE,CC,EE,AAC,ABS,LL,AISO,AAUTO,CRE,MAV,ACD,SR,UD,D"/>
    <s v="SQRF4J20CADNK03753"/>
    <s v="LVTDD24B3 PD064404"/>
    <s v="MICHEL ALEJANDRO PEMJEAN GALLEGUILLOS"/>
    <s v="25-05-2026 0:00:00"/>
    <n v="1"/>
    <s v="25-05-2026 0:00:00"/>
    <s v="25-05-2026 10:39:17"/>
    <s v=""/>
    <n v="1"/>
    <n v="0"/>
    <s v=""/>
    <n v="0"/>
    <n v="22000000"/>
    <n v="0"/>
    <n v="0"/>
    <n v="22000000"/>
    <n v="28990000"/>
    <n v="6990000"/>
    <n v="2411"/>
  </r>
  <r>
    <s v="IMPORTADORA TRENTO LTDA"/>
    <s v="MEGACENTRO COPIAPO"/>
    <n v="0"/>
    <n v="0"/>
    <s v=""/>
    <s v=""/>
    <s v=""/>
    <s v=""/>
    <s v="03-01-2017 1:36:33"/>
    <s v=""/>
    <s v="LGHT12177E9700276"/>
    <x v="1"/>
    <x v="1"/>
    <x v="2"/>
    <s v="2012--CARGOBOX1"/>
    <x v="1"/>
    <n v="0"/>
    <s v="TDFCMTU000004"/>
    <x v="132"/>
    <s v="USADO"/>
    <s v="BLANCO"/>
    <s v="NO DEFINIDO"/>
    <n v="4867100"/>
    <s v="Disponible"/>
    <n v="4374"/>
    <x v="2"/>
    <s v="BOD. Veh. MEGA COPIAPO"/>
    <s v=""/>
    <s v="EQ474I-3013074677"/>
    <s v="LGHT12177E9700276"/>
    <s v="SOCIEDAD HERMANAS CALLEGARI LTDA"/>
    <s v="11-06-2014 0:00:00"/>
    <n v="0"/>
    <s v=""/>
    <s v=""/>
    <s v="11-06-2014 0:00:00"/>
    <n v="0"/>
    <n v="0"/>
    <s v=""/>
    <n v="0"/>
    <n v="108561"/>
    <n v="3090141"/>
    <n v="0"/>
    <n v="3198702"/>
    <n v="4867100"/>
    <n v="1668398"/>
    <n v="3428"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29"/>
    <x v="81"/>
    <x v="116"/>
    <m/>
    <x v="14"/>
    <m/>
    <m/>
    <x v="133"/>
    <m/>
    <m/>
    <m/>
    <m/>
    <m/>
    <m/>
    <x v="10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BBDD2" cacheId="18" applyNumberFormats="0" applyBorderFormats="0" applyFontFormats="0" applyPatternFormats="0" applyAlignmentFormats="0" applyWidthHeightFormats="0" dataCaption="" updatedVersion="8" rowGrandTotals="0" compact="0" compactData="0">
  <location ref="A1:G134" firstHeaderRow="1" firstDataRow="1" firstDataCol="6"/>
  <pivotFields count="47">
    <pivotField name="Empres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Sucursal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olio Vent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Vent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Vent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Vent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Tipo Documento (Folio)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Vended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Ingreso" compact="0" numFmtId="164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Facturación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VIN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Marca" axis="axisRow" compact="0" outline="0" multipleItemSelectionAllowed="1" showAll="0" sortType="ascending" defaultSubtotal="0">
      <items count="33">
        <item m="1" x="30"/>
        <item x="15"/>
        <item x="17"/>
        <item x="5"/>
        <item x="12"/>
        <item x="24"/>
        <item x="1"/>
        <item x="20"/>
        <item x="3"/>
        <item m="1" x="31"/>
        <item x="21"/>
        <item x="2"/>
        <item x="4"/>
        <item x="6"/>
        <item x="14"/>
        <item x="8"/>
        <item x="9"/>
        <item x="25"/>
        <item x="22"/>
        <item x="27"/>
        <item x="10"/>
        <item x="18"/>
        <item x="23"/>
        <item x="0"/>
        <item x="7"/>
        <item x="13"/>
        <item x="19"/>
        <item x="26"/>
        <item x="16"/>
        <item m="1" x="32"/>
        <item x="11"/>
        <item x="28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odelo" axis="axisRow" compact="0" outline="0" multipleItemSelectionAllowed="1" showAll="0" sortType="ascending" defaultSubtotal="0">
      <items count="88">
        <item m="1" x="85"/>
        <item m="1" x="87"/>
        <item m="1" x="82"/>
        <item m="1" x="86"/>
        <item m="1" x="83"/>
        <item m="1" x="84"/>
        <item x="49"/>
        <item x="21"/>
        <item x="55"/>
        <item x="0"/>
        <item x="8"/>
        <item x="11"/>
        <item x="23"/>
        <item x="63"/>
        <item x="61"/>
        <item x="44"/>
        <item x="60"/>
        <item x="56"/>
        <item x="53"/>
        <item x="75"/>
        <item x="68"/>
        <item x="34"/>
        <item x="13"/>
        <item x="52"/>
        <item x="78"/>
        <item x="1"/>
        <item x="25"/>
        <item x="12"/>
        <item x="31"/>
        <item x="20"/>
        <item x="28"/>
        <item x="62"/>
        <item x="41"/>
        <item x="72"/>
        <item x="33"/>
        <item x="2"/>
        <item x="69"/>
        <item x="9"/>
        <item x="40"/>
        <item x="35"/>
        <item x="51"/>
        <item x="39"/>
        <item x="47"/>
        <item x="43"/>
        <item x="59"/>
        <item x="7"/>
        <item x="65"/>
        <item x="15"/>
        <item x="30"/>
        <item x="14"/>
        <item x="71"/>
        <item x="18"/>
        <item x="67"/>
        <item x="74"/>
        <item x="76"/>
        <item x="50"/>
        <item x="36"/>
        <item x="10"/>
        <item x="64"/>
        <item x="19"/>
        <item x="22"/>
        <item x="45"/>
        <item x="57"/>
        <item x="16"/>
        <item x="54"/>
        <item x="27"/>
        <item x="32"/>
        <item x="24"/>
        <item x="26"/>
        <item x="17"/>
        <item x="38"/>
        <item x="4"/>
        <item x="6"/>
        <item x="46"/>
        <item x="70"/>
        <item x="3"/>
        <item x="79"/>
        <item x="29"/>
        <item x="42"/>
        <item x="77"/>
        <item x="5"/>
        <item x="37"/>
        <item x="58"/>
        <item x="66"/>
        <item x="73"/>
        <item x="80"/>
        <item x="48"/>
        <item x="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Versión" axis="axisRow" compact="0" outline="0" multipleItemSelectionAllowed="1" showAll="0" sortType="ascending" defaultSubtotal="0">
      <items count="136">
        <item x="11"/>
        <item x="50"/>
        <item x="65"/>
        <item m="1" x="118"/>
        <item m="1" x="129"/>
        <item x="35"/>
        <item x="89"/>
        <item x="28"/>
        <item x="86"/>
        <item x="37"/>
        <item x="22"/>
        <item x="105"/>
        <item x="75"/>
        <item x="0"/>
        <item x="1"/>
        <item x="12"/>
        <item x="68"/>
        <item x="26"/>
        <item x="32"/>
        <item x="14"/>
        <item x="92"/>
        <item x="59"/>
        <item x="81"/>
        <item x="97"/>
        <item m="1" x="134"/>
        <item x="77"/>
        <item x="72"/>
        <item m="1" x="130"/>
        <item x="113"/>
        <item x="108"/>
        <item x="2"/>
        <item m="1" x="121"/>
        <item x="71"/>
        <item x="111"/>
        <item m="1" x="120"/>
        <item x="43"/>
        <item x="109"/>
        <item x="23"/>
        <item m="1" x="128"/>
        <item x="91"/>
        <item x="29"/>
        <item x="13"/>
        <item x="24"/>
        <item x="39"/>
        <item x="101"/>
        <item x="21"/>
        <item x="84"/>
        <item x="33"/>
        <item x="74"/>
        <item m="1" x="132"/>
        <item x="44"/>
        <item x="87"/>
        <item x="55"/>
        <item x="104"/>
        <item x="99"/>
        <item x="82"/>
        <item x="42"/>
        <item m="1" x="122"/>
        <item x="3"/>
        <item x="98"/>
        <item m="1" x="135"/>
        <item m="1" x="119"/>
        <item x="114"/>
        <item x="54"/>
        <item x="45"/>
        <item x="67"/>
        <item x="80"/>
        <item x="85"/>
        <item x="63"/>
        <item x="57"/>
        <item x="8"/>
        <item x="16"/>
        <item x="38"/>
        <item x="83"/>
        <item x="52"/>
        <item x="15"/>
        <item x="102"/>
        <item x="69"/>
        <item x="19"/>
        <item m="1" x="127"/>
        <item x="96"/>
        <item x="107"/>
        <item x="66"/>
        <item m="1" x="125"/>
        <item x="46"/>
        <item m="1" x="126"/>
        <item x="93"/>
        <item x="25"/>
        <item x="34"/>
        <item x="76"/>
        <item x="47"/>
        <item x="88"/>
        <item x="53"/>
        <item x="20"/>
        <item x="60"/>
        <item x="78"/>
        <item x="10"/>
        <item x="58"/>
        <item x="17"/>
        <item m="1" x="131"/>
        <item x="73"/>
        <item x="31"/>
        <item x="40"/>
        <item x="27"/>
        <item x="30"/>
        <item x="18"/>
        <item x="49"/>
        <item m="1" x="124"/>
        <item x="70"/>
        <item m="1" x="133"/>
        <item x="61"/>
        <item x="9"/>
        <item m="1" x="123"/>
        <item x="7"/>
        <item x="62"/>
        <item x="103"/>
        <item x="100"/>
        <item x="4"/>
        <item x="90"/>
        <item x="112"/>
        <item x="36"/>
        <item x="56"/>
        <item x="110"/>
        <item x="51"/>
        <item x="6"/>
        <item x="48"/>
        <item x="79"/>
        <item x="41"/>
        <item x="95"/>
        <item x="5"/>
        <item x="106"/>
        <item x="115"/>
        <item x="64"/>
        <item m="1" x="117"/>
        <item x="94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igo Versión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Año" axis="axisRow" compact="0" outline="0" multipleItemSelectionAllowed="1" showAll="0" sortType="ascending" defaultSubtotal="0">
      <items count="16">
        <item m="1" x="15"/>
        <item x="13"/>
        <item x="1"/>
        <item x="12"/>
        <item x="11"/>
        <item x="10"/>
        <item x="7"/>
        <item x="2"/>
        <item x="9"/>
        <item x="8"/>
        <item x="3"/>
        <item x="0"/>
        <item x="5"/>
        <item x="4"/>
        <item x="6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Kilometraje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ódigo Intern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laca Patente" axis="axisRow" compact="0" outline="0" multipleItemSelectionAllowed="1" showAll="0" sortType="ascending">
      <items count="161">
        <item x="119"/>
        <item x="74"/>
        <item x="38"/>
        <item x="132"/>
        <item x="2"/>
        <item x="63"/>
        <item x="70"/>
        <item x="57"/>
        <item x="39"/>
        <item x="124"/>
        <item x="13"/>
        <item x="28"/>
        <item x="35"/>
        <item m="1" x="152"/>
        <item x="14"/>
        <item x="43"/>
        <item x="3"/>
        <item m="1" x="147"/>
        <item x="23"/>
        <item x="82"/>
        <item x="21"/>
        <item x="37"/>
        <item x="106"/>
        <item x="129"/>
        <item x="79"/>
        <item x="113"/>
        <item x="29"/>
        <item m="1" x="135"/>
        <item x="78"/>
        <item x="65"/>
        <item x="109"/>
        <item x="53"/>
        <item x="90"/>
        <item m="1" x="149"/>
        <item x="91"/>
        <item x="18"/>
        <item m="1" x="136"/>
        <item m="1" x="154"/>
        <item x="33"/>
        <item m="1" x="157"/>
        <item x="94"/>
        <item x="92"/>
        <item x="122"/>
        <item x="36"/>
        <item m="1" x="153"/>
        <item m="1" x="144"/>
        <item x="114"/>
        <item x="87"/>
        <item m="1" x="137"/>
        <item x="108"/>
        <item x="76"/>
        <item x="4"/>
        <item x="52"/>
        <item x="55"/>
        <item x="118"/>
        <item m="1" x="134"/>
        <item x="6"/>
        <item x="54"/>
        <item x="126"/>
        <item x="44"/>
        <item x="5"/>
        <item x="51"/>
        <item m="1" x="151"/>
        <item x="24"/>
        <item x="86"/>
        <item x="16"/>
        <item x="50"/>
        <item x="95"/>
        <item x="0"/>
        <item x="101"/>
        <item x="81"/>
        <item m="1" x="141"/>
        <item x="93"/>
        <item x="11"/>
        <item x="40"/>
        <item m="1" x="148"/>
        <item x="1"/>
        <item x="128"/>
        <item x="110"/>
        <item x="89"/>
        <item x="73"/>
        <item m="1" x="140"/>
        <item x="120"/>
        <item x="102"/>
        <item x="117"/>
        <item x="9"/>
        <item x="7"/>
        <item x="64"/>
        <item x="105"/>
        <item x="22"/>
        <item x="84"/>
        <item x="121"/>
        <item x="116"/>
        <item x="115"/>
        <item x="67"/>
        <item x="47"/>
        <item x="130"/>
        <item x="97"/>
        <item x="41"/>
        <item x="60"/>
        <item m="1" x="142"/>
        <item x="111"/>
        <item x="85"/>
        <item x="46"/>
        <item x="48"/>
        <item x="100"/>
        <item m="1" x="156"/>
        <item x="83"/>
        <item m="1" x="158"/>
        <item x="17"/>
        <item m="1" x="155"/>
        <item x="31"/>
        <item m="1" x="146"/>
        <item m="1" x="159"/>
        <item x="112"/>
        <item x="104"/>
        <item x="20"/>
        <item x="10"/>
        <item x="15"/>
        <item x="27"/>
        <item x="42"/>
        <item x="34"/>
        <item x="62"/>
        <item m="1" x="143"/>
        <item x="123"/>
        <item x="45"/>
        <item x="49"/>
        <item x="96"/>
        <item x="69"/>
        <item x="30"/>
        <item x="127"/>
        <item x="66"/>
        <item x="77"/>
        <item x="131"/>
        <item x="68"/>
        <item m="1" x="138"/>
        <item x="59"/>
        <item x="61"/>
        <item x="125"/>
        <item x="8"/>
        <item x="32"/>
        <item m="1" x="139"/>
        <item x="72"/>
        <item x="88"/>
        <item x="103"/>
        <item x="98"/>
        <item x="75"/>
        <item x="107"/>
        <item x="19"/>
        <item x="26"/>
        <item x="25"/>
        <item x="99"/>
        <item x="80"/>
        <item x="71"/>
        <item x="56"/>
        <item x="58"/>
        <item m="1" x="150"/>
        <item x="12"/>
        <item m="1" x="145"/>
        <item x="1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ondición Vehícul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olor Exteri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olor Interi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Venta Total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AutoPr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ías Stock" dataField="1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Dealer" axis="axisRow" compact="0" outline="0" multipleItemSelectionAllowed="1" showAll="0" sortType="ascending" defaultSubtotal="0">
      <items count="11">
        <item x="1"/>
        <item x="0"/>
        <item x="4"/>
        <item x="5"/>
        <item x="3"/>
        <item x="9"/>
        <item x="7"/>
        <item x="8"/>
        <item x="6"/>
        <item x="2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odeg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quipamient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Mot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Chasis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roveed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Disponibilidad" compact="0" numFmtId="164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actura Compr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Vencimiento Documento" compact="0" numFmtId="164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Compra" compact="0" numFmtId="164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Vencto. Revisión Técnic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° Propietarios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olio Retom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echa Retom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ías Reservad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Compra Net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Gast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Accesorios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Total Costo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Lista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Margen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Margen %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1"/>
    <field x="12"/>
    <field x="13"/>
    <field x="25"/>
    <field x="15"/>
    <field x="18"/>
  </rowFields>
  <rowItems count="133">
    <i>
      <x v="1"/>
      <x v="65"/>
      <x v="101"/>
      <x/>
      <x v="13"/>
      <x v="111"/>
    </i>
    <i r="1">
      <x v="67"/>
      <x v="103"/>
      <x v="1"/>
      <x v="12"/>
      <x v="119"/>
    </i>
    <i>
      <x v="2"/>
      <x v="21"/>
      <x v="35"/>
      <x v="2"/>
      <x v="10"/>
      <x v="59"/>
    </i>
    <i>
      <x v="3"/>
      <x v="14"/>
      <x v="73"/>
      <x v="1"/>
      <x v="9"/>
      <x v="32"/>
    </i>
    <i r="1">
      <x v="76"/>
      <x v="119"/>
      <x v="2"/>
      <x v="11"/>
      <x v="77"/>
    </i>
    <i r="1">
      <x v="77"/>
      <x v="120"/>
      <x v="2"/>
      <x v="10"/>
      <x v="50"/>
    </i>
    <i r="3">
      <x v="3"/>
      <x v="9"/>
      <x v="43"/>
    </i>
    <i r="1">
      <x v="78"/>
      <x v="121"/>
      <x v="1"/>
      <x v="14"/>
      <x v="155"/>
    </i>
    <i r="1">
      <x v="79"/>
      <x v="122"/>
      <x v="4"/>
      <x v="10"/>
      <x v="58"/>
    </i>
    <i r="1">
      <x v="80"/>
      <x v="123"/>
      <x v="2"/>
      <x v="10"/>
      <x v="52"/>
    </i>
    <i r="2">
      <x v="124"/>
      <x v="2"/>
      <x v="10"/>
      <x v="56"/>
    </i>
    <i>
      <x v="4"/>
      <x v="19"/>
      <x v="29"/>
      <x v="4"/>
      <x v="5"/>
      <x v="9"/>
    </i>
    <i r="1">
      <x v="66"/>
      <x v="102"/>
      <x v="1"/>
      <x v="11"/>
      <x v="74"/>
    </i>
    <i r="1">
      <x v="69"/>
      <x v="105"/>
      <x v="1"/>
      <x v="9"/>
      <x v="35"/>
    </i>
    <i r="1">
      <x v="73"/>
      <x v="114"/>
      <x v="1"/>
      <x v="8"/>
      <x v="29"/>
    </i>
    <i r="1">
      <x v="82"/>
      <x v="126"/>
      <x v="1"/>
      <x v="10"/>
      <x v="64"/>
    </i>
    <i>
      <x v="5"/>
      <x v="17"/>
      <x v="25"/>
      <x v="4"/>
      <x v="7"/>
      <x v="19"/>
    </i>
    <i r="1">
      <x v="18"/>
      <x v="28"/>
      <x v="4"/>
      <x v="8"/>
      <x v="23"/>
    </i>
    <i r="1">
      <x v="20"/>
      <x v="23"/>
      <x v="1"/>
      <x v="12"/>
      <x v="49"/>
    </i>
    <i>
      <x v="6"/>
      <x v="8"/>
      <x v="12"/>
      <x v="4"/>
      <x v="13"/>
      <x v="152"/>
    </i>
    <i r="1">
      <x v="10"/>
      <x v="110"/>
      <x/>
      <x v="11"/>
      <x v="87"/>
    </i>
    <i r="2">
      <x v="111"/>
      <x/>
      <x v="11"/>
      <x v="85"/>
    </i>
    <i r="1">
      <x v="11"/>
      <x v="15"/>
      <x v="2"/>
      <x v="14"/>
      <x v="157"/>
    </i>
    <i r="1">
      <x v="25"/>
      <x v="30"/>
      <x v="9"/>
      <x v="2"/>
      <x v="3"/>
    </i>
    <i r="5">
      <x v="4"/>
    </i>
    <i r="1">
      <x v="54"/>
      <x v="36"/>
      <x v="1"/>
      <x v="13"/>
      <x v="138"/>
    </i>
    <i>
      <x v="7"/>
      <x v="43"/>
      <x v="69"/>
      <x v="2"/>
      <x v="12"/>
      <x v="99"/>
    </i>
    <i r="1">
      <x v="85"/>
      <x v="131"/>
      <x v="2"/>
      <x v="13"/>
      <x v="133"/>
    </i>
    <i>
      <x v="8"/>
      <x v="16"/>
      <x v="22"/>
      <x v="1"/>
      <x v="13"/>
      <x v="143"/>
    </i>
    <i r="1">
      <x v="26"/>
      <x v="39"/>
      <x v="1"/>
      <x v="12"/>
      <x v="105"/>
    </i>
    <i r="2">
      <x v="40"/>
      <x v="4"/>
      <x v="8"/>
      <x v="26"/>
    </i>
    <i r="1">
      <x v="27"/>
      <x v="41"/>
      <x v="2"/>
      <x v="6"/>
      <x v="10"/>
    </i>
    <i r="2">
      <x v="42"/>
      <x v="1"/>
      <x v="11"/>
      <x v="63"/>
    </i>
    <i r="5">
      <x v="78"/>
    </i>
    <i r="3">
      <x v="4"/>
      <x v="12"/>
      <x v="120"/>
    </i>
    <i r="1">
      <x v="28"/>
      <x v="43"/>
      <x v="1"/>
      <x v="5"/>
      <x v="8"/>
    </i>
    <i r="1">
      <x v="29"/>
      <x v="44"/>
      <x v="1"/>
      <x v="12"/>
      <x v="93"/>
    </i>
    <i r="2">
      <x v="45"/>
      <x v="4"/>
      <x v="8"/>
      <x v="20"/>
    </i>
    <i r="1">
      <x v="30"/>
      <x v="46"/>
      <x v="1"/>
      <x v="9"/>
      <x v="34"/>
    </i>
    <i r="2">
      <x v="47"/>
      <x v="4"/>
      <x v="9"/>
      <x v="38"/>
    </i>
    <i r="2">
      <x v="48"/>
      <x v="1"/>
      <x v="8"/>
      <x v="24"/>
    </i>
    <i r="3">
      <x v="5"/>
      <x v="8"/>
      <x v="22"/>
    </i>
    <i r="2">
      <x v="50"/>
      <x v="1"/>
      <x v="12"/>
      <x v="125"/>
    </i>
    <i r="1">
      <x v="45"/>
      <x v="70"/>
      <x v="2"/>
      <x v="13"/>
      <x v="139"/>
    </i>
    <i r="1">
      <x v="59"/>
      <x v="88"/>
      <x v="1"/>
      <x v="12"/>
      <x v="121"/>
    </i>
    <i r="2">
      <x v="89"/>
      <x v="1"/>
      <x v="11"/>
      <x v="70"/>
    </i>
    <i r="2">
      <x v="90"/>
      <x v="1"/>
      <x v="12"/>
      <x v="104"/>
    </i>
    <i r="2">
      <x v="91"/>
      <x v="1"/>
      <x v="13"/>
      <x v="97"/>
    </i>
    <i r="2">
      <x v="92"/>
      <x v="1"/>
      <x v="11"/>
      <x v="57"/>
    </i>
    <i r="2">
      <x v="93"/>
      <x v="1"/>
      <x v="12"/>
      <x v="116"/>
    </i>
    <i r="1">
      <x v="75"/>
      <x v="117"/>
      <x v="4"/>
      <x v="9"/>
      <x v="30"/>
    </i>
    <i r="4">
      <x v="10"/>
      <x v="51"/>
    </i>
    <i r="2">
      <x v="118"/>
      <x v="4"/>
      <x v="13"/>
      <x v="151"/>
    </i>
    <i>
      <x v="10"/>
      <x v="55"/>
      <x v="82"/>
      <x v="2"/>
      <x v="12"/>
      <x v="128"/>
    </i>
    <i>
      <x v="11"/>
      <x v="35"/>
      <x v="58"/>
      <x v="1"/>
      <x v="7"/>
      <x v="16"/>
    </i>
    <i r="1">
      <x v="36"/>
      <x v="59"/>
      <x v="5"/>
      <x v="12"/>
      <x v="114"/>
    </i>
    <i r="1">
      <x v="38"/>
      <x v="62"/>
      <x v="2"/>
      <x v="11"/>
      <x v="96"/>
    </i>
    <i r="2">
      <x v="63"/>
      <x v="1"/>
      <x v="10"/>
      <x v="53"/>
    </i>
    <i>
      <x v="12"/>
      <x v="37"/>
      <x v="18"/>
      <x/>
      <x v="13"/>
      <x v="140"/>
    </i>
    <i r="2">
      <x v="54"/>
      <x v="1"/>
      <x v="8"/>
      <x v="25"/>
    </i>
    <i r="2">
      <x v="55"/>
      <x/>
      <x v="11"/>
      <x v="79"/>
    </i>
    <i r="2">
      <x v="96"/>
      <x v="1"/>
      <x v="12"/>
      <x v="117"/>
    </i>
    <i r="2">
      <x v="97"/>
      <x v="1"/>
      <x v="13"/>
      <x v="137"/>
    </i>
    <i r="2">
      <x v="127"/>
      <x v="1"/>
      <x v="12"/>
      <x v="98"/>
    </i>
    <i r="1">
      <x v="71"/>
      <x v="129"/>
      <x v="1"/>
      <x v="10"/>
      <x v="60"/>
    </i>
    <i>
      <x v="13"/>
      <x v="39"/>
      <x v="64"/>
      <x v="1"/>
      <x v="12"/>
      <x v="103"/>
    </i>
    <i r="1">
      <x v="72"/>
      <x v="113"/>
      <x v="4"/>
      <x v="11"/>
      <x v="86"/>
    </i>
    <i>
      <x v="14"/>
      <x v="12"/>
      <x v="16"/>
      <x/>
      <x v="13"/>
      <x v="153"/>
    </i>
    <i r="2">
      <x v="17"/>
      <x v="1"/>
      <x v="13"/>
      <x v="149"/>
    </i>
    <i r="4">
      <x v="14"/>
      <x v="154"/>
    </i>
    <i r="3">
      <x v="3"/>
      <x v="13"/>
      <x v="142"/>
    </i>
    <i>
      <x v="15"/>
      <x v="22"/>
      <x v="19"/>
      <x v="2"/>
      <x v="6"/>
      <x v="14"/>
    </i>
    <i r="1">
      <x v="33"/>
      <x v="53"/>
      <x v="6"/>
      <x v="1"/>
      <x/>
    </i>
    <i>
      <x v="16"/>
      <x v="32"/>
      <x v="52"/>
      <x v="8"/>
      <x v="4"/>
      <x v="7"/>
    </i>
    <i r="1">
      <x v="48"/>
      <x v="72"/>
      <x v="8"/>
      <x v="2"/>
      <x v="2"/>
    </i>
    <i r="1">
      <x v="49"/>
      <x v="75"/>
      <x v="1"/>
      <x v="12"/>
      <x v="118"/>
    </i>
    <i r="1">
      <x v="62"/>
      <x v="95"/>
      <x v="2"/>
      <x v="11"/>
      <x v="90"/>
    </i>
    <i r="1">
      <x v="68"/>
      <x v="104"/>
      <x v="1"/>
      <x v="12"/>
      <x v="129"/>
    </i>
    <i r="1">
      <x v="70"/>
      <x v="106"/>
      <x/>
      <x v="11"/>
      <x v="66"/>
    </i>
    <i r="2">
      <x v="108"/>
      <x v="7"/>
      <x v="2"/>
      <x v="1"/>
    </i>
    <i>
      <x v="17"/>
      <x v="44"/>
      <x v="66"/>
      <x v="4"/>
      <x v="10"/>
      <x v="47"/>
    </i>
    <i>
      <x v="18"/>
      <x v="23"/>
      <x v="32"/>
      <x/>
      <x v="13"/>
      <x v="146"/>
    </i>
    <i r="1">
      <x v="24"/>
      <x v="33"/>
      <x v="1"/>
      <x v="13"/>
      <x v="130"/>
    </i>
    <i>
      <x v="19"/>
      <x v="46"/>
      <x v="134"/>
      <x v="2"/>
      <x v="12"/>
      <x v="115"/>
    </i>
    <i>
      <x v="20"/>
      <x v="47"/>
      <x v="71"/>
      <x v="2"/>
      <x v="11"/>
      <x v="65"/>
    </i>
    <i r="1">
      <x v="51"/>
      <x v="77"/>
      <x/>
      <x v="11"/>
      <x v="80"/>
    </i>
    <i r="2">
      <x v="78"/>
      <x v="2"/>
      <x v="13"/>
      <x v="148"/>
    </i>
    <i>
      <x v="21"/>
      <x v="40"/>
      <x v="65"/>
      <x v="1"/>
      <x v="3"/>
      <x v="6"/>
    </i>
    <i r="1">
      <x v="53"/>
      <x v="81"/>
      <x v="3"/>
      <x v="12"/>
      <x v="124"/>
    </i>
    <i r="1">
      <x v="56"/>
      <x v="84"/>
      <x v="1"/>
      <x v="11"/>
      <x v="69"/>
    </i>
    <i r="5">
      <x v="95"/>
    </i>
    <i r="1">
      <x v="64"/>
      <x v="100"/>
      <x v="1"/>
      <x v="8"/>
      <x v="28"/>
    </i>
    <i r="1">
      <x v="83"/>
      <x v="128"/>
      <x v="2"/>
      <x v="11"/>
      <x v="88"/>
    </i>
    <i r="1">
      <x v="84"/>
      <x v="130"/>
      <x v="4"/>
      <x v="9"/>
      <x v="42"/>
    </i>
    <i r="1">
      <x v="86"/>
      <x v="132"/>
      <x v="1"/>
      <x v="12"/>
      <x v="94"/>
    </i>
    <i>
      <x v="22"/>
      <x v="18"/>
      <x v="26"/>
      <x v="4"/>
      <x v="13"/>
      <x v="132"/>
    </i>
    <i>
      <x v="23"/>
      <x v="6"/>
      <x v="2"/>
      <x v="2"/>
      <x v="13"/>
      <x v="134"/>
    </i>
    <i r="1">
      <x v="7"/>
      <x v="5"/>
      <x v="4"/>
      <x v="6"/>
      <x v="12"/>
    </i>
    <i r="2">
      <x v="6"/>
      <x v="1"/>
      <x v="13"/>
      <x v="145"/>
    </i>
    <i r="2">
      <x v="7"/>
      <x v="4"/>
      <x v="6"/>
      <x v="11"/>
    </i>
    <i r="2">
      <x v="8"/>
      <x v="4"/>
      <x v="9"/>
      <x v="40"/>
    </i>
    <i r="2">
      <x v="9"/>
      <x v="4"/>
      <x v="8"/>
      <x v="21"/>
    </i>
    <i r="2">
      <x v="10"/>
      <x v="1"/>
      <x v="11"/>
      <x v="67"/>
    </i>
    <i r="3">
      <x v="2"/>
      <x v="11"/>
      <x v="89"/>
    </i>
    <i r="2">
      <x v="11"/>
      <x v="1"/>
      <x v="11"/>
      <x v="82"/>
    </i>
    <i r="3">
      <x v="2"/>
      <x v="11"/>
      <x v="91"/>
    </i>
    <i r="1">
      <x v="9"/>
      <x v="13"/>
      <x v="1"/>
      <x v="9"/>
      <x v="41"/>
    </i>
    <i r="4">
      <x v="11"/>
      <x v="68"/>
    </i>
    <i r="4">
      <x v="13"/>
      <x v="136"/>
    </i>
    <i r="2">
      <x v="14"/>
      <x/>
      <x v="11"/>
      <x v="76"/>
    </i>
    <i r="3">
      <x v="1"/>
      <x v="11"/>
      <x v="84"/>
    </i>
    <i r="1">
      <x v="42"/>
      <x v="67"/>
      <x v="3"/>
      <x v="11"/>
      <x v="72"/>
    </i>
    <i r="2">
      <x v="68"/>
      <x/>
      <x v="12"/>
      <x v="102"/>
    </i>
    <i r="5">
      <x v="107"/>
    </i>
    <i r="3">
      <x v="1"/>
      <x v="13"/>
      <x v="131"/>
    </i>
    <i r="3">
      <x v="2"/>
      <x v="12"/>
      <x v="101"/>
    </i>
    <i r="1">
      <x v="52"/>
      <x v="80"/>
      <x/>
      <x v="13"/>
      <x v="147"/>
    </i>
    <i>
      <x v="24"/>
      <x v="57"/>
      <x/>
      <x v="1"/>
      <x v="11"/>
      <x v="73"/>
    </i>
    <i r="2">
      <x v="1"/>
      <x v="1"/>
      <x v="10"/>
      <x v="61"/>
    </i>
    <i r="2">
      <x v="87"/>
      <x v="1"/>
      <x v="13"/>
      <x v="150"/>
    </i>
    <i r="1">
      <x v="58"/>
      <x v="86"/>
      <x v="1"/>
      <x v="13"/>
      <x v="144"/>
    </i>
    <i>
      <x v="25"/>
      <x v="60"/>
      <x v="37"/>
      <x v="4"/>
      <x v="7"/>
      <x v="18"/>
    </i>
    <i>
      <x v="26"/>
      <x v="41"/>
      <x v="74"/>
      <x v="4"/>
      <x v="9"/>
      <x v="31"/>
    </i>
    <i r="1">
      <x v="61"/>
      <x v="94"/>
      <x v="6"/>
      <x v="3"/>
      <x v="5"/>
    </i>
    <i r="1">
      <x v="81"/>
      <x v="125"/>
      <x v="1"/>
      <x v="12"/>
      <x v="126"/>
    </i>
    <i>
      <x v="27"/>
      <x v="31"/>
      <x v="51"/>
      <x v="2"/>
      <x v="12"/>
      <x v="127"/>
    </i>
    <i>
      <x v="28"/>
      <x v="15"/>
      <x v="21"/>
      <x v="2"/>
      <x v="12"/>
      <x v="122"/>
    </i>
    <i r="1">
      <x v="34"/>
      <x v="56"/>
      <x v="1"/>
      <x v="7"/>
      <x v="15"/>
    </i>
    <i>
      <x v="30"/>
      <x v="13"/>
      <x v="20"/>
      <x v="6"/>
      <x v="11"/>
      <x v="83"/>
    </i>
    <i r="1">
      <x v="50"/>
      <x v="76"/>
      <x/>
      <x v="11"/>
      <x v="92"/>
    </i>
    <i r="1">
      <x v="63"/>
      <x v="98"/>
      <x/>
      <x v="12"/>
      <x v="109"/>
    </i>
    <i>
      <x v="31"/>
      <x v="74"/>
      <x v="115"/>
      <x/>
      <x v="10"/>
      <x v="54"/>
    </i>
    <i r="2">
      <x v="116"/>
      <x v="1"/>
      <x v="10"/>
      <x v="46"/>
    </i>
  </rowItems>
  <colItems count="1">
    <i/>
  </colItems>
  <dataFields count="1">
    <dataField name="Suma de Días Stock" fld="24" baseField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7"/>
  <sheetViews>
    <sheetView tabSelected="1" topLeftCell="C1" workbookViewId="0">
      <pane ySplit="1" topLeftCell="A111" activePane="bottomLeft" state="frozen"/>
      <selection pane="bottomLeft" activeCell="E137" sqref="E137"/>
    </sheetView>
  </sheetViews>
  <sheetFormatPr baseColWidth="10" defaultColWidth="12.6640625" defaultRowHeight="15" customHeight="1" x14ac:dyDescent="0.3"/>
  <cols>
    <col min="1" max="1" width="15.77734375" customWidth="1"/>
    <col min="2" max="2" width="20" customWidth="1"/>
    <col min="3" max="3" width="33" customWidth="1"/>
    <col min="4" max="4" width="29.6640625" customWidth="1"/>
    <col min="5" max="5" width="14.33203125" customWidth="1"/>
    <col min="6" max="6" width="17.77734375" customWidth="1"/>
    <col min="7" max="7" width="17.6640625" customWidth="1"/>
    <col min="8" max="8" width="25" customWidth="1"/>
    <col min="9" max="9" width="13.109375" hidden="1" customWidth="1"/>
    <col min="10" max="10" width="16.21875" customWidth="1"/>
    <col min="11" max="11" width="13.44140625" hidden="1" customWidth="1"/>
    <col min="12" max="12" width="17" customWidth="1"/>
    <col min="13" max="13" width="13.88671875" customWidth="1"/>
    <col min="14" max="14" width="18.6640625" customWidth="1"/>
    <col min="15" max="15" width="15.44140625" customWidth="1"/>
    <col min="16" max="28" width="10.6640625" customWidth="1"/>
  </cols>
  <sheetData>
    <row r="1" spans="1:15" ht="13.5" customHeigh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6" t="s">
        <v>13</v>
      </c>
      <c r="O1" s="7" t="s">
        <v>14</v>
      </c>
    </row>
    <row r="2" spans="1:15" ht="13.5" customHeight="1" x14ac:dyDescent="0.3">
      <c r="A2" s="25" t="s">
        <v>19</v>
      </c>
      <c r="B2" s="25" t="s">
        <v>20</v>
      </c>
      <c r="C2" s="25" t="s">
        <v>21</v>
      </c>
      <c r="D2" s="25" t="s">
        <v>22</v>
      </c>
      <c r="E2" s="25">
        <v>2025</v>
      </c>
      <c r="F2" s="25" t="s">
        <v>24</v>
      </c>
      <c r="G2" s="30">
        <v>57</v>
      </c>
      <c r="H2" s="12" t="str">
        <f t="shared" ref="H2" si="0">CONCATENATE(B2,C2,E2)</f>
        <v>SHARK DMOSHARK 1.5 AUT2025</v>
      </c>
      <c r="I2" s="13"/>
      <c r="J2" s="11">
        <f>VLOOKUP(F2,'PRECIO TOMA HISTORICO '!A:B,2,0)</f>
        <v>31627180</v>
      </c>
      <c r="K2" s="10"/>
      <c r="L2" s="11">
        <f>_xlfn.XLOOKUP(F2,BBDD!$S:$S,BBDD!$AS:$AS)</f>
        <v>36990000</v>
      </c>
      <c r="M2" s="11">
        <f>IFERROR(VLOOKUP(F2,'PRECIO MERCADO'!D:E,2,0),"0")</f>
        <v>40300000</v>
      </c>
      <c r="N2" s="11">
        <f>_xlfn.XLOOKUP(F2,BBDD!$S:$S,BBDD!$AO:$AO)</f>
        <v>31627180</v>
      </c>
      <c r="O2" s="11">
        <f>_xlfn.XLOOKUP(F2,BBDD!$S:$S,BBDD!$AR:$AR)</f>
        <v>32230828</v>
      </c>
    </row>
    <row r="3" spans="1:15" ht="13.5" customHeight="1" x14ac:dyDescent="0.3">
      <c r="A3" s="26" t="s">
        <v>19</v>
      </c>
      <c r="B3" s="25" t="s">
        <v>26</v>
      </c>
      <c r="C3" s="25" t="s">
        <v>27</v>
      </c>
      <c r="D3" s="25" t="s">
        <v>28</v>
      </c>
      <c r="E3" s="25">
        <v>2024</v>
      </c>
      <c r="F3" s="25" t="s">
        <v>29</v>
      </c>
      <c r="G3" s="30">
        <v>145</v>
      </c>
      <c r="H3" s="12" t="str">
        <f t="shared" ref="H3:H132" si="1">CONCATENATE(B3,C3,E3)</f>
        <v>SONG PLUS DM-iSONG PLUS 4X2 1.5 AUT2024</v>
      </c>
      <c r="I3" s="13"/>
      <c r="J3" s="11">
        <f>VLOOKUP(F3,'PRECIO TOMA HISTORICO '!A:B,2,0)</f>
        <v>20000000</v>
      </c>
      <c r="K3" s="10"/>
      <c r="L3" s="11">
        <f>_xlfn.XLOOKUP(F3,BBDD!$S:$S,BBDD!$AS:$AS)</f>
        <v>20990000</v>
      </c>
      <c r="M3" s="11">
        <f>IFERROR(VLOOKUP(F3,'PRECIO MERCADO'!D:E,2,0),"0")</f>
        <v>22100000</v>
      </c>
      <c r="N3" s="11">
        <f>_xlfn.XLOOKUP(F3,BBDD!$S:$S,BBDD!$AO:$AO)</f>
        <v>20000000</v>
      </c>
      <c r="O3" s="11">
        <f>_xlfn.XLOOKUP(F3,BBDD!$S:$S,BBDD!$AR:$AR)</f>
        <v>20524003</v>
      </c>
    </row>
    <row r="4" spans="1:15" ht="13.5" customHeight="1" x14ac:dyDescent="0.3">
      <c r="A4" s="25" t="s">
        <v>2906</v>
      </c>
      <c r="B4" s="25" t="s">
        <v>2906</v>
      </c>
      <c r="C4" s="25" t="s">
        <v>4413</v>
      </c>
      <c r="D4" s="25" t="s">
        <v>17</v>
      </c>
      <c r="E4" s="25">
        <v>2022</v>
      </c>
      <c r="F4" s="25" t="s">
        <v>8702</v>
      </c>
      <c r="G4" s="30">
        <v>1</v>
      </c>
      <c r="H4" s="12" t="str">
        <f t="shared" si="1"/>
        <v>CHANGANCX70 T 1.5 AUT2022</v>
      </c>
      <c r="I4" s="13"/>
      <c r="J4" s="11" t="e">
        <f>VLOOKUP(F4,'PRECIO TOMA HISTORICO '!A:B,2,0)</f>
        <v>#N/A</v>
      </c>
      <c r="K4" s="10"/>
      <c r="L4" s="11">
        <f>_xlfn.XLOOKUP(F4,BBDD!$S:$S,BBDD!$AS:$AS)</f>
        <v>9490000</v>
      </c>
      <c r="M4" s="11">
        <f>IFERROR(VLOOKUP(F4,'PRECIO MERCADO'!D:E,2,0),"0")</f>
        <v>9400000</v>
      </c>
      <c r="N4" s="11">
        <f>_xlfn.XLOOKUP(F4,BBDD!$S:$S,BBDD!$AO:$AO)</f>
        <v>7100000</v>
      </c>
      <c r="O4" s="11">
        <f>_xlfn.XLOOKUP(F4,BBDD!$S:$S,BBDD!$AR:$AR)</f>
        <v>7100000</v>
      </c>
    </row>
    <row r="5" spans="1:15" ht="13.5" customHeight="1" x14ac:dyDescent="0.3">
      <c r="A5" s="25" t="s">
        <v>30</v>
      </c>
      <c r="B5" s="25" t="s">
        <v>31</v>
      </c>
      <c r="C5" s="25" t="s">
        <v>32</v>
      </c>
      <c r="D5" s="25" t="s">
        <v>28</v>
      </c>
      <c r="E5" s="25">
        <v>2021</v>
      </c>
      <c r="F5" s="25" t="s">
        <v>33</v>
      </c>
      <c r="G5" s="30">
        <v>27</v>
      </c>
      <c r="H5" s="12" t="str">
        <f t="shared" si="1"/>
        <v>ARRIZO 3NEW ARRIZO 3 GLS 1.52021</v>
      </c>
      <c r="I5" s="13"/>
      <c r="J5" s="11">
        <f>VLOOKUP(F5,'PRECIO TOMA HISTORICO '!A:B,2,0)</f>
        <v>4800000</v>
      </c>
      <c r="K5" s="10"/>
      <c r="L5" s="11">
        <f>_xlfn.XLOOKUP(F5,BBDD!$S:$S,BBDD!$AS:$AS)</f>
        <v>6190000</v>
      </c>
      <c r="M5" s="11">
        <f>IFERROR(VLOOKUP(F5,'PRECIO MERCADO'!D:E,2,0),"0")</f>
        <v>5990000</v>
      </c>
      <c r="N5" s="11">
        <f>_xlfn.XLOOKUP(F5,BBDD!$S:$S,BBDD!$AO:$AO)</f>
        <v>4800000</v>
      </c>
      <c r="O5" s="11">
        <f>_xlfn.XLOOKUP(F5,BBDD!$S:$S,BBDD!$AR:$AR)</f>
        <v>5001240</v>
      </c>
    </row>
    <row r="6" spans="1:15" ht="13.5" customHeight="1" x14ac:dyDescent="0.3">
      <c r="A6" s="26" t="s">
        <v>30</v>
      </c>
      <c r="B6" s="25" t="s">
        <v>2908</v>
      </c>
      <c r="C6" s="25" t="s">
        <v>4441</v>
      </c>
      <c r="D6" s="25" t="s">
        <v>17</v>
      </c>
      <c r="E6" s="25">
        <v>2023</v>
      </c>
      <c r="F6" s="25" t="s">
        <v>6670</v>
      </c>
      <c r="G6" s="30">
        <v>3</v>
      </c>
      <c r="H6" s="12" t="str">
        <f t="shared" si="1"/>
        <v>TIGGO 2TIGGO 2 GLS CVT 1.5 AUT2023</v>
      </c>
      <c r="I6" s="13"/>
      <c r="J6" s="11">
        <f>VLOOKUP(F6,'PRECIO TOMA HISTORICO '!A:B,2,0)</f>
        <v>7100000</v>
      </c>
      <c r="K6" s="10"/>
      <c r="L6" s="11">
        <f>_xlfn.XLOOKUP(F6,BBDD!$S:$S,BBDD!$AS:$AS)</f>
        <v>8490000</v>
      </c>
      <c r="M6" s="11">
        <f>IFERROR(VLOOKUP(F6,'PRECIO MERCADO'!D:E,2,0),"0")</f>
        <v>8300000</v>
      </c>
      <c r="N6" s="11">
        <f>_xlfn.XLOOKUP(F6,BBDD!$S:$S,BBDD!$AO:$AO)</f>
        <v>7100000</v>
      </c>
      <c r="O6" s="11">
        <f>_xlfn.XLOOKUP(F6,BBDD!$S:$S,BBDD!$AR:$AR)</f>
        <v>7100000</v>
      </c>
    </row>
    <row r="7" spans="1:15" ht="13.5" customHeight="1" x14ac:dyDescent="0.3">
      <c r="A7" s="26" t="s">
        <v>30</v>
      </c>
      <c r="B7" s="25" t="s">
        <v>34</v>
      </c>
      <c r="C7" s="25" t="s">
        <v>35</v>
      </c>
      <c r="D7" s="25" t="s">
        <v>17</v>
      </c>
      <c r="E7" s="25">
        <v>2022</v>
      </c>
      <c r="F7" s="25" t="s">
        <v>6667</v>
      </c>
      <c r="G7" s="30">
        <v>3</v>
      </c>
      <c r="H7" s="12" t="str">
        <f t="shared" si="1"/>
        <v>TIGGO 3TIGGO 3 1.52022</v>
      </c>
      <c r="I7" s="13"/>
      <c r="J7" s="11">
        <f>VLOOKUP(F7,'PRECIO TOMA HISTORICO '!A:B,2,0)</f>
        <v>6450000</v>
      </c>
      <c r="K7" s="10"/>
      <c r="L7" s="11">
        <f>_xlfn.XLOOKUP(F7,BBDD!$S:$S,BBDD!$AS:$AS)</f>
        <v>7990000</v>
      </c>
      <c r="M7" s="11">
        <f>IFERROR(VLOOKUP(F7,'PRECIO MERCADO'!D:E,2,0),"0")</f>
        <v>7930000</v>
      </c>
      <c r="N7" s="11">
        <f>_xlfn.XLOOKUP(F7,BBDD!$S:$S,BBDD!$AO:$AO)</f>
        <v>6450000</v>
      </c>
      <c r="O7" s="11">
        <f>_xlfn.XLOOKUP(F7,BBDD!$S:$S,BBDD!$AR:$AR)</f>
        <v>6450000</v>
      </c>
    </row>
    <row r="8" spans="1:15" ht="13.5" customHeight="1" x14ac:dyDescent="0.3">
      <c r="A8" s="26" t="s">
        <v>30</v>
      </c>
      <c r="B8" s="26" t="s">
        <v>34</v>
      </c>
      <c r="C8" s="26" t="s">
        <v>35</v>
      </c>
      <c r="D8" s="25" t="s">
        <v>36</v>
      </c>
      <c r="E8" s="25">
        <v>2021</v>
      </c>
      <c r="F8" s="25" t="s">
        <v>37</v>
      </c>
      <c r="G8" s="30">
        <v>223</v>
      </c>
      <c r="H8" s="12" t="str">
        <f t="shared" si="1"/>
        <v>TIGGO 3TIGGO 3 1.52021</v>
      </c>
      <c r="I8" s="13"/>
      <c r="J8" s="11">
        <f>VLOOKUP(F8,'PRECIO TOMA HISTORICO '!A:B,2,0)</f>
        <v>6200000</v>
      </c>
      <c r="K8" s="10"/>
      <c r="L8" s="11">
        <f>_xlfn.XLOOKUP(F8,BBDD!$S:$S,BBDD!$AS:$AS)</f>
        <v>8190000</v>
      </c>
      <c r="M8" s="11">
        <f>IFERROR(VLOOKUP(F8,'PRECIO MERCADO'!D:E,2,0),"0")</f>
        <v>8400000</v>
      </c>
      <c r="N8" s="11">
        <f>_xlfn.XLOOKUP(F8,BBDD!$S:$S,BBDD!$AO:$AO)</f>
        <v>6200000</v>
      </c>
      <c r="O8" s="11">
        <f>_xlfn.XLOOKUP(F8,BBDD!$S:$S,BBDD!$AR:$AR)</f>
        <v>6419030</v>
      </c>
    </row>
    <row r="9" spans="1:15" ht="13.5" customHeight="1" x14ac:dyDescent="0.3">
      <c r="A9" s="26" t="s">
        <v>30</v>
      </c>
      <c r="B9" s="25" t="s">
        <v>38</v>
      </c>
      <c r="C9" s="25" t="s">
        <v>39</v>
      </c>
      <c r="D9" s="25" t="s">
        <v>28</v>
      </c>
      <c r="E9" s="25">
        <v>2026</v>
      </c>
      <c r="F9" s="25" t="s">
        <v>40</v>
      </c>
      <c r="G9" s="30">
        <v>33</v>
      </c>
      <c r="H9" s="12" t="str">
        <f t="shared" si="1"/>
        <v>TIGGO 3 PROTIGGO 3 PRO GLS 1.5 AUT2026</v>
      </c>
      <c r="I9" s="13"/>
      <c r="J9" s="11">
        <f>VLOOKUP(F9,'PRECIO TOMA HISTORICO '!A:B,2,0)</f>
        <v>10000000</v>
      </c>
      <c r="K9" s="10"/>
      <c r="L9" s="11">
        <f>_xlfn.XLOOKUP(F9,BBDD!$S:$S,BBDD!$AS:$AS)</f>
        <v>11690000</v>
      </c>
      <c r="M9" s="11">
        <f>IFERROR(VLOOKUP(F9,'PRECIO MERCADO'!D:E,2,0),"0")</f>
        <v>11300000</v>
      </c>
      <c r="N9" s="11">
        <f>_xlfn.XLOOKUP(F9,BBDD!$S:$S,BBDD!$AO:$AO)</f>
        <v>10000000</v>
      </c>
      <c r="O9" s="11">
        <f>_xlfn.XLOOKUP(F9,BBDD!$S:$S,BBDD!$AR:$AR)</f>
        <v>10279240</v>
      </c>
    </row>
    <row r="10" spans="1:15" ht="13.5" customHeight="1" x14ac:dyDescent="0.3">
      <c r="A10" s="26" t="s">
        <v>30</v>
      </c>
      <c r="B10" s="25" t="s">
        <v>41</v>
      </c>
      <c r="C10" s="25" t="s">
        <v>42</v>
      </c>
      <c r="D10" s="25" t="s">
        <v>43</v>
      </c>
      <c r="E10" s="25">
        <v>2022</v>
      </c>
      <c r="F10" s="25" t="s">
        <v>44</v>
      </c>
      <c r="G10" s="30">
        <v>118</v>
      </c>
      <c r="H10" s="12" t="str">
        <f t="shared" si="1"/>
        <v>TIGGO 7 PROTIGGO 7 GLX CVT PRO 1.5 AUT2022</v>
      </c>
      <c r="I10" s="13"/>
      <c r="J10" s="11">
        <f>VLOOKUP(F10,'PRECIO TOMA HISTORICO '!A:B,2,0)</f>
        <v>10000000</v>
      </c>
      <c r="K10" s="10"/>
      <c r="L10" s="11">
        <f>_xlfn.XLOOKUP(F10,BBDD!$S:$S,BBDD!$AS:$AS)</f>
        <v>11990000</v>
      </c>
      <c r="M10" s="11">
        <f>IFERROR(VLOOKUP(F10,'PRECIO MERCADO'!D:E,2,0),"0")</f>
        <v>11900000</v>
      </c>
      <c r="N10" s="11">
        <f>_xlfn.XLOOKUP(F10,BBDD!$S:$S,BBDD!$AO:$AO)</f>
        <v>10000000</v>
      </c>
      <c r="O10" s="11">
        <f>_xlfn.XLOOKUP(F10,BBDD!$S:$S,BBDD!$AR:$AR)</f>
        <v>10276030</v>
      </c>
    </row>
    <row r="11" spans="1:15" ht="13.5" customHeight="1" x14ac:dyDescent="0.3">
      <c r="A11" s="26" t="s">
        <v>30</v>
      </c>
      <c r="B11" s="25" t="s">
        <v>45</v>
      </c>
      <c r="C11" s="25" t="s">
        <v>46</v>
      </c>
      <c r="D11" s="25" t="s">
        <v>17</v>
      </c>
      <c r="E11" s="25">
        <v>2022</v>
      </c>
      <c r="F11" s="25" t="s">
        <v>47</v>
      </c>
      <c r="G11" s="30">
        <v>26</v>
      </c>
      <c r="H11" s="12" t="str">
        <f t="shared" si="1"/>
        <v>TIGGO 8TIGGO 8 1.52022</v>
      </c>
      <c r="I11" s="13"/>
      <c r="J11" s="11">
        <f>VLOOKUP(F11,'PRECIO TOMA HISTORICO '!A:B,2,0)</f>
        <v>9500000</v>
      </c>
      <c r="K11" s="10"/>
      <c r="L11" s="11">
        <f>_xlfn.XLOOKUP(F11,BBDD!$S:$S,BBDD!$AS:$AS)</f>
        <v>11490000</v>
      </c>
      <c r="M11" s="11">
        <f>IFERROR(VLOOKUP(F11,'PRECIO MERCADO'!D:E,2,0),"0")</f>
        <v>11600000</v>
      </c>
      <c r="N11" s="11">
        <f>_xlfn.XLOOKUP(F11,BBDD!$S:$S,BBDD!$AO:$AO)</f>
        <v>9500000</v>
      </c>
      <c r="O11" s="11">
        <f>_xlfn.XLOOKUP(F11,BBDD!$S:$S,BBDD!$AR:$AR)</f>
        <v>9771740</v>
      </c>
    </row>
    <row r="12" spans="1:15" ht="13.5" customHeight="1" x14ac:dyDescent="0.3">
      <c r="A12" s="26" t="s">
        <v>30</v>
      </c>
      <c r="B12" s="26" t="s">
        <v>45</v>
      </c>
      <c r="C12" s="25" t="s">
        <v>4460</v>
      </c>
      <c r="D12" s="25" t="s">
        <v>17</v>
      </c>
      <c r="E12" s="25">
        <v>2022</v>
      </c>
      <c r="F12" s="25" t="s">
        <v>8742</v>
      </c>
      <c r="G12" s="30">
        <v>1</v>
      </c>
      <c r="H12" s="12" t="str">
        <f t="shared" si="1"/>
        <v>TIGGO 8TIGGO 8 1.5 AUT2022</v>
      </c>
      <c r="I12" s="13"/>
      <c r="J12" s="11" t="e">
        <f>VLOOKUP(F12,'PRECIO TOMA HISTORICO '!A:B,2,0)</f>
        <v>#N/A</v>
      </c>
      <c r="K12" s="10"/>
      <c r="L12" s="11">
        <f>_xlfn.XLOOKUP(F12,BBDD!$S:$S,BBDD!$AS:$AS)</f>
        <v>11390000</v>
      </c>
      <c r="M12" s="11">
        <f>IFERROR(VLOOKUP(F12,'PRECIO MERCADO'!D:E,2,0),"0")</f>
        <v>11400000</v>
      </c>
      <c r="N12" s="11">
        <f>_xlfn.XLOOKUP(F12,BBDD!$S:$S,BBDD!$AO:$AO)</f>
        <v>8800000</v>
      </c>
      <c r="O12" s="11">
        <f>_xlfn.XLOOKUP(F12,BBDD!$S:$S,BBDD!$AR:$AR)</f>
        <v>8800000</v>
      </c>
    </row>
    <row r="13" spans="1:15" ht="13.5" customHeight="1" x14ac:dyDescent="0.3">
      <c r="A13" s="25" t="s">
        <v>48</v>
      </c>
      <c r="B13" s="25" t="s">
        <v>49</v>
      </c>
      <c r="C13" s="25" t="s">
        <v>50</v>
      </c>
      <c r="D13" s="25" t="s">
        <v>43</v>
      </c>
      <c r="E13" s="25">
        <v>2017</v>
      </c>
      <c r="F13" s="25" t="s">
        <v>51</v>
      </c>
      <c r="G13" s="30">
        <v>279</v>
      </c>
      <c r="H13" s="12" t="str">
        <f t="shared" si="1"/>
        <v>CAPTIVACAPTIVA LS 2.4 AT2017</v>
      </c>
      <c r="I13" s="13"/>
      <c r="J13" s="11">
        <f>VLOOKUP(F13,'PRECIO TOMA HISTORICO '!A:B,2,0)</f>
        <v>7300000</v>
      </c>
      <c r="K13" s="10"/>
      <c r="L13" s="11">
        <f>_xlfn.XLOOKUP(F13,BBDD!$S:$S,BBDD!$AS:$AS)</f>
        <v>9590000</v>
      </c>
      <c r="M13" s="11">
        <f>IFERROR(VLOOKUP(F13,'PRECIO MERCADO'!D:E,2,0),"0")</f>
        <v>9300000</v>
      </c>
      <c r="N13" s="11">
        <f>_xlfn.XLOOKUP(F13,BBDD!$S:$S,BBDD!$AO:$AO)</f>
        <v>7300000</v>
      </c>
      <c r="O13" s="11">
        <f>_xlfn.XLOOKUP(F13,BBDD!$S:$S,BBDD!$AR:$AR)</f>
        <v>7535530</v>
      </c>
    </row>
    <row r="14" spans="1:15" ht="13.5" customHeight="1" x14ac:dyDescent="0.3">
      <c r="A14" s="26" t="s">
        <v>48</v>
      </c>
      <c r="B14" s="25" t="s">
        <v>52</v>
      </c>
      <c r="C14" s="25" t="s">
        <v>53</v>
      </c>
      <c r="D14" s="25" t="s">
        <v>28</v>
      </c>
      <c r="E14" s="25">
        <v>2023</v>
      </c>
      <c r="F14" s="25" t="s">
        <v>54</v>
      </c>
      <c r="G14" s="30">
        <v>222</v>
      </c>
      <c r="H14" s="12" t="str">
        <f t="shared" si="1"/>
        <v>SILVERADOSILVERADO CC LTZ 4X4 3.0 AUT2023</v>
      </c>
      <c r="I14" s="13"/>
      <c r="J14" s="11">
        <f>VLOOKUP(F14,'PRECIO TOMA HISTORICO '!A:B,2,0)</f>
        <v>48000000</v>
      </c>
      <c r="K14" s="10"/>
      <c r="L14" s="11">
        <f>_xlfn.XLOOKUP(F14,BBDD!$S:$S,BBDD!$AS:$AS)</f>
        <v>49990000</v>
      </c>
      <c r="M14" s="11">
        <f>IFERROR(VLOOKUP(F14,'PRECIO MERCADO'!D:E,2,0),"0")</f>
        <v>47500000</v>
      </c>
      <c r="N14" s="11">
        <f>_xlfn.XLOOKUP(F14,BBDD!$S:$S,BBDD!$AO:$AO)</f>
        <v>48000000</v>
      </c>
      <c r="O14" s="11">
        <f>_xlfn.XLOOKUP(F14,BBDD!$S:$S,BBDD!$AR:$AR)</f>
        <v>48846030</v>
      </c>
    </row>
    <row r="15" spans="1:15" ht="13.5" customHeight="1" x14ac:dyDescent="0.3">
      <c r="A15" s="26" t="s">
        <v>48</v>
      </c>
      <c r="B15" s="25" t="s">
        <v>55</v>
      </c>
      <c r="C15" s="25" t="s">
        <v>56</v>
      </c>
      <c r="D15" s="25" t="s">
        <v>28</v>
      </c>
      <c r="E15" s="25">
        <v>2021</v>
      </c>
      <c r="F15" s="25" t="s">
        <v>57</v>
      </c>
      <c r="G15" s="30">
        <v>33</v>
      </c>
      <c r="H15" s="12" t="str">
        <f t="shared" si="1"/>
        <v>SPINSPIN 1.82021</v>
      </c>
      <c r="I15" s="13"/>
      <c r="J15" s="11">
        <f>VLOOKUP(F15,'PRECIO TOMA HISTORICO '!A:B,2,0)</f>
        <v>7100000</v>
      </c>
      <c r="K15" s="10"/>
      <c r="L15" s="11">
        <f>_xlfn.XLOOKUP(F15,BBDD!$S:$S,BBDD!$AS:$AS)</f>
        <v>8990000</v>
      </c>
      <c r="M15" s="11">
        <f>IFERROR(VLOOKUP(F15,'PRECIO MERCADO'!D:E,2,0),"0")</f>
        <v>9000000</v>
      </c>
      <c r="N15" s="11">
        <f>_xlfn.XLOOKUP(F15,BBDD!$S:$S,BBDD!$AO:$AO)</f>
        <v>7100000</v>
      </c>
      <c r="O15" s="11">
        <f>_xlfn.XLOOKUP(F15,BBDD!$S:$S,BBDD!$AR:$AR)</f>
        <v>7100000</v>
      </c>
    </row>
    <row r="16" spans="1:15" ht="13.5" customHeight="1" x14ac:dyDescent="0.3">
      <c r="A16" s="26" t="s">
        <v>48</v>
      </c>
      <c r="B16" s="25" t="s">
        <v>58</v>
      </c>
      <c r="C16" s="25" t="s">
        <v>59</v>
      </c>
      <c r="D16" s="25" t="s">
        <v>28</v>
      </c>
      <c r="E16" s="25">
        <v>2020</v>
      </c>
      <c r="F16" s="25" t="s">
        <v>60</v>
      </c>
      <c r="G16" s="30">
        <v>62</v>
      </c>
      <c r="H16" s="12" t="str">
        <f t="shared" si="1"/>
        <v>TAHOETAHOE 4X4 5.3 AUT2020</v>
      </c>
      <c r="I16" s="13"/>
      <c r="J16" s="11">
        <f>VLOOKUP(F16,'PRECIO TOMA HISTORICO '!A:B,2,0)</f>
        <v>24500000</v>
      </c>
      <c r="K16" s="10"/>
      <c r="L16" s="11">
        <f>_xlfn.XLOOKUP(F16,BBDD!$S:$S,BBDD!$AS:$AS)</f>
        <v>28990000</v>
      </c>
      <c r="M16" s="11">
        <f>IFERROR(VLOOKUP(F16,'PRECIO MERCADO'!D:E,2,0),"0")</f>
        <v>33500000</v>
      </c>
      <c r="N16" s="11">
        <f>_xlfn.XLOOKUP(F16,BBDD!$S:$S,BBDD!$AO:$AO)</f>
        <v>24500000</v>
      </c>
      <c r="O16" s="11">
        <f>_xlfn.XLOOKUP(F16,BBDD!$S:$S,BBDD!$AR:$AR)</f>
        <v>24996740</v>
      </c>
    </row>
    <row r="17" spans="1:15" ht="13.5" customHeight="1" x14ac:dyDescent="0.3">
      <c r="A17" s="26" t="s">
        <v>48</v>
      </c>
      <c r="B17" s="25" t="s">
        <v>61</v>
      </c>
      <c r="C17" s="25" t="s">
        <v>62</v>
      </c>
      <c r="D17" s="25" t="s">
        <v>28</v>
      </c>
      <c r="E17" s="25">
        <v>2022</v>
      </c>
      <c r="F17" s="25" t="s">
        <v>63</v>
      </c>
      <c r="G17" s="30">
        <v>362</v>
      </c>
      <c r="H17" s="12" t="str">
        <f t="shared" si="1"/>
        <v>TRACKERTRACKER 1.2T2022</v>
      </c>
      <c r="I17" s="13"/>
      <c r="J17" s="11">
        <f>VLOOKUP(F17,'PRECIO TOMA HISTORICO '!A:B,2,0)</f>
        <v>9300000</v>
      </c>
      <c r="K17" s="10"/>
      <c r="L17" s="11">
        <f>_xlfn.XLOOKUP(F17,BBDD!$S:$S,BBDD!$AS:$AS)</f>
        <v>11690000</v>
      </c>
      <c r="M17" s="11">
        <f>IFERROR(VLOOKUP(F17,'PRECIO MERCADO'!D:E,2,0),"0")</f>
        <v>11000000</v>
      </c>
      <c r="N17" s="11">
        <f>_xlfn.XLOOKUP(F17,BBDD!$S:$S,BBDD!$AO:$AO)</f>
        <v>9300000</v>
      </c>
      <c r="O17" s="11">
        <f>_xlfn.XLOOKUP(F17,BBDD!$S:$S,BBDD!$AR:$AR)</f>
        <v>9736959</v>
      </c>
    </row>
    <row r="18" spans="1:15" ht="13.5" customHeight="1" x14ac:dyDescent="0.3">
      <c r="A18" s="25" t="s">
        <v>64</v>
      </c>
      <c r="B18" s="25" t="s">
        <v>65</v>
      </c>
      <c r="C18" s="25" t="s">
        <v>66</v>
      </c>
      <c r="D18" s="25" t="s">
        <v>43</v>
      </c>
      <c r="E18" s="25">
        <v>2019</v>
      </c>
      <c r="F18" s="25" t="s">
        <v>68</v>
      </c>
      <c r="G18" s="30">
        <v>29</v>
      </c>
      <c r="H18" s="12" t="str">
        <f t="shared" si="1"/>
        <v>C3C3 AIRCROSS 1.2 AUT2019</v>
      </c>
      <c r="I18" s="13"/>
      <c r="J18" s="11">
        <f>VLOOKUP(F18,'PRECIO TOMA HISTORICO '!A:B,2,0)</f>
        <v>6300000</v>
      </c>
      <c r="K18" s="10"/>
      <c r="L18" s="11">
        <f>_xlfn.XLOOKUP(F18,BBDD!$S:$S,BBDD!$AS:$AS)</f>
        <v>9290000</v>
      </c>
      <c r="M18" s="11">
        <f>IFERROR(VLOOKUP(F18,'PRECIO MERCADO'!D:E,2,0),"0")</f>
        <v>10700000</v>
      </c>
      <c r="N18" s="11">
        <f>_xlfn.XLOOKUP(F18,BBDD!$S:$S,BBDD!$AO:$AO)</f>
        <v>8300000</v>
      </c>
      <c r="O18" s="11">
        <f>_xlfn.XLOOKUP(F18,BBDD!$S:$S,BBDD!$AR:$AR)</f>
        <v>8553740</v>
      </c>
    </row>
    <row r="19" spans="1:15" ht="13.5" customHeight="1" x14ac:dyDescent="0.3">
      <c r="A19" s="26" t="s">
        <v>64</v>
      </c>
      <c r="B19" s="25" t="s">
        <v>69</v>
      </c>
      <c r="C19" s="25" t="s">
        <v>70</v>
      </c>
      <c r="D19" s="25" t="s">
        <v>43</v>
      </c>
      <c r="E19" s="25">
        <v>2020</v>
      </c>
      <c r="F19" s="25" t="s">
        <v>71</v>
      </c>
      <c r="G19" s="30">
        <v>519</v>
      </c>
      <c r="H19" s="12" t="str">
        <f t="shared" si="1"/>
        <v>C5C5 AIRCROSS 1.5 AUT2020</v>
      </c>
      <c r="I19" s="13"/>
      <c r="J19" s="11">
        <f>VLOOKUP(F19,'PRECIO TOMA HISTORICO '!A:B,2,0)</f>
        <v>12000000</v>
      </c>
      <c r="K19" s="10"/>
      <c r="L19" s="11">
        <f>_xlfn.XLOOKUP(F19,BBDD!$S:$S,BBDD!$AS:$AS)</f>
        <v>13990000</v>
      </c>
      <c r="M19" s="11">
        <f>IFERROR(VLOOKUP(F19,'PRECIO MERCADO'!D:E,2,0),"0")</f>
        <v>13500000</v>
      </c>
      <c r="N19" s="11">
        <f>_xlfn.XLOOKUP(F19,BBDD!$S:$S,BBDD!$AO:$AO)</f>
        <v>14190000</v>
      </c>
      <c r="O19" s="11">
        <f>_xlfn.XLOOKUP(F19,BBDD!$S:$S,BBDD!$AR:$AR)</f>
        <v>14528880</v>
      </c>
    </row>
    <row r="20" spans="1:15" ht="13.5" customHeight="1" x14ac:dyDescent="0.3">
      <c r="A20" s="26" t="s">
        <v>64</v>
      </c>
      <c r="B20" s="25" t="s">
        <v>3562</v>
      </c>
      <c r="C20" s="25" t="s">
        <v>6475</v>
      </c>
      <c r="D20" s="25" t="s">
        <v>28</v>
      </c>
      <c r="E20" s="25">
        <v>2024</v>
      </c>
      <c r="F20" s="25" t="s">
        <v>4335</v>
      </c>
      <c r="G20" s="30">
        <v>11</v>
      </c>
      <c r="H20" s="12" t="str">
        <f t="shared" si="1"/>
        <v>C-ELYSEEC ELYSEE BLUEHDI 1.52024</v>
      </c>
      <c r="I20" s="13"/>
      <c r="J20" s="11">
        <f>VLOOKUP(F20,'PRECIO TOMA HISTORICO '!A:B,2,0)</f>
        <v>10200000</v>
      </c>
      <c r="K20" s="10"/>
      <c r="L20" s="11">
        <f>_xlfn.XLOOKUP(F20,BBDD!$S:$S,BBDD!$AS:$AS)</f>
        <v>11990000</v>
      </c>
      <c r="M20" s="11">
        <f>IFERROR(VLOOKUP(F20,'PRECIO MERCADO'!D:E,2,0),"0")</f>
        <v>11700000</v>
      </c>
      <c r="N20" s="11">
        <f>_xlfn.XLOOKUP(F20,BBDD!$S:$S,BBDD!$AO:$AO)</f>
        <v>10200000</v>
      </c>
      <c r="O20" s="11">
        <f>_xlfn.XLOOKUP(F20,BBDD!$S:$S,BBDD!$AR:$AR)</f>
        <v>10200000</v>
      </c>
    </row>
    <row r="21" spans="1:15" ht="13.5" customHeight="1" x14ac:dyDescent="0.3">
      <c r="A21" s="25" t="s">
        <v>72</v>
      </c>
      <c r="B21" s="25" t="s">
        <v>4542</v>
      </c>
      <c r="C21" s="25" t="s">
        <v>4543</v>
      </c>
      <c r="D21" s="25" t="s">
        <v>43</v>
      </c>
      <c r="E21" s="25">
        <v>2025</v>
      </c>
      <c r="F21" s="25" t="s">
        <v>356</v>
      </c>
      <c r="G21" s="30">
        <v>15</v>
      </c>
      <c r="H21" s="12" t="str">
        <f t="shared" si="1"/>
        <v>500500 1.5 CVT2025</v>
      </c>
      <c r="I21" s="13"/>
      <c r="J21" s="11">
        <f>VLOOKUP(F21,'PRECIO TOMA HISTORICO '!A:B,2,0)</f>
        <v>9000000</v>
      </c>
      <c r="K21" s="10"/>
      <c r="L21" s="11">
        <f>_xlfn.XLOOKUP(F21,BBDD!$S:$S,BBDD!$AS:$AS)</f>
        <v>11290000</v>
      </c>
      <c r="M21" s="11">
        <f>IFERROR(VLOOKUP(F21,'PRECIO MERCADO'!D:E,2,0),"0")</f>
        <v>11300000</v>
      </c>
      <c r="N21" s="11">
        <f>_xlfn.XLOOKUP(F21,BBDD!$S:$S,BBDD!$AO:$AO)</f>
        <v>9000000</v>
      </c>
      <c r="O21" s="11">
        <f>_xlfn.XLOOKUP(F21,BBDD!$S:$S,BBDD!$AR:$AR)</f>
        <v>9000000</v>
      </c>
    </row>
    <row r="22" spans="1:15" ht="13.5" customHeight="1" x14ac:dyDescent="0.3">
      <c r="A22" s="26" t="s">
        <v>72</v>
      </c>
      <c r="B22" s="25" t="s">
        <v>4546</v>
      </c>
      <c r="C22" s="25" t="s">
        <v>75</v>
      </c>
      <c r="D22" s="25" t="s">
        <v>22</v>
      </c>
      <c r="E22" s="25">
        <v>2023</v>
      </c>
      <c r="F22" s="25" t="s">
        <v>76</v>
      </c>
      <c r="G22" s="30">
        <v>33</v>
      </c>
      <c r="H22" s="12" t="str">
        <f t="shared" si="1"/>
        <v>560SUV 560 4X2 1.82023</v>
      </c>
      <c r="I22" s="13"/>
      <c r="J22" s="11">
        <f>VLOOKUP(F22,'PRECIO TOMA HISTORICO '!A:B,2,0)</f>
        <v>7300000</v>
      </c>
      <c r="K22" s="10"/>
      <c r="L22" s="11">
        <f>_xlfn.XLOOKUP(F22,BBDD!$S:$S,BBDD!$AS:$AS)</f>
        <v>8990000</v>
      </c>
      <c r="M22" s="11">
        <f>IFERROR(VLOOKUP(F22,'PRECIO MERCADO'!D:E,2,0),"0")</f>
        <v>9300000</v>
      </c>
      <c r="N22" s="11">
        <f>_xlfn.XLOOKUP(F22,BBDD!$S:$S,BBDD!$AO:$AO)</f>
        <v>7300000</v>
      </c>
      <c r="O22" s="11">
        <f>_xlfn.XLOOKUP(F22,BBDD!$S:$S,BBDD!$AR:$AR)</f>
        <v>7300000</v>
      </c>
    </row>
    <row r="23" spans="1:15" ht="13.5" customHeight="1" x14ac:dyDescent="0.3">
      <c r="A23" s="26" t="s">
        <v>72</v>
      </c>
      <c r="B23" s="26" t="s">
        <v>4546</v>
      </c>
      <c r="C23" s="25" t="s">
        <v>77</v>
      </c>
      <c r="D23" s="25" t="s">
        <v>22</v>
      </c>
      <c r="E23" s="25">
        <v>2023</v>
      </c>
      <c r="F23" s="25" t="s">
        <v>78</v>
      </c>
      <c r="G23" s="30">
        <v>34</v>
      </c>
      <c r="H23" s="12" t="str">
        <f t="shared" si="1"/>
        <v>560SUV 560 OTTO 1.82023</v>
      </c>
      <c r="I23" s="13"/>
      <c r="J23" s="11">
        <f>VLOOKUP(F23,'PRECIO TOMA HISTORICO '!A:B,2,0)</f>
        <v>6900000</v>
      </c>
      <c r="K23" s="10"/>
      <c r="L23" s="11">
        <f>_xlfn.XLOOKUP(F23,BBDD!$S:$S,BBDD!$AS:$AS)</f>
        <v>8890000</v>
      </c>
      <c r="M23" s="11">
        <f>IFERROR(VLOOKUP(F23,'PRECIO MERCADO'!D:E,2,0),"0")</f>
        <v>8900000</v>
      </c>
      <c r="N23" s="11">
        <f>_xlfn.XLOOKUP(F23,BBDD!$S:$S,BBDD!$AO:$AO)</f>
        <v>6900000</v>
      </c>
      <c r="O23" s="11">
        <f>_xlfn.XLOOKUP(F23,BBDD!$S:$S,BBDD!$AR:$AR)</f>
        <v>7132740</v>
      </c>
    </row>
    <row r="24" spans="1:15" ht="13.5" customHeight="1" x14ac:dyDescent="0.3">
      <c r="A24" s="26" t="s">
        <v>72</v>
      </c>
      <c r="B24" s="25" t="s">
        <v>8835</v>
      </c>
      <c r="C24" s="25" t="s">
        <v>8836</v>
      </c>
      <c r="D24" s="25" t="s">
        <v>17</v>
      </c>
      <c r="E24" s="25">
        <v>2026</v>
      </c>
      <c r="F24" s="25" t="s">
        <v>6673</v>
      </c>
      <c r="G24" s="30">
        <v>3</v>
      </c>
      <c r="H24" s="12" t="str">
        <f t="shared" si="1"/>
        <v>600600 PHEV 4X2 1.5 AUT2026</v>
      </c>
      <c r="I24" s="13"/>
      <c r="J24" s="11">
        <f>VLOOKUP(F24,'PRECIO TOMA HISTORICO '!A:B,2,0)</f>
        <v>16500000</v>
      </c>
      <c r="K24" s="10"/>
      <c r="L24" s="11">
        <f>_xlfn.XLOOKUP(F24,BBDD!$S:$S,BBDD!$AS:$AS)</f>
        <v>18990000</v>
      </c>
      <c r="M24" s="11" t="str">
        <f>IFERROR(VLOOKUP(F24,'PRECIO MERCADO'!D:E,2,0),"0")</f>
        <v>0</v>
      </c>
      <c r="N24" s="11">
        <f>_xlfn.XLOOKUP(F24,BBDD!$S:$S,BBDD!$AO:$AO)</f>
        <v>16500000</v>
      </c>
      <c r="O24" s="11">
        <f>_xlfn.XLOOKUP(F24,BBDD!$S:$S,BBDD!$AR:$AR)</f>
        <v>16500000</v>
      </c>
    </row>
    <row r="25" spans="1:15" ht="13.5" customHeight="1" x14ac:dyDescent="0.3">
      <c r="A25" s="26" t="s">
        <v>72</v>
      </c>
      <c r="B25" s="25" t="s">
        <v>72</v>
      </c>
      <c r="C25" s="25" t="s">
        <v>82</v>
      </c>
      <c r="D25" s="25" t="s">
        <v>83</v>
      </c>
      <c r="E25" s="25">
        <v>2014</v>
      </c>
      <c r="F25" s="25" t="s">
        <v>84</v>
      </c>
      <c r="G25" s="30">
        <v>4374</v>
      </c>
      <c r="H25" s="12" t="str">
        <f t="shared" si="1"/>
        <v>DFSKCARGO BOX XL 1.32014</v>
      </c>
      <c r="I25" s="15"/>
      <c r="J25" s="11" t="e">
        <f>VLOOKUP(F25,'PRECIO TOMA HISTORICO '!A:B,2,0)</f>
        <v>#N/A</v>
      </c>
      <c r="K25" s="10"/>
      <c r="L25" s="11">
        <f>_xlfn.XLOOKUP(F25,BBDD!$S:$S,BBDD!$AS:$AS)</f>
        <v>4867100</v>
      </c>
      <c r="M25" s="11" t="str">
        <f>IFERROR(VLOOKUP(F25,'PRECIO MERCADO'!D:E,2,0),"0")</f>
        <v>0</v>
      </c>
      <c r="N25" s="11">
        <f>_xlfn.XLOOKUP(F25,BBDD!$S:$S,BBDD!$AO:$AO)</f>
        <v>108561</v>
      </c>
      <c r="O25" s="11">
        <f>_xlfn.XLOOKUP(F25,BBDD!$S:$S,BBDD!$AR:$AR)</f>
        <v>3198702</v>
      </c>
    </row>
    <row r="26" spans="1:15" ht="13.5" customHeight="1" x14ac:dyDescent="0.3">
      <c r="A26" s="26" t="s">
        <v>72</v>
      </c>
      <c r="B26" s="26" t="s">
        <v>72</v>
      </c>
      <c r="C26" s="26" t="s">
        <v>82</v>
      </c>
      <c r="D26" s="26" t="s">
        <v>83</v>
      </c>
      <c r="E26" s="26">
        <v>2014</v>
      </c>
      <c r="F26" s="27" t="s">
        <v>85</v>
      </c>
      <c r="G26" s="31">
        <v>4381</v>
      </c>
      <c r="H26" s="12" t="str">
        <f t="shared" si="1"/>
        <v>DFSKCARGO BOX XL 1.32014</v>
      </c>
      <c r="I26" s="15"/>
      <c r="J26" s="11" t="e">
        <f>VLOOKUP(F26,'PRECIO TOMA HISTORICO '!A:B,2,0)</f>
        <v>#N/A</v>
      </c>
      <c r="K26" s="10"/>
      <c r="L26" s="11">
        <f>_xlfn.XLOOKUP(F26,BBDD!$S:$S,BBDD!$AS:$AS)</f>
        <v>3490000</v>
      </c>
      <c r="M26" s="11" t="str">
        <f>IFERROR(VLOOKUP(F26,'PRECIO MERCADO'!D:E,2,0),"0")</f>
        <v>0</v>
      </c>
      <c r="N26" s="11">
        <f>_xlfn.XLOOKUP(F26,BBDD!$S:$S,BBDD!$AO:$AO)</f>
        <v>82597</v>
      </c>
      <c r="O26" s="11">
        <f>_xlfn.XLOOKUP(F26,BBDD!$S:$S,BBDD!$AR:$AR)</f>
        <v>4099448</v>
      </c>
    </row>
    <row r="27" spans="1:15" ht="13.5" customHeight="1" x14ac:dyDescent="0.3">
      <c r="A27" s="26" t="s">
        <v>72</v>
      </c>
      <c r="B27" s="25" t="s">
        <v>86</v>
      </c>
      <c r="C27" s="25" t="s">
        <v>87</v>
      </c>
      <c r="D27" s="25" t="s">
        <v>28</v>
      </c>
      <c r="E27" s="25">
        <v>2025</v>
      </c>
      <c r="F27" s="25" t="s">
        <v>88</v>
      </c>
      <c r="G27" s="30">
        <v>76</v>
      </c>
      <c r="H27" s="12" t="str">
        <f t="shared" si="1"/>
        <v>PICK UP D1D1 LUXURY 4X4 2.32025</v>
      </c>
      <c r="I27" s="13"/>
      <c r="J27" s="11">
        <f>VLOOKUP(F27,'PRECIO TOMA HISTORICO '!A:B,2,0)</f>
        <v>13900000</v>
      </c>
      <c r="K27" s="10"/>
      <c r="L27" s="11">
        <f>_xlfn.XLOOKUP(F27,BBDD!$S:$S,BBDD!$AS:$AS)</f>
        <v>16590000</v>
      </c>
      <c r="M27" s="11">
        <f>IFERROR(VLOOKUP(F27,'PRECIO MERCADO'!D:E,2,0),"0")</f>
        <v>16500000</v>
      </c>
      <c r="N27" s="11">
        <f>_xlfn.XLOOKUP(F27,BBDD!$S:$S,BBDD!$AO:$AO)</f>
        <v>13900000</v>
      </c>
      <c r="O27" s="11">
        <f>_xlfn.XLOOKUP(F27,BBDD!$S:$S,BBDD!$AR:$AR)</f>
        <v>14234530</v>
      </c>
    </row>
    <row r="28" spans="1:15" ht="13.5" customHeight="1" x14ac:dyDescent="0.3">
      <c r="A28" s="25" t="s">
        <v>89</v>
      </c>
      <c r="B28" s="25" t="s">
        <v>90</v>
      </c>
      <c r="C28" s="25" t="s">
        <v>91</v>
      </c>
      <c r="D28" s="25" t="s">
        <v>17</v>
      </c>
      <c r="E28" s="25">
        <v>2024</v>
      </c>
      <c r="F28" s="25" t="s">
        <v>92</v>
      </c>
      <c r="G28" s="30">
        <v>20</v>
      </c>
      <c r="H28" s="12" t="str">
        <f t="shared" si="1"/>
        <v>LXLX ADVANCED 1.5 AUT2024</v>
      </c>
      <c r="I28" s="13"/>
      <c r="J28" s="11">
        <f>VLOOKUP(F28,'PRECIO TOMA HISTORICO '!A:B,2,0)</f>
        <v>11300000</v>
      </c>
      <c r="K28" s="10"/>
      <c r="L28" s="11">
        <f>_xlfn.XLOOKUP(F28,BBDD!$S:$S,BBDD!$AS:$AS)</f>
        <v>13790000</v>
      </c>
      <c r="M28" s="11">
        <f>IFERROR(VLOOKUP(F28,'PRECIO MERCADO'!D:E,2,0),"0")</f>
        <v>13800000</v>
      </c>
      <c r="N28" s="11">
        <f>_xlfn.XLOOKUP(F28,BBDD!$S:$S,BBDD!$AO:$AO)</f>
        <v>11300000</v>
      </c>
      <c r="O28" s="11">
        <f>_xlfn.XLOOKUP(F28,BBDD!$S:$S,BBDD!$AR:$AR)</f>
        <v>11300000</v>
      </c>
    </row>
    <row r="29" spans="1:15" ht="13.5" customHeight="1" x14ac:dyDescent="0.3">
      <c r="A29" s="26" t="s">
        <v>89</v>
      </c>
      <c r="B29" s="25" t="s">
        <v>3442</v>
      </c>
      <c r="C29" s="25" t="s">
        <v>6260</v>
      </c>
      <c r="D29" s="25" t="s">
        <v>17</v>
      </c>
      <c r="E29" s="25">
        <v>2025</v>
      </c>
      <c r="F29" s="25" t="s">
        <v>3443</v>
      </c>
      <c r="G29" s="30">
        <v>8</v>
      </c>
      <c r="H29" s="12" t="str">
        <f t="shared" si="1"/>
        <v>VXVX UNLIMITED 4X4 2.0 AUT2025</v>
      </c>
      <c r="I29" s="13"/>
      <c r="J29" s="11">
        <f>VLOOKUP(F29,'PRECIO TOMA HISTORICO '!A:B,2,0)</f>
        <v>22000000</v>
      </c>
      <c r="K29" s="10"/>
      <c r="L29" s="11">
        <f>_xlfn.XLOOKUP(F29,BBDD!$S:$S,BBDD!$AS:$AS)</f>
        <v>28990000</v>
      </c>
      <c r="M29" s="11">
        <f>IFERROR(VLOOKUP(F29,'PRECIO MERCADO'!D:E,2,0),"0")</f>
        <v>30400000</v>
      </c>
      <c r="N29" s="11">
        <f>_xlfn.XLOOKUP(F29,BBDD!$S:$S,BBDD!$AO:$AO)</f>
        <v>22000000</v>
      </c>
      <c r="O29" s="11">
        <f>_xlfn.XLOOKUP(F29,BBDD!$S:$S,BBDD!$AR:$AR)</f>
        <v>22000000</v>
      </c>
    </row>
    <row r="30" spans="1:15" ht="13.5" customHeight="1" x14ac:dyDescent="0.3">
      <c r="A30" s="25" t="s">
        <v>93</v>
      </c>
      <c r="B30" s="25" t="s">
        <v>94</v>
      </c>
      <c r="C30" s="25" t="s">
        <v>95</v>
      </c>
      <c r="D30" s="25" t="s">
        <v>28</v>
      </c>
      <c r="E30" s="25">
        <v>2025</v>
      </c>
      <c r="F30" s="25" t="s">
        <v>96</v>
      </c>
      <c r="G30" s="30">
        <v>118</v>
      </c>
      <c r="H30" s="12" t="str">
        <f t="shared" si="1"/>
        <v>BRONCOBRONCO SPORT WILDTRAK 4X4 2.0 AUT2025</v>
      </c>
      <c r="I30" s="13"/>
      <c r="J30" s="11">
        <f>VLOOKUP(F30,'PRECIO TOMA HISTORICO '!A:B,2,0)</f>
        <v>23500000</v>
      </c>
      <c r="K30" s="10"/>
      <c r="L30" s="11">
        <f>_xlfn.XLOOKUP(F30,BBDD!$S:$S,BBDD!$AS:$AS)</f>
        <v>28290000</v>
      </c>
      <c r="M30" s="11">
        <f>IFERROR(VLOOKUP(F30,'PRECIO MERCADO'!D:E,2,0),"0")</f>
        <v>28300000</v>
      </c>
      <c r="N30" s="11">
        <f>_xlfn.XLOOKUP(F30,BBDD!$S:$S,BBDD!$AO:$AO)</f>
        <v>23500000</v>
      </c>
      <c r="O30" s="11">
        <f>_xlfn.XLOOKUP(F30,BBDD!$S:$S,BBDD!$AR:$AR)</f>
        <v>24449179</v>
      </c>
    </row>
    <row r="31" spans="1:15" ht="13.5" customHeight="1" x14ac:dyDescent="0.3">
      <c r="A31" s="26" t="s">
        <v>93</v>
      </c>
      <c r="B31" s="25" t="s">
        <v>100</v>
      </c>
      <c r="C31" s="25" t="s">
        <v>101</v>
      </c>
      <c r="D31" s="25" t="s">
        <v>28</v>
      </c>
      <c r="E31" s="25">
        <v>2024</v>
      </c>
      <c r="F31" s="25" t="s">
        <v>102</v>
      </c>
      <c r="G31" s="30">
        <v>747</v>
      </c>
      <c r="H31" s="12" t="str">
        <f t="shared" si="1"/>
        <v>EDGEEDGE AWD 2.0 CVT2024</v>
      </c>
      <c r="I31" s="13"/>
      <c r="J31" s="11">
        <f>VLOOKUP(F31,'PRECIO TOMA HISTORICO '!A:B,2,0)</f>
        <v>33990000</v>
      </c>
      <c r="K31" s="10"/>
      <c r="L31" s="11">
        <f>_xlfn.XLOOKUP(F31,BBDD!$S:$S,BBDD!$AS:$AS)</f>
        <v>27990000</v>
      </c>
      <c r="M31" s="11">
        <f>IFERROR(VLOOKUP(F31,'PRECIO MERCADO'!D:E,2,0),"0")</f>
        <v>26100000</v>
      </c>
      <c r="N31" s="11">
        <f>_xlfn.XLOOKUP(F31,BBDD!$S:$S,BBDD!$AO:$AO)</f>
        <v>33990000</v>
      </c>
      <c r="O31" s="11">
        <f>_xlfn.XLOOKUP(F31,BBDD!$S:$S,BBDD!$AR:$AR)</f>
        <v>34699880</v>
      </c>
    </row>
    <row r="32" spans="1:15" ht="13.5" customHeight="1" x14ac:dyDescent="0.3">
      <c r="A32" s="26" t="s">
        <v>93</v>
      </c>
      <c r="B32" s="26" t="s">
        <v>100</v>
      </c>
      <c r="C32" s="25" t="s">
        <v>103</v>
      </c>
      <c r="D32" s="25" t="s">
        <v>43</v>
      </c>
      <c r="E32" s="25">
        <v>2020</v>
      </c>
      <c r="F32" s="25" t="s">
        <v>104</v>
      </c>
      <c r="G32" s="30">
        <v>1176</v>
      </c>
      <c r="H32" s="12" t="str">
        <f t="shared" si="1"/>
        <v>EDGEEDGE SEL 4X4 2.0 AUT2020</v>
      </c>
      <c r="I32" s="13"/>
      <c r="J32" s="11">
        <f>VLOOKUP(F32,'PRECIO TOMA HISTORICO '!A:B,2,0)</f>
        <v>18000000</v>
      </c>
      <c r="K32" s="10"/>
      <c r="L32" s="11">
        <f>_xlfn.XLOOKUP(F32,BBDD!$S:$S,BBDD!$AS:$AS)</f>
        <v>18490000</v>
      </c>
      <c r="M32" s="11">
        <f>IFERROR(VLOOKUP(F32,'PRECIO MERCADO'!D:E,2,0),"0")</f>
        <v>19200000</v>
      </c>
      <c r="N32" s="11">
        <f>_xlfn.XLOOKUP(F32,BBDD!$S:$S,BBDD!$AO:$AO)</f>
        <v>18000000</v>
      </c>
      <c r="O32" s="11">
        <f>_xlfn.XLOOKUP(F32,BBDD!$S:$S,BBDD!$AR:$AR)</f>
        <v>18673380</v>
      </c>
    </row>
    <row r="33" spans="1:15" ht="13.5" customHeight="1" x14ac:dyDescent="0.3">
      <c r="A33" s="26" t="s">
        <v>93</v>
      </c>
      <c r="B33" s="25" t="s">
        <v>105</v>
      </c>
      <c r="C33" s="25" t="s">
        <v>4619</v>
      </c>
      <c r="D33" s="25" t="s">
        <v>17</v>
      </c>
      <c r="E33" s="25">
        <v>2018</v>
      </c>
      <c r="F33" s="25" t="s">
        <v>4239</v>
      </c>
      <c r="G33" s="30">
        <v>3</v>
      </c>
      <c r="H33" s="12" t="str">
        <f t="shared" si="1"/>
        <v>ESCAPEESCAPE 4X4 2.0 AUT2018</v>
      </c>
      <c r="I33" s="13"/>
      <c r="J33" s="11">
        <f>VLOOKUP(F33,'PRECIO TOMA HISTORICO '!A:B,2,0)</f>
        <v>8600000</v>
      </c>
      <c r="K33" s="10"/>
      <c r="L33" s="11">
        <f>_xlfn.XLOOKUP(F33,BBDD!$S:$S,BBDD!$AS:$AS)</f>
        <v>10490000</v>
      </c>
      <c r="M33" s="11">
        <f>IFERROR(VLOOKUP(F33,'PRECIO MERCADO'!D:E,2,0),"0")</f>
        <v>10800000</v>
      </c>
      <c r="N33" s="11">
        <f>_xlfn.XLOOKUP(F33,BBDD!$S:$S,BBDD!$AO:$AO)</f>
        <v>8600000</v>
      </c>
      <c r="O33" s="11">
        <f>_xlfn.XLOOKUP(F33,BBDD!$S:$S,BBDD!$AR:$AR)</f>
        <v>8600000</v>
      </c>
    </row>
    <row r="34" spans="1:15" ht="13.5" customHeight="1" x14ac:dyDescent="0.3">
      <c r="A34" s="26" t="s">
        <v>93</v>
      </c>
      <c r="B34" s="26" t="s">
        <v>105</v>
      </c>
      <c r="C34" s="25" t="s">
        <v>106</v>
      </c>
      <c r="D34" s="25" t="s">
        <v>28</v>
      </c>
      <c r="E34" s="25">
        <v>2023</v>
      </c>
      <c r="F34" s="25" t="s">
        <v>107</v>
      </c>
      <c r="G34" s="30">
        <v>125</v>
      </c>
      <c r="H34" s="12" t="str">
        <f t="shared" si="1"/>
        <v>ESCAPEESCAPE FHEV 2.5 AUT2023</v>
      </c>
      <c r="I34" s="13"/>
      <c r="J34" s="11">
        <f>VLOOKUP(F34,'PRECIO TOMA HISTORICO '!A:B,2,0)</f>
        <v>17500000</v>
      </c>
      <c r="K34" s="10"/>
      <c r="L34" s="11">
        <f>_xlfn.XLOOKUP(F34,BBDD!$S:$S,BBDD!$AS:$AS)</f>
        <v>19990000</v>
      </c>
      <c r="M34" s="11">
        <f>IFERROR(VLOOKUP(F34,'PRECIO MERCADO'!D:E,2,0),"0")</f>
        <v>22100000</v>
      </c>
      <c r="N34" s="11">
        <f>_xlfn.XLOOKUP(F34,BBDD!$S:$S,BBDD!$AO:$AO)</f>
        <v>17500000</v>
      </c>
      <c r="O34" s="11">
        <f>_xlfn.XLOOKUP(F34,BBDD!$S:$S,BBDD!$AR:$AR)</f>
        <v>17888530</v>
      </c>
    </row>
    <row r="35" spans="1:15" ht="13.5" customHeight="1" x14ac:dyDescent="0.3">
      <c r="A35" s="26" t="s">
        <v>93</v>
      </c>
      <c r="B35" s="26" t="s">
        <v>105</v>
      </c>
      <c r="C35" s="26" t="s">
        <v>106</v>
      </c>
      <c r="D35" s="26" t="s">
        <v>28</v>
      </c>
      <c r="E35" s="26">
        <v>2023</v>
      </c>
      <c r="F35" s="27" t="s">
        <v>108</v>
      </c>
      <c r="G35" s="31">
        <v>104</v>
      </c>
      <c r="H35" s="12" t="str">
        <f t="shared" si="1"/>
        <v>ESCAPEESCAPE FHEV 2.5 AUT2023</v>
      </c>
      <c r="I35" s="13"/>
      <c r="J35" s="11">
        <f>VLOOKUP(F35,'PRECIO TOMA HISTORICO '!A:B,2,0)</f>
        <v>15400000</v>
      </c>
      <c r="K35" s="10"/>
      <c r="L35" s="11">
        <f>_xlfn.XLOOKUP(F35,BBDD!$S:$S,BBDD!$AS:$AS)</f>
        <v>19290000</v>
      </c>
      <c r="M35" s="11">
        <f>IFERROR(VLOOKUP(F35,'PRECIO MERCADO'!D:E,2,0),"0")</f>
        <v>19700000</v>
      </c>
      <c r="N35" s="11">
        <f>_xlfn.XLOOKUP(F35,BBDD!$S:$S,BBDD!$AO:$AO)</f>
        <v>15400000</v>
      </c>
      <c r="O35" s="11">
        <f>_xlfn.XLOOKUP(F35,BBDD!$S:$S,BBDD!$AR:$AR)</f>
        <v>15757030</v>
      </c>
    </row>
    <row r="36" spans="1:15" ht="13.5" customHeight="1" x14ac:dyDescent="0.3">
      <c r="A36" s="26" t="s">
        <v>93</v>
      </c>
      <c r="B36" s="26" t="s">
        <v>105</v>
      </c>
      <c r="C36" s="26" t="s">
        <v>106</v>
      </c>
      <c r="D36" s="25" t="s">
        <v>43</v>
      </c>
      <c r="E36" s="25">
        <v>2024</v>
      </c>
      <c r="F36" s="25" t="s">
        <v>109</v>
      </c>
      <c r="G36" s="30">
        <v>27</v>
      </c>
      <c r="H36" s="12" t="str">
        <f t="shared" si="1"/>
        <v>ESCAPEESCAPE FHEV 2.5 AUT2024</v>
      </c>
      <c r="I36" s="13"/>
      <c r="J36" s="11">
        <f>VLOOKUP(F36,'PRECIO TOMA HISTORICO '!A:B,2,0)</f>
        <v>18900000</v>
      </c>
      <c r="K36" s="10"/>
      <c r="L36" s="11">
        <f>_xlfn.XLOOKUP(F36,BBDD!$S:$S,BBDD!$AS:$AS)</f>
        <v>23590000</v>
      </c>
      <c r="M36" s="11">
        <f>IFERROR(VLOOKUP(F36,'PRECIO MERCADO'!D:E,2,0),"0")</f>
        <v>23600000</v>
      </c>
      <c r="N36" s="11">
        <f>_xlfn.XLOOKUP(F36,BBDD!$S:$S,BBDD!$AO:$AO)</f>
        <v>18900000</v>
      </c>
      <c r="O36" s="11">
        <f>_xlfn.XLOOKUP(F36,BBDD!$S:$S,BBDD!$AR:$AR)</f>
        <v>19312740</v>
      </c>
    </row>
    <row r="37" spans="1:15" ht="13.5" customHeight="1" x14ac:dyDescent="0.3">
      <c r="A37" s="26" t="s">
        <v>93</v>
      </c>
      <c r="B37" s="25" t="s">
        <v>110</v>
      </c>
      <c r="C37" s="25" t="s">
        <v>111</v>
      </c>
      <c r="D37" s="25" t="s">
        <v>28</v>
      </c>
      <c r="E37" s="25">
        <v>2017</v>
      </c>
      <c r="F37" s="25" t="s">
        <v>112</v>
      </c>
      <c r="G37" s="30">
        <v>938</v>
      </c>
      <c r="H37" s="12" t="str">
        <f t="shared" si="1"/>
        <v>EXPEDITIONEXPEDITION XLT 3.5 AUT2017</v>
      </c>
      <c r="I37" s="13"/>
      <c r="J37" s="11">
        <f>VLOOKUP(F37,'PRECIO TOMA HISTORICO '!A:B,2,0)</f>
        <v>18000000</v>
      </c>
      <c r="K37" s="10"/>
      <c r="L37" s="11">
        <f>_xlfn.XLOOKUP(F37,BBDD!$S:$S,BBDD!$AS:$AS)</f>
        <v>15290000</v>
      </c>
      <c r="M37" s="11">
        <f>IFERROR(VLOOKUP(F37,'PRECIO MERCADO'!D:E,2,0),"0")</f>
        <v>16300000</v>
      </c>
      <c r="N37" s="11">
        <f>_xlfn.XLOOKUP(F37,BBDD!$S:$S,BBDD!$AO:$AO)</f>
        <v>18000000</v>
      </c>
      <c r="O37" s="11">
        <f>_xlfn.XLOOKUP(F37,BBDD!$S:$S,BBDD!$AR:$AR)</f>
        <v>18961786</v>
      </c>
    </row>
    <row r="38" spans="1:15" ht="13.5" customHeight="1" x14ac:dyDescent="0.3">
      <c r="A38" s="26" t="s">
        <v>93</v>
      </c>
      <c r="B38" s="25" t="s">
        <v>113</v>
      </c>
      <c r="C38" s="25" t="s">
        <v>114</v>
      </c>
      <c r="D38" s="25" t="s">
        <v>28</v>
      </c>
      <c r="E38" s="25">
        <v>2024</v>
      </c>
      <c r="F38" s="25" t="s">
        <v>115</v>
      </c>
      <c r="G38" s="30">
        <v>216</v>
      </c>
      <c r="H38" s="12" t="str">
        <f t="shared" si="1"/>
        <v>EXPLOREREXPLORER 4X2 2.3 AUT2024</v>
      </c>
      <c r="I38" s="13"/>
      <c r="J38" s="11">
        <f>VLOOKUP(F38,'PRECIO TOMA HISTORICO '!A:B,2,0)</f>
        <v>27000000</v>
      </c>
      <c r="K38" s="10"/>
      <c r="L38" s="11">
        <f>_xlfn.XLOOKUP(F38,BBDD!$S:$S,BBDD!$AS:$AS)</f>
        <v>30490000</v>
      </c>
      <c r="M38" s="11">
        <f>IFERROR(VLOOKUP(F38,'PRECIO MERCADO'!D:E,2,0),"0")</f>
        <v>29800000</v>
      </c>
      <c r="N38" s="11">
        <f>_xlfn.XLOOKUP(F38,BBDD!$S:$S,BBDD!$AO:$AO)</f>
        <v>27000000</v>
      </c>
      <c r="O38" s="11">
        <f>_xlfn.XLOOKUP(F38,BBDD!$S:$S,BBDD!$AR:$AR)</f>
        <v>27531030</v>
      </c>
    </row>
    <row r="39" spans="1:15" ht="13.5" customHeight="1" x14ac:dyDescent="0.3">
      <c r="A39" s="26" t="s">
        <v>93</v>
      </c>
      <c r="B39" s="26" t="s">
        <v>113</v>
      </c>
      <c r="C39" s="25" t="s">
        <v>116</v>
      </c>
      <c r="D39" s="25" t="s">
        <v>43</v>
      </c>
      <c r="E39" s="25">
        <v>2020</v>
      </c>
      <c r="F39" s="25" t="s">
        <v>117</v>
      </c>
      <c r="G39" s="30">
        <v>94</v>
      </c>
      <c r="H39" s="12" t="str">
        <f t="shared" si="1"/>
        <v>EXPLOREREXPLORER LTD 4X4 2.3 AUT2020</v>
      </c>
      <c r="I39" s="13"/>
      <c r="J39" s="11">
        <f>VLOOKUP(F39,'PRECIO TOMA HISTORICO '!A:B,2,0)</f>
        <v>17000000</v>
      </c>
      <c r="K39" s="10"/>
      <c r="L39" s="11">
        <f>_xlfn.XLOOKUP(F39,BBDD!$S:$S,BBDD!$AS:$AS)</f>
        <v>22990000</v>
      </c>
      <c r="M39" s="11">
        <f>IFERROR(VLOOKUP(F39,'PRECIO MERCADO'!D:E,2,0),"0")</f>
        <v>25300000</v>
      </c>
      <c r="N39" s="11">
        <f>_xlfn.XLOOKUP(F39,BBDD!$S:$S,BBDD!$AO:$AO)</f>
        <v>17000000</v>
      </c>
      <c r="O39" s="11">
        <f>_xlfn.XLOOKUP(F39,BBDD!$S:$S,BBDD!$AR:$AR)</f>
        <v>17381030</v>
      </c>
    </row>
    <row r="40" spans="1:15" ht="13.5" customHeight="1" x14ac:dyDescent="0.3">
      <c r="A40" s="26" t="s">
        <v>93</v>
      </c>
      <c r="B40" s="25" t="s">
        <v>118</v>
      </c>
      <c r="C40" s="25" t="s">
        <v>119</v>
      </c>
      <c r="D40" s="25" t="s">
        <v>28</v>
      </c>
      <c r="E40" s="25">
        <v>2021</v>
      </c>
      <c r="F40" s="25" t="s">
        <v>120</v>
      </c>
      <c r="G40" s="30">
        <v>179</v>
      </c>
      <c r="H40" s="12" t="str">
        <f t="shared" si="1"/>
        <v>F-150F150 LARIAT 4X4 5.0 AT2021</v>
      </c>
      <c r="I40" s="13"/>
      <c r="J40" s="11">
        <f>VLOOKUP(F40,'PRECIO TOMA HISTORICO '!A:B,2,0)</f>
        <v>24000000</v>
      </c>
      <c r="K40" s="10"/>
      <c r="L40" s="11">
        <f>_xlfn.XLOOKUP(F40,BBDD!$S:$S,BBDD!$AS:$AS)</f>
        <v>27190000</v>
      </c>
      <c r="M40" s="11">
        <f>IFERROR(VLOOKUP(F40,'PRECIO MERCADO'!D:E,2,0),"0")</f>
        <v>29800000</v>
      </c>
      <c r="N40" s="11">
        <f>_xlfn.XLOOKUP(F40,BBDD!$S:$S,BBDD!$AO:$AO)</f>
        <v>24000000</v>
      </c>
      <c r="O40" s="11">
        <f>_xlfn.XLOOKUP(F40,BBDD!$S:$S,BBDD!$AR:$AR)</f>
        <v>24486030</v>
      </c>
    </row>
    <row r="41" spans="1:15" ht="13.5" customHeight="1" x14ac:dyDescent="0.3">
      <c r="A41" s="26" t="s">
        <v>93</v>
      </c>
      <c r="B41" s="26" t="s">
        <v>118</v>
      </c>
      <c r="C41" s="25" t="s">
        <v>121</v>
      </c>
      <c r="D41" s="25" t="s">
        <v>43</v>
      </c>
      <c r="E41" s="25">
        <v>2021</v>
      </c>
      <c r="F41" s="25" t="s">
        <v>122</v>
      </c>
      <c r="G41" s="30">
        <v>57</v>
      </c>
      <c r="H41" s="12" t="str">
        <f t="shared" si="1"/>
        <v>F-150F150 LARIAT LUXURY 4X4 5.0L AUT2021</v>
      </c>
      <c r="I41" s="13"/>
      <c r="J41" s="11">
        <f>VLOOKUP(F41,'PRECIO TOMA HISTORICO '!A:B,2,0)</f>
        <v>20000000</v>
      </c>
      <c r="K41" s="10"/>
      <c r="L41" s="11">
        <f>_xlfn.XLOOKUP(F41,BBDD!$S:$S,BBDD!$AS:$AS)</f>
        <v>31990000</v>
      </c>
      <c r="M41" s="11">
        <f>IFERROR(VLOOKUP(F41,'PRECIO MERCADO'!D:E,2,0),"0")</f>
        <v>32800000</v>
      </c>
      <c r="N41" s="11">
        <f>_xlfn.XLOOKUP(F41,BBDD!$S:$S,BBDD!$AO:$AO)</f>
        <v>20000000</v>
      </c>
      <c r="O41" s="11">
        <f>_xlfn.XLOOKUP(F41,BBDD!$S:$S,BBDD!$AR:$AR)</f>
        <v>20429240</v>
      </c>
    </row>
    <row r="42" spans="1:15" ht="13.5" customHeight="1" x14ac:dyDescent="0.3">
      <c r="A42" s="26" t="s">
        <v>93</v>
      </c>
      <c r="B42" s="26" t="s">
        <v>118</v>
      </c>
      <c r="C42" s="25" t="s">
        <v>123</v>
      </c>
      <c r="D42" s="25" t="s">
        <v>28</v>
      </c>
      <c r="E42" s="25">
        <v>2020</v>
      </c>
      <c r="F42" s="25" t="s">
        <v>124</v>
      </c>
      <c r="G42" s="30">
        <v>215</v>
      </c>
      <c r="H42" s="12" t="str">
        <f t="shared" si="1"/>
        <v>F-150F150 RAPTOR 4X4 3.5 AUT2020</v>
      </c>
      <c r="I42" s="13"/>
      <c r="J42" s="11">
        <f>VLOOKUP(F42,'PRECIO TOMA HISTORICO '!A:B,2,0)</f>
        <v>37200000</v>
      </c>
      <c r="K42" s="10"/>
      <c r="L42" s="11">
        <f>_xlfn.XLOOKUP(F42,BBDD!$S:$S,BBDD!$AS:$AS)</f>
        <v>45990000</v>
      </c>
      <c r="M42" s="11">
        <f>IFERROR(VLOOKUP(F42,'PRECIO MERCADO'!D:E,2,0),"0")</f>
        <v>45300000</v>
      </c>
      <c r="N42" s="11">
        <f>_xlfn.XLOOKUP(F42,BBDD!$S:$S,BBDD!$AO:$AO)</f>
        <v>37200000</v>
      </c>
      <c r="O42" s="11">
        <f>_xlfn.XLOOKUP(F42,BBDD!$S:$S,BBDD!$AR:$AR)</f>
        <v>37884030</v>
      </c>
    </row>
    <row r="43" spans="1:15" ht="13.5" customHeight="1" x14ac:dyDescent="0.3">
      <c r="A43" s="26" t="s">
        <v>93</v>
      </c>
      <c r="B43" s="26" t="s">
        <v>118</v>
      </c>
      <c r="C43" s="26" t="s">
        <v>123</v>
      </c>
      <c r="D43" s="25" t="s">
        <v>125</v>
      </c>
      <c r="E43" s="25">
        <v>2020</v>
      </c>
      <c r="F43" s="25" t="s">
        <v>126</v>
      </c>
      <c r="G43" s="30">
        <v>215</v>
      </c>
      <c r="H43" s="12" t="str">
        <f t="shared" si="1"/>
        <v>F-150F150 RAPTOR 4X4 3.5 AUT2020</v>
      </c>
      <c r="I43" s="13"/>
      <c r="J43" s="11">
        <f>VLOOKUP(F43,'PRECIO TOMA HISTORICO '!A:B,2,0)</f>
        <v>34200000</v>
      </c>
      <c r="K43" s="10"/>
      <c r="L43" s="11">
        <f>_xlfn.XLOOKUP(F43,BBDD!$S:$S,BBDD!$AS:$AS)</f>
        <v>45990000</v>
      </c>
      <c r="M43" s="11">
        <f>IFERROR(VLOOKUP(F43,'PRECIO MERCADO'!D:E,2,0),"0")</f>
        <v>42400000</v>
      </c>
      <c r="N43" s="11">
        <f>_xlfn.XLOOKUP(F43,BBDD!$S:$S,BBDD!$AO:$AO)</f>
        <v>34200000</v>
      </c>
      <c r="O43" s="11">
        <f>_xlfn.XLOOKUP(F43,BBDD!$S:$S,BBDD!$AR:$AR)</f>
        <v>34839030</v>
      </c>
    </row>
    <row r="44" spans="1:15" ht="13.5" customHeight="1" x14ac:dyDescent="0.3">
      <c r="A44" s="26" t="s">
        <v>93</v>
      </c>
      <c r="B44" s="26" t="s">
        <v>118</v>
      </c>
      <c r="C44" s="25" t="s">
        <v>129</v>
      </c>
      <c r="D44" s="25" t="s">
        <v>28</v>
      </c>
      <c r="E44" s="25">
        <v>2024</v>
      </c>
      <c r="F44" s="25" t="s">
        <v>130</v>
      </c>
      <c r="G44" s="30">
        <v>57</v>
      </c>
      <c r="H44" s="12" t="str">
        <f t="shared" si="1"/>
        <v>F-150F150 XLT 4X4 5.0L AUT2024</v>
      </c>
      <c r="I44" s="13"/>
      <c r="J44" s="11">
        <f>VLOOKUP(F44,'PRECIO TOMA HISTORICO '!A:B,2,0)</f>
        <v>31300000</v>
      </c>
      <c r="K44" s="10"/>
      <c r="L44" s="11">
        <f>_xlfn.XLOOKUP(F44,BBDD!$S:$S,BBDD!$AS:$AS)</f>
        <v>36490000</v>
      </c>
      <c r="M44" s="11">
        <f>IFERROR(VLOOKUP(F44,'PRECIO MERCADO'!D:E,2,0),"0")</f>
        <v>37700000</v>
      </c>
      <c r="N44" s="11">
        <f>_xlfn.XLOOKUP(F44,BBDD!$S:$S,BBDD!$AO:$AO)</f>
        <v>31300000</v>
      </c>
      <c r="O44" s="11">
        <f>_xlfn.XLOOKUP(F44,BBDD!$S:$S,BBDD!$AR:$AR)</f>
        <v>31898740</v>
      </c>
    </row>
    <row r="45" spans="1:15" ht="13.5" customHeight="1" x14ac:dyDescent="0.3">
      <c r="A45" s="26" t="s">
        <v>93</v>
      </c>
      <c r="B45" s="25" t="s">
        <v>4252</v>
      </c>
      <c r="C45" s="25" t="s">
        <v>6461</v>
      </c>
      <c r="D45" s="25" t="s">
        <v>17</v>
      </c>
      <c r="E45" s="25">
        <v>2025</v>
      </c>
      <c r="F45" s="25" t="s">
        <v>4253</v>
      </c>
      <c r="G45" s="30">
        <v>8</v>
      </c>
      <c r="H45" s="12" t="str">
        <f t="shared" si="1"/>
        <v>MAVERICKMAVERICK XLT 2.0 AUT2025</v>
      </c>
      <c r="I45" s="13"/>
      <c r="J45" s="11">
        <f>VLOOKUP(F45,'PRECIO TOMA HISTORICO '!A:B,2,0)</f>
        <v>20000000</v>
      </c>
      <c r="K45" s="10"/>
      <c r="L45" s="11">
        <f>_xlfn.XLOOKUP(F45,BBDD!$S:$S,BBDD!$AS:$AS)</f>
        <v>22990000</v>
      </c>
      <c r="M45" s="11">
        <f>IFERROR(VLOOKUP(F45,'PRECIO MERCADO'!D:E,2,0),"0")</f>
        <v>22500000</v>
      </c>
      <c r="N45" s="11">
        <f>_xlfn.XLOOKUP(F45,BBDD!$S:$S,BBDD!$AO:$AO)</f>
        <v>20000000</v>
      </c>
      <c r="O45" s="11">
        <f>_xlfn.XLOOKUP(F45,BBDD!$S:$S,BBDD!$AR:$AR)</f>
        <v>20000000</v>
      </c>
    </row>
    <row r="46" spans="1:15" ht="13.5" customHeight="1" x14ac:dyDescent="0.3">
      <c r="A46" s="26" t="s">
        <v>93</v>
      </c>
      <c r="B46" s="25" t="s">
        <v>131</v>
      </c>
      <c r="C46" s="25" t="s">
        <v>132</v>
      </c>
      <c r="D46" s="25" t="s">
        <v>28</v>
      </c>
      <c r="E46" s="25">
        <v>2024</v>
      </c>
      <c r="F46" s="25" t="s">
        <v>133</v>
      </c>
      <c r="G46" s="30">
        <v>251</v>
      </c>
      <c r="H46" s="12" t="str">
        <f t="shared" si="1"/>
        <v>RANGERRANGER LTD 4X4 3.0 AUT2024</v>
      </c>
      <c r="I46" s="13"/>
      <c r="J46" s="11">
        <f>VLOOKUP(F46,'PRECIO TOMA HISTORICO '!A:B,2,0)</f>
        <v>34000000</v>
      </c>
      <c r="K46" s="10"/>
      <c r="L46" s="11">
        <f>_xlfn.XLOOKUP(F46,BBDD!$S:$S,BBDD!$AS:$AS)</f>
        <v>34990000</v>
      </c>
      <c r="M46" s="11">
        <f>IFERROR(VLOOKUP(F46,'PRECIO MERCADO'!D:E,2,0),"0")</f>
        <v>36200000</v>
      </c>
      <c r="N46" s="11">
        <f>_xlfn.XLOOKUP(F46,BBDD!$S:$S,BBDD!$AO:$AO)</f>
        <v>34000000</v>
      </c>
      <c r="O46" s="11">
        <f>_xlfn.XLOOKUP(F46,BBDD!$S:$S,BBDD!$AR:$AR)</f>
        <v>35178778</v>
      </c>
    </row>
    <row r="47" spans="1:15" ht="13.5" customHeight="1" x14ac:dyDescent="0.3">
      <c r="A47" s="26" t="s">
        <v>93</v>
      </c>
      <c r="B47" s="26" t="s">
        <v>131</v>
      </c>
      <c r="C47" s="25" t="s">
        <v>134</v>
      </c>
      <c r="D47" s="25" t="s">
        <v>28</v>
      </c>
      <c r="E47" s="25">
        <v>2023</v>
      </c>
      <c r="F47" s="25" t="s">
        <v>135</v>
      </c>
      <c r="G47" s="30">
        <v>99</v>
      </c>
      <c r="H47" s="12" t="str">
        <f t="shared" si="1"/>
        <v>RANGERRANGER RAPTOR 4X4 2.0 AUT2023</v>
      </c>
      <c r="I47" s="13"/>
      <c r="J47" s="11">
        <f>VLOOKUP(F47,'PRECIO TOMA HISTORICO '!A:B,2,0)</f>
        <v>26500000</v>
      </c>
      <c r="K47" s="10"/>
      <c r="L47" s="11">
        <f>_xlfn.XLOOKUP(F47,BBDD!$S:$S,BBDD!$AS:$AS)</f>
        <v>30290000</v>
      </c>
      <c r="M47" s="11">
        <f>IFERROR(VLOOKUP(F47,'PRECIO MERCADO'!D:E,2,0),"0")</f>
        <v>33400000</v>
      </c>
      <c r="N47" s="11">
        <f>_xlfn.XLOOKUP(F47,BBDD!$S:$S,BBDD!$AO:$AO)</f>
        <v>26500000</v>
      </c>
      <c r="O47" s="11">
        <f>_xlfn.XLOOKUP(F47,BBDD!$S:$S,BBDD!$AR:$AR)</f>
        <v>27023530</v>
      </c>
    </row>
    <row r="48" spans="1:15" ht="13.5" customHeight="1" x14ac:dyDescent="0.3">
      <c r="A48" s="26" t="s">
        <v>93</v>
      </c>
      <c r="B48" s="26" t="s">
        <v>131</v>
      </c>
      <c r="C48" s="25" t="s">
        <v>136</v>
      </c>
      <c r="D48" s="25" t="s">
        <v>28</v>
      </c>
      <c r="E48" s="25">
        <v>2024</v>
      </c>
      <c r="F48" s="25" t="s">
        <v>137</v>
      </c>
      <c r="G48" s="30">
        <v>146</v>
      </c>
      <c r="H48" s="12" t="str">
        <f t="shared" si="1"/>
        <v>RANGERRANGER RAPTOR 4X4 3.0 AT2024</v>
      </c>
      <c r="I48" s="13"/>
      <c r="J48" s="11">
        <f>VLOOKUP(F48,'PRECIO TOMA HISTORICO '!A:B,2,0)</f>
        <v>39300000</v>
      </c>
      <c r="K48" s="10"/>
      <c r="L48" s="11">
        <f>_xlfn.XLOOKUP(F48,BBDD!$S:$S,BBDD!$AS:$AS)</f>
        <v>43990000</v>
      </c>
      <c r="M48" s="11">
        <f>IFERROR(VLOOKUP(F48,'PRECIO MERCADO'!D:E,2,0),"0")</f>
        <v>46500000</v>
      </c>
      <c r="N48" s="11">
        <f>_xlfn.XLOOKUP(F48,BBDD!$S:$S,BBDD!$AO:$AO)</f>
        <v>39300000</v>
      </c>
      <c r="O48" s="11">
        <f>_xlfn.XLOOKUP(F48,BBDD!$S:$S,BBDD!$AR:$AR)</f>
        <v>40018740</v>
      </c>
    </row>
    <row r="49" spans="1:15" ht="13.5" customHeight="1" x14ac:dyDescent="0.3">
      <c r="A49" s="26" t="s">
        <v>93</v>
      </c>
      <c r="B49" s="26" t="s">
        <v>131</v>
      </c>
      <c r="C49" s="25" t="s">
        <v>139</v>
      </c>
      <c r="D49" s="25" t="s">
        <v>28</v>
      </c>
      <c r="E49" s="25">
        <v>2025</v>
      </c>
      <c r="F49" s="25" t="s">
        <v>140</v>
      </c>
      <c r="G49" s="30">
        <v>165</v>
      </c>
      <c r="H49" s="12" t="str">
        <f t="shared" si="1"/>
        <v>RANGERRANGER XLS 2.02025</v>
      </c>
      <c r="I49" s="13"/>
      <c r="J49" s="11">
        <f>VLOOKUP(F49,'PRECIO TOMA HISTORICO '!A:B,2,0)</f>
        <v>27000000</v>
      </c>
      <c r="K49" s="10"/>
      <c r="L49" s="11">
        <f>_xlfn.XLOOKUP(F49,BBDD!$S:$S,BBDD!$AS:$AS)</f>
        <v>29490000</v>
      </c>
      <c r="M49" s="11">
        <f>IFERROR(VLOOKUP(F49,'PRECIO MERCADO'!D:E,2,0),"0")</f>
        <v>26400000</v>
      </c>
      <c r="N49" s="11">
        <f>_xlfn.XLOOKUP(F49,BBDD!$S:$S,BBDD!$AO:$AO)</f>
        <v>27000000</v>
      </c>
      <c r="O49" s="11">
        <f>_xlfn.XLOOKUP(F49,BBDD!$S:$S,BBDD!$AR:$AR)</f>
        <v>27531030</v>
      </c>
    </row>
    <row r="50" spans="1:15" ht="13.5" customHeight="1" x14ac:dyDescent="0.3">
      <c r="A50" s="26" t="s">
        <v>93</v>
      </c>
      <c r="B50" s="26" t="s">
        <v>131</v>
      </c>
      <c r="C50" s="25" t="s">
        <v>141</v>
      </c>
      <c r="D50" s="25" t="s">
        <v>28</v>
      </c>
      <c r="E50" s="25">
        <v>2023</v>
      </c>
      <c r="F50" s="25" t="s">
        <v>142</v>
      </c>
      <c r="G50" s="30">
        <v>76</v>
      </c>
      <c r="H50" s="12" t="str">
        <f t="shared" si="1"/>
        <v>RANGERRANGER XLT 2.52023</v>
      </c>
      <c r="I50" s="13"/>
      <c r="J50" s="11">
        <f>VLOOKUP(F50,'PRECIO TOMA HISTORICO '!A:B,2,0)</f>
        <v>14500000</v>
      </c>
      <c r="K50" s="10"/>
      <c r="L50" s="11">
        <f>_xlfn.XLOOKUP(F50,BBDD!$S:$S,BBDD!$AS:$AS)</f>
        <v>17990000</v>
      </c>
      <c r="M50" s="11">
        <f>IFERROR(VLOOKUP(F50,'PRECIO MERCADO'!D:E,2,0),"0")</f>
        <v>18700000</v>
      </c>
      <c r="N50" s="11">
        <f>_xlfn.XLOOKUP(F50,BBDD!$S:$S,BBDD!$AO:$AO)</f>
        <v>14500000</v>
      </c>
      <c r="O50" s="11">
        <f>_xlfn.XLOOKUP(F50,BBDD!$S:$S,BBDD!$AR:$AR)</f>
        <v>14843530</v>
      </c>
    </row>
    <row r="51" spans="1:15" ht="13.5" customHeight="1" x14ac:dyDescent="0.3">
      <c r="A51" s="26" t="s">
        <v>93</v>
      </c>
      <c r="B51" s="26" t="s">
        <v>131</v>
      </c>
      <c r="C51" s="25" t="s">
        <v>4687</v>
      </c>
      <c r="D51" s="25" t="s">
        <v>28</v>
      </c>
      <c r="E51" s="25">
        <v>2024</v>
      </c>
      <c r="F51" s="25" t="s">
        <v>432</v>
      </c>
      <c r="G51" s="30">
        <v>94</v>
      </c>
      <c r="H51" s="12" t="str">
        <f t="shared" si="1"/>
        <v>RANGERRANGER XLT 4X4 2.02024</v>
      </c>
      <c r="I51" s="13"/>
      <c r="J51" s="11">
        <f>VLOOKUP(F51,'PRECIO TOMA HISTORICO '!A:B,2,0)</f>
        <v>24000000</v>
      </c>
      <c r="K51" s="10"/>
      <c r="L51" s="11">
        <f>_xlfn.XLOOKUP(F51,BBDD!$S:$S,BBDD!$AS:$AS)</f>
        <v>28490000</v>
      </c>
      <c r="M51" s="11">
        <f>IFERROR(VLOOKUP(F51,'PRECIO MERCADO'!D:E,2,0),"0")</f>
        <v>28600000</v>
      </c>
      <c r="N51" s="11">
        <f>_xlfn.XLOOKUP(F51,BBDD!$S:$S,BBDD!$AO:$AO)</f>
        <v>24000000</v>
      </c>
      <c r="O51" s="11">
        <f>_xlfn.XLOOKUP(F51,BBDD!$S:$S,BBDD!$AR:$AR)</f>
        <v>24877705</v>
      </c>
    </row>
    <row r="52" spans="1:15" ht="13.5" customHeight="1" x14ac:dyDescent="0.3">
      <c r="A52" s="26" t="s">
        <v>93</v>
      </c>
      <c r="B52" s="25" t="s">
        <v>143</v>
      </c>
      <c r="C52" s="25" t="s">
        <v>144</v>
      </c>
      <c r="D52" s="25" t="s">
        <v>43</v>
      </c>
      <c r="E52" s="25">
        <v>2021</v>
      </c>
      <c r="F52" s="25" t="s">
        <v>145</v>
      </c>
      <c r="G52" s="30">
        <v>1222</v>
      </c>
      <c r="H52" s="12" t="str">
        <f t="shared" si="1"/>
        <v>TERRITORYTERRITORY 1.5 AUT2021</v>
      </c>
      <c r="I52" s="13"/>
      <c r="J52" s="11">
        <f>VLOOKUP(F52,'PRECIO TOMA HISTORICO '!A:B,2,0)</f>
        <v>15500000</v>
      </c>
      <c r="K52" s="10"/>
      <c r="L52" s="11">
        <f>_xlfn.XLOOKUP(F52,BBDD!$S:$S,BBDD!$AS:$AS)</f>
        <v>12990000</v>
      </c>
      <c r="M52" s="11">
        <f>IFERROR(VLOOKUP(F52,'PRECIO MERCADO'!D:E,2,0),"0")</f>
        <v>13200000</v>
      </c>
      <c r="N52" s="11">
        <f>_xlfn.XLOOKUP(F52,BBDD!$S:$S,BBDD!$AO:$AO)</f>
        <v>15500000</v>
      </c>
      <c r="O52" s="11">
        <f>_xlfn.XLOOKUP(F52,BBDD!$S:$S,BBDD!$AR:$AR)</f>
        <v>16399467</v>
      </c>
    </row>
    <row r="53" spans="1:15" ht="13.5" customHeight="1" x14ac:dyDescent="0.3">
      <c r="A53" s="26" t="s">
        <v>93</v>
      </c>
      <c r="B53" s="26" t="s">
        <v>143</v>
      </c>
      <c r="C53" s="26" t="s">
        <v>144</v>
      </c>
      <c r="D53" s="26" t="s">
        <v>43</v>
      </c>
      <c r="E53" s="25">
        <v>2022</v>
      </c>
      <c r="F53" s="25" t="s">
        <v>146</v>
      </c>
      <c r="G53" s="30">
        <v>399</v>
      </c>
      <c r="H53" s="12" t="str">
        <f t="shared" si="1"/>
        <v>TERRITORYTERRITORY 1.5 AUT2022</v>
      </c>
      <c r="I53" s="13"/>
      <c r="J53" s="11">
        <f>VLOOKUP(F53,'PRECIO TOMA HISTORICO '!A:B,2,0)</f>
        <v>10300000</v>
      </c>
      <c r="K53" s="10"/>
      <c r="L53" s="11">
        <f>_xlfn.XLOOKUP(F53,BBDD!$S:$S,BBDD!$AS:$AS)</f>
        <v>10490000</v>
      </c>
      <c r="M53" s="11">
        <f>IFERROR(VLOOKUP(F53,'PRECIO MERCADO'!D:E,2,0),"0")</f>
        <v>12800000</v>
      </c>
      <c r="N53" s="11">
        <f>_xlfn.XLOOKUP(F53,BBDD!$S:$S,BBDD!$AO:$AO)</f>
        <v>10300000</v>
      </c>
      <c r="O53" s="11">
        <f>_xlfn.XLOOKUP(F53,BBDD!$S:$S,BBDD!$AR:$AR)</f>
        <v>10580530</v>
      </c>
    </row>
    <row r="54" spans="1:15" ht="13.5" customHeight="1" x14ac:dyDescent="0.3">
      <c r="A54" s="26" t="s">
        <v>93</v>
      </c>
      <c r="B54" s="26" t="s">
        <v>143</v>
      </c>
      <c r="C54" s="25" t="s">
        <v>147</v>
      </c>
      <c r="D54" s="25" t="s">
        <v>43</v>
      </c>
      <c r="E54" s="25">
        <v>2025</v>
      </c>
      <c r="F54" s="25" t="s">
        <v>148</v>
      </c>
      <c r="G54" s="30">
        <v>57</v>
      </c>
      <c r="H54" s="12" t="str">
        <f t="shared" si="1"/>
        <v>TERRITORYTERRITORY TITANIUM 4X2 1.5 AUT2025</v>
      </c>
      <c r="I54" s="13"/>
      <c r="J54" s="11">
        <f>VLOOKUP(F54,'PRECIO TOMA HISTORICO '!A:B,2,0)</f>
        <v>16000000</v>
      </c>
      <c r="K54" s="10"/>
      <c r="L54" s="11">
        <f>_xlfn.XLOOKUP(F54,BBDD!$S:$S,BBDD!$AS:$AS)</f>
        <v>19490000</v>
      </c>
      <c r="M54" s="11">
        <f>IFERROR(VLOOKUP(F54,'PRECIO MERCADO'!D:E,2,0),"0")</f>
        <v>18400000</v>
      </c>
      <c r="N54" s="11">
        <f>_xlfn.XLOOKUP(F54,BBDD!$S:$S,BBDD!$AO:$AO)</f>
        <v>16000000</v>
      </c>
      <c r="O54" s="11">
        <f>_xlfn.XLOOKUP(F54,BBDD!$S:$S,BBDD!$AR:$AR)</f>
        <v>16369240</v>
      </c>
    </row>
    <row r="55" spans="1:15" ht="13.5" customHeight="1" x14ac:dyDescent="0.3">
      <c r="A55" s="25" t="s">
        <v>151</v>
      </c>
      <c r="B55" s="25" t="s">
        <v>154</v>
      </c>
      <c r="C55" s="25" t="s">
        <v>155</v>
      </c>
      <c r="D55" s="25" t="s">
        <v>17</v>
      </c>
      <c r="E55" s="25">
        <v>2024</v>
      </c>
      <c r="F55" s="25" t="s">
        <v>156</v>
      </c>
      <c r="G55" s="30">
        <v>20</v>
      </c>
      <c r="H55" s="12" t="str">
        <f t="shared" si="1"/>
        <v>POERPOER 4X2 MT 2.02024</v>
      </c>
      <c r="I55" s="13"/>
      <c r="J55" s="11">
        <f>VLOOKUP(F55,'PRECIO TOMA HISTORICO '!A:B,2,0)</f>
        <v>13500000</v>
      </c>
      <c r="K55" s="10"/>
      <c r="L55" s="11">
        <f>_xlfn.XLOOKUP(F55,BBDD!$S:$S,BBDD!$AS:$AS)</f>
        <v>16490000</v>
      </c>
      <c r="M55" s="11">
        <f>IFERROR(VLOOKUP(F55,'PRECIO MERCADO'!D:E,2,0),"0")</f>
        <v>16500000</v>
      </c>
      <c r="N55" s="11">
        <f>_xlfn.XLOOKUP(F55,BBDD!$S:$S,BBDD!$AO:$AO)</f>
        <v>13500000</v>
      </c>
      <c r="O55" s="11">
        <f>_xlfn.XLOOKUP(F55,BBDD!$S:$S,BBDD!$AR:$AR)</f>
        <v>13500000</v>
      </c>
    </row>
    <row r="56" spans="1:15" ht="13.5" customHeight="1" x14ac:dyDescent="0.3">
      <c r="A56" s="25" t="s">
        <v>157</v>
      </c>
      <c r="B56" s="25" t="s">
        <v>158</v>
      </c>
      <c r="C56" s="25" t="s">
        <v>159</v>
      </c>
      <c r="D56" s="25" t="s">
        <v>28</v>
      </c>
      <c r="E56" s="25">
        <v>2019</v>
      </c>
      <c r="F56" s="25" t="s">
        <v>160</v>
      </c>
      <c r="G56" s="30">
        <v>57</v>
      </c>
      <c r="H56" s="12" t="str">
        <f t="shared" si="1"/>
        <v>H2H2 ELITE 1.52019</v>
      </c>
      <c r="I56" s="13"/>
      <c r="J56" s="11">
        <f>VLOOKUP(F56,'PRECIO TOMA HISTORICO '!A:B,2,0)</f>
        <v>6800000</v>
      </c>
      <c r="K56" s="10"/>
      <c r="L56" s="11">
        <f>_xlfn.XLOOKUP(F56,BBDD!$S:$S,BBDD!$AS:$AS)</f>
        <v>8290000</v>
      </c>
      <c r="M56" s="11">
        <f>IFERROR(VLOOKUP(F56,'PRECIO MERCADO'!D:E,2,0),"0")</f>
        <v>8500000</v>
      </c>
      <c r="N56" s="11">
        <f>_xlfn.XLOOKUP(F56,BBDD!$S:$S,BBDD!$AO:$AO)</f>
        <v>6800000</v>
      </c>
      <c r="O56" s="11">
        <f>_xlfn.XLOOKUP(F56,BBDD!$S:$S,BBDD!$AR:$AR)</f>
        <v>7031240</v>
      </c>
    </row>
    <row r="57" spans="1:15" ht="13.5" customHeight="1" x14ac:dyDescent="0.3">
      <c r="A57" s="26" t="s">
        <v>157</v>
      </c>
      <c r="B57" s="25" t="s">
        <v>161</v>
      </c>
      <c r="C57" s="25" t="s">
        <v>162</v>
      </c>
      <c r="D57" s="25" t="s">
        <v>125</v>
      </c>
      <c r="E57" s="25">
        <v>2024</v>
      </c>
      <c r="F57" s="25" t="s">
        <v>163</v>
      </c>
      <c r="G57" s="30">
        <v>33</v>
      </c>
      <c r="H57" s="12" t="str">
        <f t="shared" si="1"/>
        <v>H6H6 GT DCT 4X4 2.0 AUT2024</v>
      </c>
      <c r="I57" s="13"/>
      <c r="J57" s="11">
        <f>VLOOKUP(F57,'PRECIO TOMA HISTORICO '!A:B,2,0)</f>
        <v>15700000</v>
      </c>
      <c r="K57" s="10"/>
      <c r="L57" s="11">
        <f>_xlfn.XLOOKUP(F57,BBDD!$S:$S,BBDD!$AS:$AS)</f>
        <v>18490000</v>
      </c>
      <c r="M57" s="11">
        <f>IFERROR(VLOOKUP(F57,'PRECIO MERCADO'!D:E,2,0),"0")</f>
        <v>18400000</v>
      </c>
      <c r="N57" s="11">
        <f>_xlfn.XLOOKUP(F57,BBDD!$S:$S,BBDD!$AO:$AO)</f>
        <v>15700000</v>
      </c>
      <c r="O57" s="11">
        <f>_xlfn.XLOOKUP(F57,BBDD!$S:$S,BBDD!$AR:$AR)</f>
        <v>15700000</v>
      </c>
    </row>
    <row r="58" spans="1:15" ht="13.5" customHeight="1" x14ac:dyDescent="0.3">
      <c r="A58" s="26" t="s">
        <v>157</v>
      </c>
      <c r="B58" s="25" t="s">
        <v>164</v>
      </c>
      <c r="C58" s="25" t="s">
        <v>6334</v>
      </c>
      <c r="D58" s="25" t="s">
        <v>17</v>
      </c>
      <c r="E58" s="25">
        <v>2023</v>
      </c>
      <c r="F58" s="25" t="s">
        <v>6337</v>
      </c>
      <c r="G58" s="30">
        <v>6</v>
      </c>
      <c r="H58" s="12" t="str">
        <f t="shared" si="1"/>
        <v>JOLIONJOLION 4X2 1.52023</v>
      </c>
      <c r="I58" s="13"/>
      <c r="J58" s="11">
        <f>VLOOKUP(F58,'PRECIO TOMA HISTORICO '!A:B,2,0)</f>
        <v>9300000</v>
      </c>
      <c r="K58" s="10"/>
      <c r="L58" s="11">
        <f>_xlfn.XLOOKUP(F58,BBDD!$S:$S,BBDD!$AS:$AS)</f>
        <v>11390000</v>
      </c>
      <c r="M58" s="11">
        <f>IFERROR(VLOOKUP(F58,'PRECIO MERCADO'!D:E,2,0),"0")</f>
        <v>11400000</v>
      </c>
      <c r="N58" s="11">
        <f>_xlfn.XLOOKUP(F58,BBDD!$S:$S,BBDD!$AO:$AO)</f>
        <v>9300000</v>
      </c>
      <c r="O58" s="11">
        <f>_xlfn.XLOOKUP(F58,BBDD!$S:$S,BBDD!$AR:$AR)</f>
        <v>9300000</v>
      </c>
    </row>
    <row r="59" spans="1:15" ht="13.5" customHeight="1" x14ac:dyDescent="0.3">
      <c r="A59" s="26" t="s">
        <v>157</v>
      </c>
      <c r="B59" s="26" t="s">
        <v>164</v>
      </c>
      <c r="C59" s="25" t="s">
        <v>165</v>
      </c>
      <c r="D59" s="25" t="s">
        <v>28</v>
      </c>
      <c r="E59" s="25">
        <v>2022</v>
      </c>
      <c r="F59" s="25" t="s">
        <v>166</v>
      </c>
      <c r="G59" s="30">
        <v>33</v>
      </c>
      <c r="H59" s="12" t="str">
        <f t="shared" si="1"/>
        <v>JOLIONJOLION TURBO DCT 1.5 AUT2022</v>
      </c>
      <c r="I59" s="13"/>
      <c r="J59" s="11">
        <f>VLOOKUP(F59,'PRECIO TOMA HISTORICO '!A:B,2,0)</f>
        <v>10100000</v>
      </c>
      <c r="K59" s="10"/>
      <c r="L59" s="11">
        <f>_xlfn.XLOOKUP(F59,BBDD!$S:$S,BBDD!$AS:$AS)</f>
        <v>12490000</v>
      </c>
      <c r="M59" s="11">
        <f>IFERROR(VLOOKUP(F59,'PRECIO MERCADO'!D:E,2,0),"0")</f>
        <v>12500000</v>
      </c>
      <c r="N59" s="11">
        <f>_xlfn.XLOOKUP(F59,BBDD!$S:$S,BBDD!$AO:$AO)</f>
        <v>10100000</v>
      </c>
      <c r="O59" s="11">
        <f>_xlfn.XLOOKUP(F59,BBDD!$S:$S,BBDD!$AR:$AR)</f>
        <v>10380740</v>
      </c>
    </row>
    <row r="60" spans="1:15" ht="13.5" customHeight="1" x14ac:dyDescent="0.3">
      <c r="A60" s="25" t="s">
        <v>167</v>
      </c>
      <c r="B60" s="25" t="s">
        <v>167</v>
      </c>
      <c r="C60" s="25" t="s">
        <v>168</v>
      </c>
      <c r="D60" s="25" t="s">
        <v>22</v>
      </c>
      <c r="E60" s="25">
        <v>2025</v>
      </c>
      <c r="F60" s="25" t="s">
        <v>169</v>
      </c>
      <c r="G60" s="30">
        <v>33</v>
      </c>
      <c r="H60" s="12" t="str">
        <f t="shared" si="1"/>
        <v>HYUNDAIACCENT 1.52025</v>
      </c>
      <c r="I60" s="13"/>
      <c r="J60" s="11">
        <f>VLOOKUP(F60,'PRECIO TOMA HISTORICO '!A:B,2,0)</f>
        <v>10350000</v>
      </c>
      <c r="K60" s="10"/>
      <c r="L60" s="11">
        <f>_xlfn.XLOOKUP(F60,BBDD!$S:$S,BBDD!$AS:$AS)</f>
        <v>12890000</v>
      </c>
      <c r="M60" s="11">
        <f>IFERROR(VLOOKUP(F60,'PRECIO MERCADO'!D:E,2,0),"0")</f>
        <v>12500000</v>
      </c>
      <c r="N60" s="11">
        <f>_xlfn.XLOOKUP(F60,BBDD!$S:$S,BBDD!$AO:$AO)</f>
        <v>10350000</v>
      </c>
      <c r="O60" s="11">
        <f>_xlfn.XLOOKUP(F60,BBDD!$S:$S,BBDD!$AR:$AR)</f>
        <v>10634490</v>
      </c>
    </row>
    <row r="61" spans="1:15" ht="13.5" customHeight="1" x14ac:dyDescent="0.3">
      <c r="A61" s="26" t="s">
        <v>167</v>
      </c>
      <c r="B61" s="26" t="s">
        <v>167</v>
      </c>
      <c r="C61" s="25" t="s">
        <v>6653</v>
      </c>
      <c r="D61" s="25" t="s">
        <v>28</v>
      </c>
      <c r="E61" s="25">
        <v>2020</v>
      </c>
      <c r="F61" s="25" t="s">
        <v>401</v>
      </c>
      <c r="G61" s="30">
        <v>64</v>
      </c>
      <c r="H61" s="12" t="str">
        <f t="shared" si="1"/>
        <v>HYUNDAIGRAND I10 BA GLS 1.52020</v>
      </c>
      <c r="I61" s="13"/>
      <c r="J61" s="11">
        <f>VLOOKUP(F61,'PRECIO TOMA HISTORICO '!A:B,2,0)</f>
        <v>5700000</v>
      </c>
      <c r="K61" s="10"/>
      <c r="L61" s="11">
        <f>_xlfn.XLOOKUP(F61,BBDD!$S:$S,BBDD!$AS:$AS)</f>
        <v>7890000</v>
      </c>
      <c r="M61" s="11">
        <f>IFERROR(VLOOKUP(F61,'PRECIO MERCADO'!D:E,2,0),"0")</f>
        <v>7850000</v>
      </c>
      <c r="N61" s="11">
        <f>_xlfn.XLOOKUP(F61,BBDD!$S:$S,BBDD!$AO:$AO)</f>
        <v>5700000</v>
      </c>
      <c r="O61" s="11">
        <f>_xlfn.XLOOKUP(F61,BBDD!$S:$S,BBDD!$AR:$AR)</f>
        <v>5700000</v>
      </c>
    </row>
    <row r="62" spans="1:15" ht="13.5" customHeight="1" x14ac:dyDescent="0.3">
      <c r="A62" s="26" t="s">
        <v>167</v>
      </c>
      <c r="B62" s="26" t="s">
        <v>167</v>
      </c>
      <c r="C62" s="25" t="s">
        <v>170</v>
      </c>
      <c r="D62" s="25" t="s">
        <v>22</v>
      </c>
      <c r="E62" s="25">
        <v>2023</v>
      </c>
      <c r="F62" s="25" t="s">
        <v>171</v>
      </c>
      <c r="G62" s="30">
        <v>45</v>
      </c>
      <c r="H62" s="12" t="str">
        <f t="shared" si="1"/>
        <v>HYUNDAIGRAND I10 SDN 1.22023</v>
      </c>
      <c r="I62" s="13"/>
      <c r="J62" s="11">
        <f>VLOOKUP(F62,'PRECIO TOMA HISTORICO '!A:B,2,0)</f>
        <v>7000000</v>
      </c>
      <c r="K62" s="10"/>
      <c r="L62" s="11">
        <f>_xlfn.XLOOKUP(F62,BBDD!$S:$S,BBDD!$AS:$AS)</f>
        <v>9190000</v>
      </c>
      <c r="M62" s="11">
        <f>IFERROR(VLOOKUP(F62,'PRECIO MERCADO'!D:E,2,0),"0")</f>
        <v>9300000</v>
      </c>
      <c r="N62" s="11">
        <f>_xlfn.XLOOKUP(F62,BBDD!$S:$S,BBDD!$AO:$AO)</f>
        <v>7000000</v>
      </c>
      <c r="O62" s="11">
        <f>_xlfn.XLOOKUP(F62,BBDD!$S:$S,BBDD!$AR:$AR)</f>
        <v>7234240</v>
      </c>
    </row>
    <row r="63" spans="1:15" ht="13.5" customHeight="1" x14ac:dyDescent="0.3">
      <c r="A63" s="26" t="s">
        <v>167</v>
      </c>
      <c r="B63" s="26" t="s">
        <v>167</v>
      </c>
      <c r="C63" s="25" t="s">
        <v>172</v>
      </c>
      <c r="D63" s="25" t="s">
        <v>28</v>
      </c>
      <c r="E63" s="25">
        <v>2024</v>
      </c>
      <c r="F63" s="25" t="s">
        <v>173</v>
      </c>
      <c r="G63" s="30">
        <v>146</v>
      </c>
      <c r="H63" s="12" t="str">
        <f t="shared" si="1"/>
        <v>HYUNDAISANTA FE MX5 GDI 2.5 AUT2024</v>
      </c>
      <c r="I63" s="13"/>
      <c r="J63" s="11">
        <f>VLOOKUP(F63,'PRECIO TOMA HISTORICO '!A:B,2,0)</f>
        <v>23500000</v>
      </c>
      <c r="K63" s="10"/>
      <c r="L63" s="11">
        <f>_xlfn.XLOOKUP(F63,BBDD!$S:$S,BBDD!$AS:$AS)</f>
        <v>26390000</v>
      </c>
      <c r="M63" s="11">
        <f>IFERROR(VLOOKUP(F63,'PRECIO MERCADO'!D:E,2,0),"0")</f>
        <v>28400000</v>
      </c>
      <c r="N63" s="11">
        <f>_xlfn.XLOOKUP(F63,BBDD!$S:$S,BBDD!$AO:$AO)</f>
        <v>23500000</v>
      </c>
      <c r="O63" s="11">
        <f>_xlfn.XLOOKUP(F63,BBDD!$S:$S,BBDD!$AR:$AR)</f>
        <v>24403834</v>
      </c>
    </row>
    <row r="64" spans="1:15" ht="13.5" customHeight="1" x14ac:dyDescent="0.3">
      <c r="A64" s="26" t="s">
        <v>167</v>
      </c>
      <c r="B64" s="26" t="s">
        <v>167</v>
      </c>
      <c r="C64" s="25" t="s">
        <v>174</v>
      </c>
      <c r="D64" s="25" t="s">
        <v>28</v>
      </c>
      <c r="E64" s="25">
        <v>2025</v>
      </c>
      <c r="F64" s="25" t="s">
        <v>175</v>
      </c>
      <c r="G64" s="30">
        <v>242</v>
      </c>
      <c r="H64" s="12" t="str">
        <f t="shared" si="1"/>
        <v>HYUNDAISANTA FE MX5 GDI 4X4 2.5 AUT2025</v>
      </c>
      <c r="I64" s="13"/>
      <c r="J64" s="11">
        <f>VLOOKUP(F64,'PRECIO TOMA HISTORICO '!A:B,2,0)</f>
        <v>28700000</v>
      </c>
      <c r="K64" s="10"/>
      <c r="L64" s="11">
        <f>_xlfn.XLOOKUP(F64,BBDD!$S:$S,BBDD!$AS:$AS)</f>
        <v>32990000</v>
      </c>
      <c r="M64" s="11">
        <f>IFERROR(VLOOKUP(F64,'PRECIO MERCADO'!D:E,2,0),"0")</f>
        <v>32100000</v>
      </c>
      <c r="N64" s="11">
        <f>_xlfn.XLOOKUP(F64,BBDD!$S:$S,BBDD!$AO:$AO)</f>
        <v>28700000</v>
      </c>
      <c r="O64" s="11">
        <f>_xlfn.XLOOKUP(F64,BBDD!$S:$S,BBDD!$AR:$AR)</f>
        <v>29753703</v>
      </c>
    </row>
    <row r="65" spans="1:15" ht="13.5" customHeight="1" x14ac:dyDescent="0.3">
      <c r="A65" s="26" t="s">
        <v>167</v>
      </c>
      <c r="B65" s="26" t="s">
        <v>167</v>
      </c>
      <c r="C65" s="25" t="s">
        <v>176</v>
      </c>
      <c r="D65" s="25" t="s">
        <v>28</v>
      </c>
      <c r="E65" s="25">
        <v>2024</v>
      </c>
      <c r="F65" s="25" t="s">
        <v>177</v>
      </c>
      <c r="G65" s="30">
        <v>41</v>
      </c>
      <c r="H65" s="12" t="str">
        <f t="shared" si="1"/>
        <v>HYUNDAITUCSON NX4 2.0 AUT2024</v>
      </c>
      <c r="I65" s="13"/>
      <c r="J65" s="11">
        <f>VLOOKUP(F65,'PRECIO TOMA HISTORICO '!A:B,2,0)</f>
        <v>17200000</v>
      </c>
      <c r="K65" s="10"/>
      <c r="L65" s="11">
        <f>_xlfn.XLOOKUP(F65,BBDD!$S:$S,BBDD!$AS:$AS)</f>
        <v>19990000</v>
      </c>
      <c r="M65" s="11">
        <f>IFERROR(VLOOKUP(F65,'PRECIO MERCADO'!D:E,2,0),"0")</f>
        <v>20600000</v>
      </c>
      <c r="N65" s="11">
        <f>_xlfn.XLOOKUP(F65,BBDD!$S:$S,BBDD!$AO:$AO)</f>
        <v>17200000</v>
      </c>
      <c r="O65" s="11">
        <f>_xlfn.XLOOKUP(F65,BBDD!$S:$S,BBDD!$AR:$AR)</f>
        <v>17587240</v>
      </c>
    </row>
    <row r="66" spans="1:15" ht="13.5" customHeight="1" x14ac:dyDescent="0.3">
      <c r="A66" s="26" t="s">
        <v>167</v>
      </c>
      <c r="B66" s="25" t="s">
        <v>178</v>
      </c>
      <c r="C66" s="25" t="s">
        <v>179</v>
      </c>
      <c r="D66" s="25" t="s">
        <v>28</v>
      </c>
      <c r="E66" s="25">
        <v>2022</v>
      </c>
      <c r="F66" s="25" t="s">
        <v>180</v>
      </c>
      <c r="G66" s="30">
        <v>273</v>
      </c>
      <c r="H66" s="12" t="str">
        <f t="shared" si="1"/>
        <v>STARIAUS4 CRDI 6MT 2.22022</v>
      </c>
      <c r="I66" s="13"/>
      <c r="J66" s="11">
        <f>VLOOKUP(F66,'PRECIO TOMA HISTORICO '!A:B,2,0)</f>
        <v>20000000</v>
      </c>
      <c r="K66" s="10"/>
      <c r="L66" s="11">
        <f>_xlfn.XLOOKUP(F66,BBDD!$S:$S,BBDD!$AS:$AS)</f>
        <v>21500000</v>
      </c>
      <c r="M66" s="11">
        <f>IFERROR(VLOOKUP(F66,'PRECIO MERCADO'!D:E,2,0),"0")</f>
        <v>23900000</v>
      </c>
      <c r="N66" s="11">
        <f>_xlfn.XLOOKUP(F66,BBDD!$S:$S,BBDD!$AO:$AO)</f>
        <v>20000000</v>
      </c>
      <c r="O66" s="11">
        <f>_xlfn.XLOOKUP(F66,BBDD!$S:$S,BBDD!$AR:$AR)</f>
        <v>20426030</v>
      </c>
    </row>
    <row r="67" spans="1:15" ht="13.5" customHeight="1" x14ac:dyDescent="0.3">
      <c r="A67" s="25" t="s">
        <v>181</v>
      </c>
      <c r="B67" s="25" t="s">
        <v>182</v>
      </c>
      <c r="C67" s="25" t="s">
        <v>183</v>
      </c>
      <c r="D67" s="25" t="s">
        <v>28</v>
      </c>
      <c r="E67" s="25">
        <v>2024</v>
      </c>
      <c r="F67" s="25" t="s">
        <v>184</v>
      </c>
      <c r="G67" s="30">
        <v>17</v>
      </c>
      <c r="H67" s="12" t="str">
        <f t="shared" si="1"/>
        <v>JS4JS4 LUXURY HB 1.52024</v>
      </c>
      <c r="I67" s="13"/>
      <c r="J67" s="11">
        <f>VLOOKUP(F67,'PRECIO TOMA HISTORICO '!A:B,2,0)</f>
        <v>8500000</v>
      </c>
      <c r="K67" s="10"/>
      <c r="L67" s="11">
        <f>_xlfn.XLOOKUP(F67,BBDD!$S:$S,BBDD!$AS:$AS)</f>
        <v>10490000</v>
      </c>
      <c r="M67" s="11">
        <f>IFERROR(VLOOKUP(F67,'PRECIO MERCADO'!D:E,2,0),"0")</f>
        <v>10800000</v>
      </c>
      <c r="N67" s="11">
        <f>_xlfn.XLOOKUP(F67,BBDD!$S:$S,BBDD!$AO:$AO)</f>
        <v>8500000</v>
      </c>
      <c r="O67" s="11">
        <f>_xlfn.XLOOKUP(F67,BBDD!$S:$S,BBDD!$AR:$AR)</f>
        <v>8500000</v>
      </c>
    </row>
    <row r="68" spans="1:15" ht="13.5" customHeight="1" x14ac:dyDescent="0.3">
      <c r="A68" s="26" t="s">
        <v>181</v>
      </c>
      <c r="B68" s="25" t="s">
        <v>185</v>
      </c>
      <c r="C68" s="25" t="s">
        <v>186</v>
      </c>
      <c r="D68" s="25" t="s">
        <v>43</v>
      </c>
      <c r="E68" s="25">
        <v>2023</v>
      </c>
      <c r="F68" s="25" t="s">
        <v>187</v>
      </c>
      <c r="G68" s="30">
        <v>263</v>
      </c>
      <c r="H68" s="12" t="str">
        <f t="shared" si="1"/>
        <v>T8T8 PRO TM 4X4 2.02023</v>
      </c>
      <c r="I68" s="13"/>
      <c r="J68" s="11">
        <f>VLOOKUP(F68,'PRECIO TOMA HISTORICO '!A:B,2,0)</f>
        <v>10600000</v>
      </c>
      <c r="K68" s="10"/>
      <c r="L68" s="11">
        <f>_xlfn.XLOOKUP(F68,BBDD!$S:$S,BBDD!$AS:$AS)</f>
        <v>12790000</v>
      </c>
      <c r="M68" s="11">
        <f>IFERROR(VLOOKUP(F68,'PRECIO MERCADO'!D:E,2,0),"0")</f>
        <v>15400000</v>
      </c>
      <c r="N68" s="11">
        <f>_xlfn.XLOOKUP(F68,BBDD!$S:$S,BBDD!$AO:$AO)</f>
        <v>10600000</v>
      </c>
      <c r="O68" s="11">
        <f>_xlfn.XLOOKUP(F68,BBDD!$S:$S,BBDD!$AR:$AR)</f>
        <v>10885030</v>
      </c>
    </row>
    <row r="69" spans="1:15" ht="13.5" customHeight="1" x14ac:dyDescent="0.3">
      <c r="A69" s="25" t="s">
        <v>188</v>
      </c>
      <c r="B69" s="25" t="s">
        <v>4835</v>
      </c>
      <c r="C69" s="25" t="s">
        <v>189</v>
      </c>
      <c r="D69" s="25" t="s">
        <v>22</v>
      </c>
      <c r="E69" s="25">
        <v>2025</v>
      </c>
      <c r="F69" s="25" t="s">
        <v>190</v>
      </c>
      <c r="G69" s="30">
        <v>35</v>
      </c>
      <c r="H69" s="12" t="str">
        <f t="shared" si="1"/>
        <v>77 DCT 1.6 AUT2025</v>
      </c>
      <c r="I69" s="13"/>
      <c r="J69" s="11">
        <f>VLOOKUP(F69,'PRECIO TOMA HISTORICO '!A:B,2,0)</f>
        <v>17500000</v>
      </c>
      <c r="K69" s="10"/>
      <c r="L69" s="11">
        <f>_xlfn.XLOOKUP(F69,BBDD!$S:$S,BBDD!$AS:$AS)</f>
        <v>20990000</v>
      </c>
      <c r="M69" s="11">
        <f>IFERROR(VLOOKUP(F69,'PRECIO MERCADO'!D:E,2,0),"0")</f>
        <v>17400000</v>
      </c>
      <c r="N69" s="11">
        <f>_xlfn.XLOOKUP(F69,BBDD!$S:$S,BBDD!$AO:$AO)</f>
        <v>17500000</v>
      </c>
      <c r="O69" s="11">
        <f>_xlfn.XLOOKUP(F69,BBDD!$S:$S,BBDD!$AR:$AR)</f>
        <v>17891740</v>
      </c>
    </row>
    <row r="70" spans="1:15" ht="13.5" customHeight="1" x14ac:dyDescent="0.3">
      <c r="A70" s="26" t="s">
        <v>188</v>
      </c>
      <c r="B70" s="26" t="s">
        <v>4835</v>
      </c>
      <c r="C70" s="25" t="s">
        <v>191</v>
      </c>
      <c r="D70" s="25" t="s">
        <v>28</v>
      </c>
      <c r="E70" s="25">
        <v>2025</v>
      </c>
      <c r="F70" s="25" t="s">
        <v>192</v>
      </c>
      <c r="G70" s="30">
        <v>94</v>
      </c>
      <c r="H70" s="12" t="str">
        <f t="shared" si="1"/>
        <v>77 DCT FWD 1.6 AUT2025</v>
      </c>
      <c r="I70" s="13"/>
      <c r="J70" s="11">
        <f>VLOOKUP(F70,'PRECIO TOMA HISTORICO '!A:B,2,0)</f>
        <v>15500000</v>
      </c>
      <c r="K70" s="10"/>
      <c r="L70" s="11">
        <f>_xlfn.XLOOKUP(F70,BBDD!$S:$S,BBDD!$AS:$AS)</f>
        <v>17490000</v>
      </c>
      <c r="M70" s="11">
        <f>IFERROR(VLOOKUP(F70,'PRECIO MERCADO'!D:E,2,0),"0")</f>
        <v>18400000</v>
      </c>
      <c r="N70" s="11">
        <f>_xlfn.XLOOKUP(F70,BBDD!$S:$S,BBDD!$AO:$AO)</f>
        <v>15500000</v>
      </c>
      <c r="O70" s="11">
        <f>_xlfn.XLOOKUP(F70,BBDD!$S:$S,BBDD!$AR:$AR)</f>
        <v>15858530</v>
      </c>
    </row>
    <row r="71" spans="1:15" ht="13.5" customHeight="1" x14ac:dyDescent="0.3">
      <c r="A71" s="26" t="s">
        <v>188</v>
      </c>
      <c r="B71" s="26" t="s">
        <v>4835</v>
      </c>
      <c r="C71" s="26" t="s">
        <v>191</v>
      </c>
      <c r="D71" s="26" t="s">
        <v>28</v>
      </c>
      <c r="E71" s="25">
        <v>2026</v>
      </c>
      <c r="F71" s="25" t="s">
        <v>193</v>
      </c>
      <c r="G71" s="30">
        <v>57</v>
      </c>
      <c r="H71" s="12" t="str">
        <f t="shared" si="1"/>
        <v>77 DCT FWD 1.6 AUT2026</v>
      </c>
      <c r="I71" s="13"/>
      <c r="J71" s="11">
        <f>VLOOKUP(F71,'PRECIO TOMA HISTORICO '!A:B,2,0)</f>
        <v>14500000</v>
      </c>
      <c r="K71" s="10"/>
      <c r="L71" s="11">
        <f>_xlfn.XLOOKUP(F71,BBDD!$S:$S,BBDD!$AS:$AS)</f>
        <v>16490000</v>
      </c>
      <c r="M71" s="11">
        <f>IFERROR(VLOOKUP(F71,'PRECIO MERCADO'!D:E,2,0),"0")</f>
        <v>17500000</v>
      </c>
      <c r="N71" s="11">
        <f>_xlfn.XLOOKUP(F71,BBDD!$S:$S,BBDD!$AO:$AO)</f>
        <v>14500000</v>
      </c>
      <c r="O71" s="11">
        <f>_xlfn.XLOOKUP(F71,BBDD!$S:$S,BBDD!$AR:$AR)</f>
        <v>14846740</v>
      </c>
    </row>
    <row r="72" spans="1:15" ht="13.5" customHeight="1" x14ac:dyDescent="0.3">
      <c r="A72" s="26" t="s">
        <v>188</v>
      </c>
      <c r="B72" s="26" t="s">
        <v>4835</v>
      </c>
      <c r="C72" s="26" t="s">
        <v>191</v>
      </c>
      <c r="D72" s="25" t="s">
        <v>36</v>
      </c>
      <c r="E72" s="25">
        <v>2025</v>
      </c>
      <c r="F72" s="25" t="s">
        <v>194</v>
      </c>
      <c r="G72" s="30">
        <v>204</v>
      </c>
      <c r="H72" s="12" t="str">
        <f t="shared" si="1"/>
        <v>77 DCT FWD 1.6 AUT2025</v>
      </c>
      <c r="I72" s="13"/>
      <c r="J72" s="11">
        <f>VLOOKUP(F72,'PRECIO TOMA HISTORICO '!A:B,2,0)</f>
        <v>15500000</v>
      </c>
      <c r="K72" s="10"/>
      <c r="L72" s="11">
        <f>_xlfn.XLOOKUP(F72,BBDD!$S:$S,BBDD!$AS:$AS)</f>
        <v>16490000</v>
      </c>
      <c r="M72" s="11">
        <f>IFERROR(VLOOKUP(F72,'PRECIO MERCADO'!D:E,2,0),"0")</f>
        <v>18000000</v>
      </c>
      <c r="N72" s="11">
        <f>_xlfn.XLOOKUP(F72,BBDD!$S:$S,BBDD!$AO:$AO)</f>
        <v>15500000</v>
      </c>
      <c r="O72" s="11">
        <f>_xlfn.XLOOKUP(F72,BBDD!$S:$S,BBDD!$AR:$AR)</f>
        <v>15858530</v>
      </c>
    </row>
    <row r="73" spans="1:15" ht="13.5" customHeight="1" x14ac:dyDescent="0.3">
      <c r="A73" s="25" t="s">
        <v>195</v>
      </c>
      <c r="B73" s="25" t="s">
        <v>196</v>
      </c>
      <c r="C73" s="25" t="s">
        <v>4845</v>
      </c>
      <c r="D73" s="25" t="s">
        <v>17</v>
      </c>
      <c r="E73" s="25">
        <v>2018</v>
      </c>
      <c r="F73" s="25" t="s">
        <v>3832</v>
      </c>
      <c r="G73" s="30">
        <v>3</v>
      </c>
      <c r="H73" s="12" t="str">
        <f t="shared" si="1"/>
        <v>COMPASSALL NEW COMPASS SPORT LX 2.42018</v>
      </c>
      <c r="I73" s="13"/>
      <c r="J73" s="11">
        <f>VLOOKUP(F73,'PRECIO TOMA HISTORICO '!A:B,2,0)</f>
        <v>7600000</v>
      </c>
      <c r="K73" s="10"/>
      <c r="L73" s="11">
        <f>_xlfn.XLOOKUP(F73,BBDD!$S:$S,BBDD!$AS:$AS)</f>
        <v>8990000</v>
      </c>
      <c r="M73" s="11">
        <f>IFERROR(VLOOKUP(F73,'PRECIO MERCADO'!D:E,2,0),"0")</f>
        <v>9400000</v>
      </c>
      <c r="N73" s="11">
        <f>_xlfn.XLOOKUP(F73,BBDD!$S:$S,BBDD!$AO:$AO)</f>
        <v>7600000</v>
      </c>
      <c r="O73" s="11">
        <f>_xlfn.XLOOKUP(F73,BBDD!$S:$S,BBDD!$AR:$AR)</f>
        <v>7600000</v>
      </c>
    </row>
    <row r="74" spans="1:15" ht="13.5" customHeight="1" x14ac:dyDescent="0.3">
      <c r="A74" s="26" t="s">
        <v>195</v>
      </c>
      <c r="B74" s="25" t="s">
        <v>198</v>
      </c>
      <c r="C74" s="25" t="s">
        <v>199</v>
      </c>
      <c r="D74" s="25" t="s">
        <v>67</v>
      </c>
      <c r="E74" s="25">
        <v>2013</v>
      </c>
      <c r="F74" s="25" t="s">
        <v>200</v>
      </c>
      <c r="G74" s="30">
        <v>1455</v>
      </c>
      <c r="H74" s="12" t="str">
        <f t="shared" si="1"/>
        <v>GRAND CHEROKEEGRAND CHEROKEE LAREDO 4X4 3.0 AUT2013</v>
      </c>
      <c r="I74" s="15"/>
      <c r="J74" s="11">
        <f>VLOOKUP(F74,'PRECIO TOMA HISTORICO '!A:B,2,0)</f>
        <v>13800000</v>
      </c>
      <c r="K74" s="10"/>
      <c r="L74" s="11">
        <f>_xlfn.XLOOKUP(F74,BBDD!$S:$S,BBDD!$AS:$AS)</f>
        <v>11490000</v>
      </c>
      <c r="M74" s="11">
        <f>IFERROR(VLOOKUP(F74,'PRECIO MERCADO'!D:E,2,0),"0")</f>
        <v>11200000</v>
      </c>
      <c r="N74" s="11">
        <f>_xlfn.XLOOKUP(F74,BBDD!$S:$S,BBDD!$AO:$AO)</f>
        <v>13800000</v>
      </c>
      <c r="O74" s="11">
        <f>_xlfn.XLOOKUP(F74,BBDD!$S:$S,BBDD!$AR:$AR)</f>
        <v>14313046</v>
      </c>
    </row>
    <row r="75" spans="1:15" ht="13.5" customHeight="1" x14ac:dyDescent="0.3">
      <c r="A75" s="25" t="s">
        <v>201</v>
      </c>
      <c r="B75" s="25" t="s">
        <v>202</v>
      </c>
      <c r="C75" s="25" t="s">
        <v>203</v>
      </c>
      <c r="D75" s="25" t="s">
        <v>204</v>
      </c>
      <c r="E75" s="25">
        <v>2016</v>
      </c>
      <c r="F75" s="25" t="s">
        <v>205</v>
      </c>
      <c r="G75" s="30">
        <v>3858</v>
      </c>
      <c r="H75" s="12" t="str">
        <f t="shared" si="1"/>
        <v>FRONTIERFRONTIER C/C 2.5 6MT2016</v>
      </c>
      <c r="I75" s="15"/>
      <c r="J75" s="11" t="e">
        <f>VLOOKUP(F75,'PRECIO TOMA HISTORICO '!A:B,2,0)</f>
        <v>#N/A</v>
      </c>
      <c r="K75" s="10"/>
      <c r="L75" s="11">
        <f>_xlfn.XLOOKUP(F75,BBDD!$S:$S,BBDD!$AS:$AS)</f>
        <v>14800000</v>
      </c>
      <c r="M75" s="11" t="str">
        <f>IFERROR(VLOOKUP(F75,'PRECIO MERCADO'!D:E,2,0),"0")</f>
        <v>0</v>
      </c>
      <c r="N75" s="11">
        <f>_xlfn.XLOOKUP(F75,BBDD!$S:$S,BBDD!$AO:$AO)</f>
        <v>323597</v>
      </c>
      <c r="O75" s="11">
        <f>_xlfn.XLOOKUP(F75,BBDD!$S:$S,BBDD!$AR:$AR)</f>
        <v>3489228</v>
      </c>
    </row>
    <row r="76" spans="1:15" ht="13.5" customHeight="1" x14ac:dyDescent="0.3">
      <c r="A76" s="26" t="s">
        <v>201</v>
      </c>
      <c r="B76" s="25" t="s">
        <v>206</v>
      </c>
      <c r="C76" s="25" t="s">
        <v>207</v>
      </c>
      <c r="D76" s="25" t="s">
        <v>204</v>
      </c>
      <c r="E76" s="25">
        <v>2014</v>
      </c>
      <c r="F76" s="25" t="s">
        <v>208</v>
      </c>
      <c r="G76" s="30">
        <v>2849</v>
      </c>
      <c r="H76" s="12" t="str">
        <f t="shared" si="1"/>
        <v>MORNINGMORNING LX 1.02014</v>
      </c>
      <c r="I76" s="13"/>
      <c r="J76" s="11" t="e">
        <f>VLOOKUP(F76,'PRECIO TOMA HISTORICO '!A:B,2,0)</f>
        <v>#N/A</v>
      </c>
      <c r="K76" s="10"/>
      <c r="L76" s="11">
        <f>_xlfn.XLOOKUP(F76,BBDD!$S:$S,BBDD!$AS:$AS)</f>
        <v>4390000</v>
      </c>
      <c r="M76" s="11" t="str">
        <f>IFERROR(VLOOKUP(F76,'PRECIO MERCADO'!D:E,2,0),"0")</f>
        <v>0</v>
      </c>
      <c r="N76" s="11">
        <f>_xlfn.XLOOKUP(F76,BBDD!$S:$S,BBDD!$AO:$AO)</f>
        <v>0</v>
      </c>
      <c r="O76" s="11">
        <f>_xlfn.XLOOKUP(F76,BBDD!$S:$S,BBDD!$AR:$AR)</f>
        <v>1812732</v>
      </c>
    </row>
    <row r="77" spans="1:15" ht="13.5" customHeight="1" x14ac:dyDescent="0.3">
      <c r="A77" s="26" t="s">
        <v>201</v>
      </c>
      <c r="B77" s="25" t="s">
        <v>209</v>
      </c>
      <c r="C77" s="25" t="s">
        <v>210</v>
      </c>
      <c r="D77" s="25" t="s">
        <v>28</v>
      </c>
      <c r="E77" s="25">
        <v>2024</v>
      </c>
      <c r="F77" s="25" t="s">
        <v>211</v>
      </c>
      <c r="G77" s="30">
        <v>104</v>
      </c>
      <c r="H77" s="12" t="str">
        <f t="shared" si="1"/>
        <v>NIRONIRO HEV DCT GDI 1.6 AUT2024</v>
      </c>
      <c r="I77" s="13"/>
      <c r="J77" s="11">
        <f>VLOOKUP(F77,'PRECIO TOMA HISTORICO '!A:B,2,0)</f>
        <v>17750000</v>
      </c>
      <c r="K77" s="10"/>
      <c r="L77" s="11">
        <f>_xlfn.XLOOKUP(F77,BBDD!$S:$S,BBDD!$AS:$AS)</f>
        <v>19990000</v>
      </c>
      <c r="M77" s="11">
        <f>IFERROR(VLOOKUP(F77,'PRECIO MERCADO'!D:E,2,0),"0")</f>
        <v>21700000</v>
      </c>
      <c r="N77" s="11">
        <f>_xlfn.XLOOKUP(F77,BBDD!$S:$S,BBDD!$AO:$AO)</f>
        <v>17750000</v>
      </c>
      <c r="O77" s="11">
        <f>_xlfn.XLOOKUP(F77,BBDD!$S:$S,BBDD!$AR:$AR)</f>
        <v>18142280</v>
      </c>
    </row>
    <row r="78" spans="1:15" ht="13.5" customHeight="1" x14ac:dyDescent="0.3">
      <c r="A78" s="26" t="s">
        <v>201</v>
      </c>
      <c r="B78" s="25" t="s">
        <v>4903</v>
      </c>
      <c r="C78" s="25" t="s">
        <v>4911</v>
      </c>
      <c r="D78" s="25" t="s">
        <v>17</v>
      </c>
      <c r="E78" s="25">
        <v>2023</v>
      </c>
      <c r="F78" s="25" t="s">
        <v>4298</v>
      </c>
      <c r="G78" s="30">
        <v>8</v>
      </c>
      <c r="H78" s="12" t="str">
        <f t="shared" si="1"/>
        <v>RIORIO 5 6MT 1.42023</v>
      </c>
      <c r="I78" s="13"/>
      <c r="J78" s="11">
        <f>VLOOKUP(F78,'PRECIO TOMA HISTORICO '!A:B,2,0)</f>
        <v>9400000</v>
      </c>
      <c r="K78" s="10"/>
      <c r="L78" s="11">
        <f>_xlfn.XLOOKUP(F78,BBDD!$S:$S,BBDD!$AS:$AS)</f>
        <v>12290000</v>
      </c>
      <c r="M78" s="11">
        <f>IFERROR(VLOOKUP(F78,'PRECIO MERCADO'!D:E,2,0),"0")</f>
        <v>11900000</v>
      </c>
      <c r="N78" s="11">
        <f>_xlfn.XLOOKUP(F78,BBDD!$S:$S,BBDD!$AO:$AO)</f>
        <v>9400000</v>
      </c>
      <c r="O78" s="11">
        <f>_xlfn.XLOOKUP(F78,BBDD!$S:$S,BBDD!$AR:$AR)</f>
        <v>9400000</v>
      </c>
    </row>
    <row r="79" spans="1:15" ht="13.5" customHeight="1" x14ac:dyDescent="0.3">
      <c r="A79" s="26" t="s">
        <v>201</v>
      </c>
      <c r="B79" s="25" t="s">
        <v>215</v>
      </c>
      <c r="C79" s="25" t="s">
        <v>216</v>
      </c>
      <c r="D79" s="25" t="s">
        <v>28</v>
      </c>
      <c r="E79" s="25">
        <v>2024</v>
      </c>
      <c r="F79" s="25" t="s">
        <v>217</v>
      </c>
      <c r="G79" s="30">
        <v>131</v>
      </c>
      <c r="H79" s="12" t="str">
        <f t="shared" si="1"/>
        <v>SORENTOSORENTO 8DCT 4WD 2.2 AUT2024</v>
      </c>
      <c r="I79" s="13"/>
      <c r="J79" s="11">
        <f>VLOOKUP(F79,'PRECIO TOMA HISTORICO '!A:B,2,0)</f>
        <v>28000000</v>
      </c>
      <c r="K79" s="10"/>
      <c r="L79" s="11">
        <f>_xlfn.XLOOKUP(F79,BBDD!$S:$S,BBDD!$AS:$AS)</f>
        <v>33490000</v>
      </c>
      <c r="M79" s="11">
        <f>IFERROR(VLOOKUP(F79,'PRECIO MERCADO'!D:E,2,0),"0")</f>
        <v>34600000</v>
      </c>
      <c r="N79" s="11">
        <f>_xlfn.XLOOKUP(F79,BBDD!$S:$S,BBDD!$AO:$AO)</f>
        <v>28000000</v>
      </c>
      <c r="O79" s="11">
        <f>_xlfn.XLOOKUP(F79,BBDD!$S:$S,BBDD!$AR:$AR)</f>
        <v>29142194</v>
      </c>
    </row>
    <row r="80" spans="1:15" ht="13.5" customHeight="1" x14ac:dyDescent="0.3">
      <c r="A80" s="26" t="s">
        <v>201</v>
      </c>
      <c r="B80" s="25" t="s">
        <v>218</v>
      </c>
      <c r="C80" s="25" t="s">
        <v>219</v>
      </c>
      <c r="D80" s="25" t="s">
        <v>22</v>
      </c>
      <c r="E80" s="25">
        <v>2023</v>
      </c>
      <c r="F80" s="25" t="s">
        <v>220</v>
      </c>
      <c r="G80" s="30">
        <v>39</v>
      </c>
      <c r="H80" s="12" t="str">
        <f t="shared" si="1"/>
        <v>SPORTAGESPORTAGE EX 2.0 AUT2023</v>
      </c>
      <c r="I80" s="13"/>
      <c r="J80" s="11">
        <f>VLOOKUP(F80,'PRECIO TOMA HISTORICO '!A:B,2,0)</f>
        <v>17000000</v>
      </c>
      <c r="K80" s="10"/>
      <c r="L80" s="11">
        <f>_xlfn.XLOOKUP(F80,BBDD!$S:$S,BBDD!$AS:$AS)</f>
        <v>19990000</v>
      </c>
      <c r="M80" s="11">
        <f>IFERROR(VLOOKUP(F80,'PRECIO MERCADO'!D:E,2,0),"0")</f>
        <v>20100000</v>
      </c>
      <c r="N80" s="11">
        <f>_xlfn.XLOOKUP(F80,BBDD!$S:$S,BBDD!$AO:$AO)</f>
        <v>17000000</v>
      </c>
      <c r="O80" s="11">
        <f>_xlfn.XLOOKUP(F80,BBDD!$S:$S,BBDD!$AR:$AR)</f>
        <v>17384240</v>
      </c>
    </row>
    <row r="81" spans="1:15" ht="13.5" customHeight="1" x14ac:dyDescent="0.3">
      <c r="A81" s="26" t="s">
        <v>201</v>
      </c>
      <c r="B81" s="26" t="s">
        <v>218</v>
      </c>
      <c r="C81" s="25" t="s">
        <v>223</v>
      </c>
      <c r="D81" s="25" t="s">
        <v>224</v>
      </c>
      <c r="E81" s="25">
        <v>2014</v>
      </c>
      <c r="F81" s="25" t="s">
        <v>225</v>
      </c>
      <c r="G81" s="30">
        <v>2265</v>
      </c>
      <c r="H81" s="12" t="str">
        <f t="shared" si="1"/>
        <v>SPORTAGESPORTAGE LX 4X4 2.0 AUT2014</v>
      </c>
      <c r="I81" s="15"/>
      <c r="J81" s="11" t="e">
        <f>VLOOKUP(F81,'PRECIO TOMA HISTORICO '!A:B,2,0)</f>
        <v>#N/A</v>
      </c>
      <c r="K81" s="10"/>
      <c r="L81" s="11">
        <f>_xlfn.XLOOKUP(F81,BBDD!$S:$S,BBDD!$AS:$AS)</f>
        <v>8490000</v>
      </c>
      <c r="M81" s="11" t="str">
        <f>IFERROR(VLOOKUP(F81,'PRECIO MERCADO'!D:E,2,0),"0")</f>
        <v>0</v>
      </c>
      <c r="N81" s="11">
        <f>_xlfn.XLOOKUP(F81,BBDD!$S:$S,BBDD!$AO:$AO)</f>
        <v>0</v>
      </c>
      <c r="O81" s="11">
        <f>_xlfn.XLOOKUP(F81,BBDD!$S:$S,BBDD!$AR:$AR)</f>
        <v>2523835</v>
      </c>
    </row>
    <row r="82" spans="1:15" ht="13.5" customHeight="1" x14ac:dyDescent="0.3">
      <c r="A82" s="25" t="s">
        <v>226</v>
      </c>
      <c r="B82" s="25" t="s">
        <v>226</v>
      </c>
      <c r="C82" s="25" t="s">
        <v>227</v>
      </c>
      <c r="D82" s="25" t="s">
        <v>43</v>
      </c>
      <c r="E82" s="25">
        <v>2022</v>
      </c>
      <c r="F82" s="25" t="s">
        <v>228</v>
      </c>
      <c r="G82" s="30">
        <v>154</v>
      </c>
      <c r="H82" s="12" t="str">
        <f t="shared" si="1"/>
        <v>MAHINDRAKUV 100 HATCH BACK 1.22022</v>
      </c>
      <c r="I82" s="13"/>
      <c r="J82" s="11">
        <f>VLOOKUP(F82,'PRECIO TOMA HISTORICO '!A:B,2,0)</f>
        <v>4850000</v>
      </c>
      <c r="K82" s="10"/>
      <c r="L82" s="11">
        <f>_xlfn.XLOOKUP(F82,BBDD!$S:$S,BBDD!$AS:$AS)</f>
        <v>6390000</v>
      </c>
      <c r="M82" s="11">
        <f>IFERROR(VLOOKUP(F82,'PRECIO MERCADO'!D:E,2,0),"0")</f>
        <v>6480000</v>
      </c>
      <c r="N82" s="11">
        <f>_xlfn.XLOOKUP(F82,BBDD!$S:$S,BBDD!$AO:$AO)</f>
        <v>8137896</v>
      </c>
      <c r="O82" s="11">
        <f>_xlfn.XLOOKUP(F82,BBDD!$S:$S,BBDD!$AR:$AR)</f>
        <v>8385994</v>
      </c>
    </row>
    <row r="83" spans="1:15" ht="13.5" customHeight="1" x14ac:dyDescent="0.3">
      <c r="A83" s="25" t="s">
        <v>229</v>
      </c>
      <c r="B83" s="25" t="s">
        <v>230</v>
      </c>
      <c r="C83" s="25" t="s">
        <v>231</v>
      </c>
      <c r="D83" s="25" t="s">
        <v>22</v>
      </c>
      <c r="E83" s="25">
        <v>2025</v>
      </c>
      <c r="F83" s="25" t="s">
        <v>232</v>
      </c>
      <c r="G83" s="30">
        <v>34</v>
      </c>
      <c r="H83" s="12" t="str">
        <f t="shared" si="1"/>
        <v>CX-30CX30 4X2 2.0 AUT2025</v>
      </c>
      <c r="I83" s="13"/>
      <c r="J83" s="11">
        <f>VLOOKUP(F83,'PRECIO TOMA HISTORICO '!A:B,2,0)</f>
        <v>18300000</v>
      </c>
      <c r="K83" s="10"/>
      <c r="L83" s="11">
        <f>_xlfn.XLOOKUP(F83,BBDD!$S:$S,BBDD!$AS:$AS)</f>
        <v>21990000</v>
      </c>
      <c r="M83" s="11">
        <f>IFERROR(VLOOKUP(F83,'PRECIO MERCADO'!D:E,2,0),"0")</f>
        <v>21600000</v>
      </c>
      <c r="N83" s="11">
        <f>_xlfn.XLOOKUP(F83,BBDD!$S:$S,BBDD!$AO:$AO)</f>
        <v>18300000</v>
      </c>
      <c r="O83" s="11">
        <f>_xlfn.XLOOKUP(F83,BBDD!$S:$S,BBDD!$AR:$AR)</f>
        <v>18703740</v>
      </c>
    </row>
    <row r="84" spans="1:15" ht="13.5" customHeight="1" x14ac:dyDescent="0.3">
      <c r="A84" s="26" t="s">
        <v>229</v>
      </c>
      <c r="B84" s="25" t="s">
        <v>233</v>
      </c>
      <c r="C84" s="25" t="s">
        <v>234</v>
      </c>
      <c r="D84" s="25" t="s">
        <v>28</v>
      </c>
      <c r="E84" s="25">
        <v>2025</v>
      </c>
      <c r="F84" s="25" t="s">
        <v>235</v>
      </c>
      <c r="G84" s="30">
        <v>242</v>
      </c>
      <c r="H84" s="12" t="str">
        <f t="shared" si="1"/>
        <v>CX-60CX60 PREMIUM SPORT 4X4 3.3 AUT2025</v>
      </c>
      <c r="I84" s="13"/>
      <c r="J84" s="11">
        <f>VLOOKUP(F84,'PRECIO TOMA HISTORICO '!A:B,2,0)</f>
        <v>38000000</v>
      </c>
      <c r="K84" s="10"/>
      <c r="L84" s="11">
        <f>_xlfn.XLOOKUP(F84,BBDD!$S:$S,BBDD!$AS:$AS)</f>
        <v>36990000</v>
      </c>
      <c r="M84" s="11">
        <f>IFERROR(VLOOKUP(F84,'PRECIO MERCADO'!D:E,2,0),"0")</f>
        <v>40700000</v>
      </c>
      <c r="N84" s="11">
        <f>_xlfn.XLOOKUP(F84,BBDD!$S:$S,BBDD!$AO:$AO)</f>
        <v>38000000</v>
      </c>
      <c r="O84" s="11">
        <f>_xlfn.XLOOKUP(F84,BBDD!$S:$S,BBDD!$AR:$AR)</f>
        <v>39283058</v>
      </c>
    </row>
    <row r="85" spans="1:15" ht="13.5" customHeight="1" x14ac:dyDescent="0.3">
      <c r="A85" s="25" t="s">
        <v>2945</v>
      </c>
      <c r="B85" s="25" t="s">
        <v>5031</v>
      </c>
      <c r="C85" s="25" t="s">
        <v>5032</v>
      </c>
      <c r="D85" s="25" t="s">
        <v>17</v>
      </c>
      <c r="E85" s="25">
        <v>2024</v>
      </c>
      <c r="F85" s="25" t="s">
        <v>4337</v>
      </c>
      <c r="G85" s="30">
        <v>8</v>
      </c>
      <c r="H85" s="12" t="str">
        <f t="shared" si="1"/>
        <v>MGZXZX 1.52024</v>
      </c>
      <c r="I85" s="13"/>
      <c r="J85" s="11">
        <f>VLOOKUP(F85,'PRECIO TOMA HISTORICO '!A:B,2,0)</f>
        <v>7800000</v>
      </c>
      <c r="K85" s="10"/>
      <c r="L85" s="11">
        <f>_xlfn.XLOOKUP(F85,BBDD!$S:$S,BBDD!$AS:$AS)</f>
        <v>9990000</v>
      </c>
      <c r="M85" s="11">
        <f>IFERROR(VLOOKUP(F85,'PRECIO MERCADO'!D:E,2,0),"0")</f>
        <v>9600000</v>
      </c>
      <c r="N85" s="11">
        <f>_xlfn.XLOOKUP(F85,BBDD!$S:$S,BBDD!$AO:$AO)</f>
        <v>7800000</v>
      </c>
      <c r="O85" s="11">
        <f>_xlfn.XLOOKUP(F85,BBDD!$S:$S,BBDD!$AR:$AR)</f>
        <v>7800000</v>
      </c>
    </row>
    <row r="86" spans="1:15" ht="13.5" customHeight="1" x14ac:dyDescent="0.3">
      <c r="A86" s="25" t="s">
        <v>236</v>
      </c>
      <c r="B86" s="25" t="s">
        <v>5052</v>
      </c>
      <c r="C86" s="25" t="s">
        <v>5053</v>
      </c>
      <c r="D86" s="25" t="s">
        <v>17</v>
      </c>
      <c r="E86" s="25">
        <v>2023</v>
      </c>
      <c r="F86" s="25" t="s">
        <v>6669</v>
      </c>
      <c r="G86" s="30">
        <v>1</v>
      </c>
      <c r="H86" s="12" t="str">
        <f t="shared" si="1"/>
        <v>MONTEROMONTERO SPORT 2.42023</v>
      </c>
      <c r="I86" s="13"/>
      <c r="J86" s="11">
        <f>VLOOKUP(F86,'PRECIO TOMA HISTORICO '!A:B,2,0)</f>
        <v>18300000</v>
      </c>
      <c r="K86" s="10"/>
      <c r="L86" s="11">
        <f>_xlfn.XLOOKUP(F86,BBDD!$S:$S,BBDD!$AS:$AS)</f>
        <v>22990000</v>
      </c>
      <c r="M86" s="11">
        <f>IFERROR(VLOOKUP(F86,'PRECIO MERCADO'!D:E,2,0),"0")</f>
        <v>23800000</v>
      </c>
      <c r="N86" s="11">
        <f>_xlfn.XLOOKUP(F86,BBDD!$S:$S,BBDD!$AO:$AO)</f>
        <v>18300000</v>
      </c>
      <c r="O86" s="11">
        <f>_xlfn.XLOOKUP(F86,BBDD!$S:$S,BBDD!$AR:$AR)</f>
        <v>18300000</v>
      </c>
    </row>
    <row r="87" spans="1:15" ht="13.5" customHeight="1" x14ac:dyDescent="0.3">
      <c r="A87" s="26" t="s">
        <v>236</v>
      </c>
      <c r="B87" s="25" t="s">
        <v>237</v>
      </c>
      <c r="C87" s="25" t="s">
        <v>238</v>
      </c>
      <c r="D87" s="25" t="s">
        <v>22</v>
      </c>
      <c r="E87" s="25">
        <v>2023</v>
      </c>
      <c r="F87" s="25" t="s">
        <v>239</v>
      </c>
      <c r="G87" s="30">
        <v>76</v>
      </c>
      <c r="H87" s="12" t="str">
        <f t="shared" si="1"/>
        <v>OUTLANDEROUTLANDER GL 2.5 AUT2023</v>
      </c>
      <c r="I87" s="13"/>
      <c r="J87" s="11">
        <f>VLOOKUP(F87,'PRECIO TOMA HISTORICO '!A:B,2,0)</f>
        <v>15200000</v>
      </c>
      <c r="K87" s="10"/>
      <c r="L87" s="11">
        <f>_xlfn.XLOOKUP(F87,BBDD!$S:$S,BBDD!$AS:$AS)</f>
        <v>18190000</v>
      </c>
      <c r="M87" s="11">
        <f>IFERROR(VLOOKUP(F87,'PRECIO MERCADO'!D:E,2,0),"0")</f>
        <v>18100000</v>
      </c>
      <c r="N87" s="11">
        <f>_xlfn.XLOOKUP(F87,BBDD!$S:$S,BBDD!$AO:$AO)</f>
        <v>15200000</v>
      </c>
      <c r="O87" s="11">
        <f>_xlfn.XLOOKUP(F87,BBDD!$S:$S,BBDD!$AR:$AR)</f>
        <v>15554030</v>
      </c>
    </row>
    <row r="88" spans="1:15" ht="13.5" customHeight="1" x14ac:dyDescent="0.3">
      <c r="A88" s="26" t="s">
        <v>236</v>
      </c>
      <c r="B88" s="26" t="s">
        <v>237</v>
      </c>
      <c r="C88" s="25" t="s">
        <v>240</v>
      </c>
      <c r="D88" s="25" t="s">
        <v>17</v>
      </c>
      <c r="E88" s="25">
        <v>2025</v>
      </c>
      <c r="F88" s="25" t="s">
        <v>241</v>
      </c>
      <c r="G88" s="30">
        <v>27</v>
      </c>
      <c r="H88" s="12" t="str">
        <f t="shared" si="1"/>
        <v>OUTLANDEROUTLANDER GLS 4X4 2.5 AT2025</v>
      </c>
      <c r="I88" s="13"/>
      <c r="J88" s="11">
        <f>VLOOKUP(F88,'PRECIO TOMA HISTORICO '!A:B,2,0)</f>
        <v>26300000</v>
      </c>
      <c r="K88" s="10"/>
      <c r="L88" s="11">
        <f>_xlfn.XLOOKUP(F88,BBDD!$S:$S,BBDD!$AS:$AS)</f>
        <v>31590000</v>
      </c>
      <c r="M88" s="11">
        <f>IFERROR(VLOOKUP(F88,'PRECIO MERCADO'!D:E,2,0),"0")</f>
        <v>27400000</v>
      </c>
      <c r="N88" s="11">
        <f>_xlfn.XLOOKUP(F88,BBDD!$S:$S,BBDD!$AO:$AO)</f>
        <v>26300000</v>
      </c>
      <c r="O88" s="11">
        <f>_xlfn.XLOOKUP(F88,BBDD!$S:$S,BBDD!$AR:$AR)</f>
        <v>26823740</v>
      </c>
    </row>
    <row r="89" spans="1:15" ht="13.5" customHeight="1" x14ac:dyDescent="0.3">
      <c r="A89" s="25" t="s">
        <v>242</v>
      </c>
      <c r="B89" s="25" t="s">
        <v>243</v>
      </c>
      <c r="C89" s="25" t="s">
        <v>244</v>
      </c>
      <c r="D89" s="25" t="s">
        <v>28</v>
      </c>
      <c r="E89" s="25">
        <v>2015</v>
      </c>
      <c r="F89" s="25" t="s">
        <v>245</v>
      </c>
      <c r="G89" s="30">
        <v>71</v>
      </c>
      <c r="H89" s="12" t="str">
        <f t="shared" si="1"/>
        <v>JUKEJUKE 1.6 AUT2015</v>
      </c>
      <c r="I89" s="13"/>
      <c r="J89" s="11">
        <f>VLOOKUP(F89,'PRECIO TOMA HISTORICO '!A:B,2,0)</f>
        <v>9300000</v>
      </c>
      <c r="K89" s="10"/>
      <c r="L89" s="11">
        <f>_xlfn.XLOOKUP(F89,BBDD!$S:$S,BBDD!$AS:$AS)</f>
        <v>9890000</v>
      </c>
      <c r="M89" s="11">
        <f>IFERROR(VLOOKUP(F89,'PRECIO MERCADO'!D:E,2,0),"0")</f>
        <v>8800000</v>
      </c>
      <c r="N89" s="11">
        <f>_xlfn.XLOOKUP(F89,BBDD!$S:$S,BBDD!$AO:$AO)</f>
        <v>9300000</v>
      </c>
      <c r="O89" s="11">
        <f>_xlfn.XLOOKUP(F89,BBDD!$S:$S,BBDD!$AR:$AR)</f>
        <v>10903570</v>
      </c>
    </row>
    <row r="90" spans="1:15" ht="13.5" customHeight="1" x14ac:dyDescent="0.3">
      <c r="A90" s="26" t="s">
        <v>242</v>
      </c>
      <c r="B90" s="25" t="s">
        <v>3303</v>
      </c>
      <c r="C90" s="25" t="s">
        <v>6428</v>
      </c>
      <c r="D90" s="25" t="s">
        <v>36</v>
      </c>
      <c r="E90" s="25">
        <v>2024</v>
      </c>
      <c r="F90" s="25" t="s">
        <v>6431</v>
      </c>
      <c r="G90" s="30">
        <v>11</v>
      </c>
      <c r="H90" s="12" t="str">
        <f t="shared" si="1"/>
        <v>PATHFINDERPATHFINDER R53 4X4 3.5 AUT2024</v>
      </c>
      <c r="I90" s="13"/>
      <c r="J90" s="11">
        <f>VLOOKUP(F90,'PRECIO TOMA HISTORICO '!A:B,2,0)</f>
        <v>29300000</v>
      </c>
      <c r="K90" s="10"/>
      <c r="L90" s="11">
        <f>_xlfn.XLOOKUP(F90,BBDD!$S:$S,BBDD!$AS:$AS)</f>
        <v>35990000</v>
      </c>
      <c r="M90" s="11">
        <f>IFERROR(VLOOKUP(F90,'PRECIO MERCADO'!D:E,2,0),"0")</f>
        <v>36500000</v>
      </c>
      <c r="N90" s="11">
        <f>_xlfn.XLOOKUP(F90,BBDD!$S:$S,BBDD!$AO:$AO)</f>
        <v>29300000</v>
      </c>
      <c r="O90" s="11">
        <f>_xlfn.XLOOKUP(F90,BBDD!$S:$S,BBDD!$AR:$AR)</f>
        <v>29300000</v>
      </c>
    </row>
    <row r="91" spans="1:15" ht="13.5" customHeight="1" x14ac:dyDescent="0.3">
      <c r="A91" s="26" t="s">
        <v>242</v>
      </c>
      <c r="B91" s="25" t="s">
        <v>246</v>
      </c>
      <c r="C91" s="25" t="s">
        <v>247</v>
      </c>
      <c r="D91" s="25" t="s">
        <v>28</v>
      </c>
      <c r="E91" s="25">
        <v>2023</v>
      </c>
      <c r="F91" s="25" t="s">
        <v>249</v>
      </c>
      <c r="G91" s="30">
        <v>186</v>
      </c>
      <c r="H91" s="12" t="str">
        <f t="shared" si="1"/>
        <v>QASHQAIQASHQAI TURBO 1.32023</v>
      </c>
      <c r="I91" s="13"/>
      <c r="J91" s="11">
        <f>VLOOKUP(F91,'PRECIO TOMA HISTORICO '!A:B,2,0)</f>
        <v>15400000</v>
      </c>
      <c r="K91" s="10"/>
      <c r="L91" s="11">
        <f>_xlfn.XLOOKUP(F91,BBDD!$S:$S,BBDD!$AS:$AS)</f>
        <v>17390000</v>
      </c>
      <c r="M91" s="11">
        <f>IFERROR(VLOOKUP(F91,'PRECIO MERCADO'!D:E,2,0),"0")</f>
        <v>17400000</v>
      </c>
      <c r="N91" s="11">
        <f>_xlfn.XLOOKUP(F91,BBDD!$S:$S,BBDD!$AO:$AO)</f>
        <v>15400000</v>
      </c>
      <c r="O91" s="11">
        <f>_xlfn.XLOOKUP(F91,BBDD!$S:$S,BBDD!$AR:$AR)</f>
        <v>15966967</v>
      </c>
    </row>
    <row r="92" spans="1:15" ht="13.5" customHeight="1" x14ac:dyDescent="0.3">
      <c r="A92" s="26" t="s">
        <v>242</v>
      </c>
      <c r="B92" s="26" t="s">
        <v>246</v>
      </c>
      <c r="C92" s="26" t="s">
        <v>247</v>
      </c>
      <c r="D92" s="26" t="s">
        <v>28</v>
      </c>
      <c r="E92" s="26">
        <v>2023</v>
      </c>
      <c r="F92" s="27" t="s">
        <v>250</v>
      </c>
      <c r="G92" s="31">
        <v>368</v>
      </c>
      <c r="H92" s="12" t="str">
        <f t="shared" si="1"/>
        <v>QASHQAIQASHQAI TURBO 1.32023</v>
      </c>
      <c r="I92" s="13"/>
      <c r="J92" s="11">
        <f>VLOOKUP(F92,'PRECIO TOMA HISTORICO '!A:B,2,0)</f>
        <v>17500000</v>
      </c>
      <c r="K92" s="10"/>
      <c r="L92" s="11">
        <f>_xlfn.XLOOKUP(F92,BBDD!$S:$S,BBDD!$AS:$AS)</f>
        <v>17290000</v>
      </c>
      <c r="M92" s="11">
        <f>IFERROR(VLOOKUP(F92,'PRECIO MERCADO'!D:E,2,0),"0")</f>
        <v>17300000</v>
      </c>
      <c r="N92" s="11">
        <f>_xlfn.XLOOKUP(F92,BBDD!$S:$S,BBDD!$AO:$AO)</f>
        <v>17500000</v>
      </c>
      <c r="O92" s="11">
        <f>_xlfn.XLOOKUP(F92,BBDD!$S:$S,BBDD!$AR:$AR)</f>
        <v>18098467</v>
      </c>
    </row>
    <row r="93" spans="1:15" ht="13.5" customHeight="1" x14ac:dyDescent="0.3">
      <c r="A93" s="26" t="s">
        <v>242</v>
      </c>
      <c r="B93" s="25" t="s">
        <v>251</v>
      </c>
      <c r="C93" s="25" t="s">
        <v>252</v>
      </c>
      <c r="D93" s="25" t="s">
        <v>28</v>
      </c>
      <c r="E93" s="25">
        <v>2020</v>
      </c>
      <c r="F93" s="25" t="s">
        <v>253</v>
      </c>
      <c r="G93" s="30">
        <v>118</v>
      </c>
      <c r="H93" s="12" t="str">
        <f t="shared" si="1"/>
        <v>SENTRASENTRA 1.8 AT2020</v>
      </c>
      <c r="I93" s="13"/>
      <c r="J93" s="11">
        <f>VLOOKUP(F93,'PRECIO TOMA HISTORICO '!A:B,2,0)</f>
        <v>8500000</v>
      </c>
      <c r="K93" s="10"/>
      <c r="L93" s="11">
        <f>_xlfn.XLOOKUP(F93,BBDD!$S:$S,BBDD!$AS:$AS)</f>
        <v>10990000</v>
      </c>
      <c r="M93" s="11">
        <f>IFERROR(VLOOKUP(F93,'PRECIO MERCADO'!D:E,2,0),"0")</f>
        <v>11800000</v>
      </c>
      <c r="N93" s="11">
        <f>_xlfn.XLOOKUP(F93,BBDD!$S:$S,BBDD!$AO:$AO)</f>
        <v>8500000</v>
      </c>
      <c r="O93" s="11">
        <f>_xlfn.XLOOKUP(F93,BBDD!$S:$S,BBDD!$AR:$AR)</f>
        <v>8753530</v>
      </c>
    </row>
    <row r="94" spans="1:15" ht="13.5" customHeight="1" x14ac:dyDescent="0.3">
      <c r="A94" s="26" t="s">
        <v>242</v>
      </c>
      <c r="B94" s="25" t="s">
        <v>5118</v>
      </c>
      <c r="C94" s="25" t="s">
        <v>5119</v>
      </c>
      <c r="D94" s="25" t="s">
        <v>17</v>
      </c>
      <c r="E94" s="25">
        <v>2023</v>
      </c>
      <c r="F94" s="25" t="s">
        <v>3769</v>
      </c>
      <c r="G94" s="30">
        <v>3</v>
      </c>
      <c r="H94" s="12" t="str">
        <f t="shared" si="1"/>
        <v>URVANURVAN 4X2 2.52023</v>
      </c>
      <c r="I94" s="13"/>
      <c r="J94" s="11">
        <f>VLOOKUP(F94,'PRECIO TOMA HISTORICO '!A:B,2,0)</f>
        <v>15500000</v>
      </c>
      <c r="K94" s="10"/>
      <c r="L94" s="11">
        <f>_xlfn.XLOOKUP(F94,BBDD!$S:$S,BBDD!$AS:$AS)</f>
        <v>19990000</v>
      </c>
      <c r="M94" s="11">
        <f>IFERROR(VLOOKUP(F94,'PRECIO MERCADO'!D:E,2,0),"0")</f>
        <v>27600000</v>
      </c>
      <c r="N94" s="11">
        <f>_xlfn.XLOOKUP(F94,BBDD!$S:$S,BBDD!$AO:$AO)</f>
        <v>15500000</v>
      </c>
      <c r="O94" s="11">
        <f>_xlfn.XLOOKUP(F94,BBDD!$S:$S,BBDD!$AR:$AR)</f>
        <v>15500000</v>
      </c>
    </row>
    <row r="95" spans="1:15" ht="13.5" customHeight="1" x14ac:dyDescent="0.3">
      <c r="A95" s="26" t="s">
        <v>242</v>
      </c>
      <c r="B95" s="25" t="s">
        <v>254</v>
      </c>
      <c r="C95" s="25" t="s">
        <v>255</v>
      </c>
      <c r="D95" s="25" t="s">
        <v>43</v>
      </c>
      <c r="E95" s="25">
        <v>2021</v>
      </c>
      <c r="F95" s="25" t="s">
        <v>256</v>
      </c>
      <c r="G95" s="30">
        <v>312</v>
      </c>
      <c r="H95" s="12" t="str">
        <f t="shared" si="1"/>
        <v>VERSAVERSA CVT 1.6 AUT2021</v>
      </c>
      <c r="I95" s="13"/>
      <c r="J95" s="11">
        <f>VLOOKUP(F95,'PRECIO TOMA HISTORICO '!A:B,2,0)</f>
        <v>7700000</v>
      </c>
      <c r="K95" s="10"/>
      <c r="L95" s="11">
        <f>_xlfn.XLOOKUP(F95,BBDD!$S:$S,BBDD!$AS:$AS)</f>
        <v>9790000</v>
      </c>
      <c r="M95" s="11">
        <f>IFERROR(VLOOKUP(F95,'PRECIO MERCADO'!D:E,2,0),"0")</f>
        <v>9800000</v>
      </c>
      <c r="N95" s="11">
        <f>_xlfn.XLOOKUP(F95,BBDD!$S:$S,BBDD!$AO:$AO)</f>
        <v>7700000</v>
      </c>
      <c r="O95" s="11">
        <f>_xlfn.XLOOKUP(F95,BBDD!$S:$S,BBDD!$AR:$AR)</f>
        <v>7941530</v>
      </c>
    </row>
    <row r="96" spans="1:15" ht="13.5" customHeight="1" x14ac:dyDescent="0.3">
      <c r="A96" s="26" t="s">
        <v>242</v>
      </c>
      <c r="B96" s="25" t="s">
        <v>257</v>
      </c>
      <c r="C96" s="25" t="s">
        <v>258</v>
      </c>
      <c r="D96" s="25" t="s">
        <v>28</v>
      </c>
      <c r="E96" s="25">
        <v>2024</v>
      </c>
      <c r="F96" s="25" t="s">
        <v>259</v>
      </c>
      <c r="G96" s="30">
        <v>117</v>
      </c>
      <c r="H96" s="12" t="str">
        <f t="shared" si="1"/>
        <v>XTRAILX TRAIL 4X2 7P CVT 2.52024</v>
      </c>
      <c r="I96" s="13"/>
      <c r="J96" s="11">
        <f>VLOOKUP(F96,'PRECIO TOMA HISTORICO '!A:B,2,0)</f>
        <v>18500000</v>
      </c>
      <c r="K96" s="10"/>
      <c r="L96" s="11">
        <f>_xlfn.XLOOKUP(F96,BBDD!$S:$S,BBDD!$AS:$AS)</f>
        <v>21490000</v>
      </c>
      <c r="M96" s="11">
        <f>IFERROR(VLOOKUP(F96,'PRECIO MERCADO'!D:E,2,0),"0")</f>
        <v>23100000</v>
      </c>
      <c r="N96" s="11">
        <f>_xlfn.XLOOKUP(F96,BBDD!$S:$S,BBDD!$AO:$AO)</f>
        <v>18500000</v>
      </c>
      <c r="O96" s="11">
        <f>_xlfn.XLOOKUP(F96,BBDD!$S:$S,BBDD!$AR:$AR)</f>
        <v>19189954</v>
      </c>
    </row>
    <row r="97" spans="1:15" ht="13.5" customHeight="1" x14ac:dyDescent="0.3">
      <c r="A97" s="25" t="s">
        <v>260</v>
      </c>
      <c r="B97" s="25" t="s">
        <v>69</v>
      </c>
      <c r="C97" s="25" t="s">
        <v>261</v>
      </c>
      <c r="D97" s="25" t="s">
        <v>43</v>
      </c>
      <c r="E97" s="25">
        <v>2025</v>
      </c>
      <c r="F97" s="25" t="s">
        <v>262</v>
      </c>
      <c r="G97" s="30">
        <v>455</v>
      </c>
      <c r="H97" s="12" t="str">
        <f t="shared" si="1"/>
        <v>C5C5 1.5 AUT2025</v>
      </c>
      <c r="I97" s="13"/>
      <c r="J97" s="11">
        <f>VLOOKUP(F97,'PRECIO TOMA HISTORICO '!A:B,2,0)</f>
        <v>10300000</v>
      </c>
      <c r="K97" s="10"/>
      <c r="L97" s="11">
        <f>_xlfn.XLOOKUP(F97,BBDD!$S:$S,BBDD!$AS:$AS)</f>
        <v>11290000</v>
      </c>
      <c r="M97" s="11">
        <f>IFERROR(VLOOKUP(F97,'PRECIO MERCADO'!D:E,2,0),"0")</f>
        <v>12800000</v>
      </c>
      <c r="N97" s="11">
        <f>_xlfn.XLOOKUP(F97,BBDD!$S:$S,BBDD!$AO:$AO)</f>
        <v>10300000</v>
      </c>
      <c r="O97" s="11">
        <f>_xlfn.XLOOKUP(F97,BBDD!$S:$S,BBDD!$AR:$AR)</f>
        <v>10580530</v>
      </c>
    </row>
    <row r="98" spans="1:15" ht="13.5" customHeight="1" x14ac:dyDescent="0.3">
      <c r="A98" s="25" t="s">
        <v>264</v>
      </c>
      <c r="B98" s="25" t="s">
        <v>5168</v>
      </c>
      <c r="C98" s="25" t="s">
        <v>5170</v>
      </c>
      <c r="D98" s="25" t="s">
        <v>17</v>
      </c>
      <c r="E98" s="25">
        <v>2025</v>
      </c>
      <c r="F98" s="25" t="s">
        <v>358</v>
      </c>
      <c r="G98" s="30">
        <v>11</v>
      </c>
      <c r="H98" s="12" t="str">
        <f t="shared" si="1"/>
        <v>20082008 ACTIVE 130 1.22025</v>
      </c>
      <c r="I98" s="13"/>
      <c r="J98" s="11">
        <f>VLOOKUP(F98,'PRECIO TOMA HISTORICO '!A:B,2,0)</f>
        <v>12246151</v>
      </c>
      <c r="K98" s="10"/>
      <c r="L98" s="11">
        <f>_xlfn.XLOOKUP(F98,BBDD!$S:$S,BBDD!$AS:$AS)</f>
        <v>14990000</v>
      </c>
      <c r="M98" s="11">
        <f>IFERROR(VLOOKUP(F98,'PRECIO MERCADO'!D:E,2,0),"0")</f>
        <v>14400000</v>
      </c>
      <c r="N98" s="11">
        <f>_xlfn.XLOOKUP(F98,BBDD!$S:$S,BBDD!$AO:$AO)</f>
        <v>12246151</v>
      </c>
      <c r="O98" s="11">
        <f>_xlfn.XLOOKUP(F98,BBDD!$S:$S,BBDD!$AR:$AR)</f>
        <v>12246151</v>
      </c>
    </row>
    <row r="99" spans="1:15" ht="13.5" customHeight="1" x14ac:dyDescent="0.3">
      <c r="A99" s="26" t="s">
        <v>264</v>
      </c>
      <c r="B99" s="25" t="s">
        <v>5203</v>
      </c>
      <c r="C99" s="25" t="s">
        <v>268</v>
      </c>
      <c r="D99" s="25" t="s">
        <v>43</v>
      </c>
      <c r="E99" s="25">
        <v>2018</v>
      </c>
      <c r="F99" s="25" t="s">
        <v>269</v>
      </c>
      <c r="G99" s="30">
        <v>151</v>
      </c>
      <c r="H99" s="12" t="str">
        <f t="shared" si="1"/>
        <v>30083008 ACTIVE 1.62018</v>
      </c>
      <c r="I99" s="13"/>
      <c r="J99" s="11">
        <f>VLOOKUP(F99,'PRECIO TOMA HISTORICO '!A:B,2,0)</f>
        <v>8800000</v>
      </c>
      <c r="K99" s="10"/>
      <c r="L99" s="11">
        <f>_xlfn.XLOOKUP(F99,BBDD!$S:$S,BBDD!$AS:$AS)</f>
        <v>10490000</v>
      </c>
      <c r="M99" s="11">
        <f>IFERROR(VLOOKUP(F99,'PRECIO MERCADO'!D:E,2,0),"0")</f>
        <v>12000000</v>
      </c>
      <c r="N99" s="11">
        <f>_xlfn.XLOOKUP(F99,BBDD!$S:$S,BBDD!$AO:$AO)</f>
        <v>8800000</v>
      </c>
      <c r="O99" s="11">
        <f>_xlfn.XLOOKUP(F99,BBDD!$S:$S,BBDD!$AR:$AR)</f>
        <v>9058030</v>
      </c>
    </row>
    <row r="100" spans="1:15" ht="13.5" customHeight="1" x14ac:dyDescent="0.3">
      <c r="A100" s="26" t="s">
        <v>264</v>
      </c>
      <c r="B100" s="26" t="s">
        <v>5203</v>
      </c>
      <c r="C100" s="25" t="s">
        <v>270</v>
      </c>
      <c r="D100" s="25" t="s">
        <v>28</v>
      </c>
      <c r="E100" s="25">
        <v>2025</v>
      </c>
      <c r="F100" s="25" t="s">
        <v>271</v>
      </c>
      <c r="G100" s="30">
        <v>243</v>
      </c>
      <c r="H100" s="12" t="str">
        <f t="shared" si="1"/>
        <v>30083008 ALLURE 1.2 AUT2025</v>
      </c>
      <c r="I100" s="13"/>
      <c r="J100" s="11">
        <f>VLOOKUP(F100,'PRECIO TOMA HISTORICO '!A:B,2,0)</f>
        <v>28490000</v>
      </c>
      <c r="K100" s="10"/>
      <c r="L100" s="11">
        <f>_xlfn.XLOOKUP(F100,BBDD!$S:$S,BBDD!$AS:$AS)</f>
        <v>23890000</v>
      </c>
      <c r="M100" s="11">
        <f>IFERROR(VLOOKUP(F100,'PRECIO MERCADO'!D:E,2,0),"0")</f>
        <v>23900000</v>
      </c>
      <c r="N100" s="11">
        <f>_xlfn.XLOOKUP(F100,BBDD!$S:$S,BBDD!$AO:$AO)</f>
        <v>28490000</v>
      </c>
      <c r="O100" s="11">
        <f>_xlfn.XLOOKUP(F100,BBDD!$S:$S,BBDD!$AR:$AR)</f>
        <v>29404223</v>
      </c>
    </row>
    <row r="101" spans="1:15" ht="13.5" customHeight="1" x14ac:dyDescent="0.3">
      <c r="A101" s="26" t="s">
        <v>264</v>
      </c>
      <c r="B101" s="26" t="s">
        <v>5203</v>
      </c>
      <c r="C101" s="25" t="s">
        <v>272</v>
      </c>
      <c r="D101" s="25" t="s">
        <v>43</v>
      </c>
      <c r="E101" s="25">
        <v>2018</v>
      </c>
      <c r="F101" s="25" t="s">
        <v>273</v>
      </c>
      <c r="G101" s="30">
        <v>1566</v>
      </c>
      <c r="H101" s="12" t="str">
        <f t="shared" si="1"/>
        <v>30083008 ALLURE 1.6 AT2018</v>
      </c>
      <c r="I101" s="13"/>
      <c r="J101" s="11">
        <f>VLOOKUP(F101,'PRECIO TOMA HISTORICO '!A:B,2,0)</f>
        <v>17500000</v>
      </c>
      <c r="K101" s="10"/>
      <c r="L101" s="11">
        <f>_xlfn.XLOOKUP(F101,BBDD!$S:$S,BBDD!$AS:$AS)</f>
        <v>14390000</v>
      </c>
      <c r="M101" s="11">
        <f>IFERROR(VLOOKUP(F101,'PRECIO MERCADO'!D:E,2,0),"0")</f>
        <v>12200000</v>
      </c>
      <c r="N101" s="11">
        <f>_xlfn.XLOOKUP(F101,BBDD!$S:$S,BBDD!$AO:$AO)</f>
        <v>17650000</v>
      </c>
      <c r="O101" s="11">
        <f>_xlfn.XLOOKUP(F101,BBDD!$S:$S,BBDD!$AR:$AR)</f>
        <v>18403678</v>
      </c>
    </row>
    <row r="102" spans="1:15" ht="13.5" customHeight="1" x14ac:dyDescent="0.3">
      <c r="A102" s="26" t="s">
        <v>264</v>
      </c>
      <c r="B102" s="26" t="s">
        <v>5203</v>
      </c>
      <c r="C102" s="25" t="s">
        <v>274</v>
      </c>
      <c r="D102" s="25" t="s">
        <v>43</v>
      </c>
      <c r="E102" s="25">
        <v>2021</v>
      </c>
      <c r="F102" s="25" t="s">
        <v>275</v>
      </c>
      <c r="G102" s="30">
        <v>197</v>
      </c>
      <c r="H102" s="12" t="str">
        <f t="shared" si="1"/>
        <v>30083008 BLUE HDI 130 1.52021</v>
      </c>
      <c r="I102" s="13"/>
      <c r="J102" s="11">
        <f>VLOOKUP(F102,'PRECIO TOMA HISTORICO '!A:B,2,0)</f>
        <v>11500000</v>
      </c>
      <c r="K102" s="10"/>
      <c r="L102" s="11">
        <f>_xlfn.XLOOKUP(F102,BBDD!$S:$S,BBDD!$AS:$AS)</f>
        <v>14890000</v>
      </c>
      <c r="M102" s="11">
        <f>IFERROR(VLOOKUP(F102,'PRECIO MERCADO'!D:E,2,0),"0")</f>
        <v>13800000</v>
      </c>
      <c r="N102" s="11">
        <f>_xlfn.XLOOKUP(F102,BBDD!$S:$S,BBDD!$AO:$AO)</f>
        <v>13490000</v>
      </c>
      <c r="O102" s="11">
        <f>_xlfn.XLOOKUP(F102,BBDD!$S:$S,BBDD!$AR:$AR)</f>
        <v>13818380</v>
      </c>
    </row>
    <row r="103" spans="1:15" ht="13.5" customHeight="1" x14ac:dyDescent="0.3">
      <c r="A103" s="26" t="s">
        <v>264</v>
      </c>
      <c r="B103" s="26" t="s">
        <v>5203</v>
      </c>
      <c r="C103" s="25" t="s">
        <v>276</v>
      </c>
      <c r="D103" s="25" t="s">
        <v>43</v>
      </c>
      <c r="E103" s="25">
        <v>2020</v>
      </c>
      <c r="F103" s="25" t="s">
        <v>277</v>
      </c>
      <c r="G103" s="30">
        <v>1492</v>
      </c>
      <c r="H103" s="12" t="str">
        <f t="shared" si="1"/>
        <v>30083008 BLUE HDI HP 1.5 AUT2020</v>
      </c>
      <c r="I103" s="13"/>
      <c r="J103" s="11">
        <f>VLOOKUP(F103,'PRECIO TOMA HISTORICO '!A:B,2,0)</f>
        <v>20000000</v>
      </c>
      <c r="K103" s="10"/>
      <c r="L103" s="11">
        <f>_xlfn.XLOOKUP(F103,BBDD!$S:$S,BBDD!$AS:$AS)</f>
        <v>14990000</v>
      </c>
      <c r="M103" s="11">
        <f>IFERROR(VLOOKUP(F103,'PRECIO MERCADO'!D:E,2,0),"0")</f>
        <v>15000000</v>
      </c>
      <c r="N103" s="11">
        <f>_xlfn.XLOOKUP(F103,BBDD!$S:$S,BBDD!$AO:$AO)</f>
        <v>20000000</v>
      </c>
      <c r="O103" s="11">
        <f>_xlfn.XLOOKUP(F103,BBDD!$S:$S,BBDD!$AR:$AR)</f>
        <v>21051072</v>
      </c>
    </row>
    <row r="104" spans="1:15" ht="13.5" customHeight="1" x14ac:dyDescent="0.3">
      <c r="A104" s="26" t="s">
        <v>264</v>
      </c>
      <c r="B104" s="26" t="s">
        <v>5203</v>
      </c>
      <c r="C104" s="25" t="s">
        <v>278</v>
      </c>
      <c r="D104" s="25" t="s">
        <v>28</v>
      </c>
      <c r="E104" s="25">
        <v>2023</v>
      </c>
      <c r="F104" s="25" t="s">
        <v>279</v>
      </c>
      <c r="G104" s="30">
        <v>245</v>
      </c>
      <c r="H104" s="12" t="str">
        <f t="shared" si="1"/>
        <v>30083008 PURETECH 1.2L2023</v>
      </c>
      <c r="I104" s="13"/>
      <c r="J104" s="11">
        <f>VLOOKUP(F104,'PRECIO TOMA HISTORICO '!A:B,2,0)</f>
        <v>12100000</v>
      </c>
      <c r="K104" s="10"/>
      <c r="L104" s="11">
        <f>_xlfn.XLOOKUP(F104,BBDD!$S:$S,BBDD!$AS:$AS)</f>
        <v>13990000</v>
      </c>
      <c r="M104" s="11">
        <f>IFERROR(VLOOKUP(F104,'PRECIO MERCADO'!D:E,2,0),"0")</f>
        <v>14500000</v>
      </c>
      <c r="N104" s="11">
        <f>_xlfn.XLOOKUP(F104,BBDD!$S:$S,BBDD!$AO:$AO)</f>
        <v>12100000</v>
      </c>
      <c r="O104" s="11">
        <f>_xlfn.XLOOKUP(F104,BBDD!$S:$S,BBDD!$AR:$AR)</f>
        <v>12407530</v>
      </c>
    </row>
    <row r="105" spans="1:15" ht="13.5" customHeight="1" x14ac:dyDescent="0.3">
      <c r="A105" s="26" t="s">
        <v>264</v>
      </c>
      <c r="B105" s="26" t="s">
        <v>5203</v>
      </c>
      <c r="C105" s="26" t="s">
        <v>278</v>
      </c>
      <c r="D105" s="25" t="s">
        <v>17</v>
      </c>
      <c r="E105" s="25">
        <v>2023</v>
      </c>
      <c r="F105" s="25" t="s">
        <v>281</v>
      </c>
      <c r="G105" s="30">
        <v>26</v>
      </c>
      <c r="H105" s="12" t="str">
        <f t="shared" si="1"/>
        <v>30083008 PURETECH 1.2L2023</v>
      </c>
      <c r="I105" s="13"/>
      <c r="J105" s="11">
        <f>VLOOKUP(F105,'PRECIO TOMA HISTORICO '!A:B,2,0)</f>
        <v>11200000</v>
      </c>
      <c r="K105" s="10"/>
      <c r="L105" s="11">
        <f>_xlfn.XLOOKUP(F105,BBDD!$S:$S,BBDD!$AS:$AS)</f>
        <v>13690000</v>
      </c>
      <c r="M105" s="11">
        <f>IFERROR(VLOOKUP(F105,'PRECIO MERCADO'!D:E,2,0),"0")</f>
        <v>14400000</v>
      </c>
      <c r="N105" s="11">
        <f>_xlfn.XLOOKUP(F105,BBDD!$S:$S,BBDD!$AO:$AO)</f>
        <v>11200000</v>
      </c>
      <c r="O105" s="11">
        <f>_xlfn.XLOOKUP(F105,BBDD!$S:$S,BBDD!$AR:$AR)</f>
        <v>11497240</v>
      </c>
    </row>
    <row r="106" spans="1:15" ht="13.5" customHeight="1" x14ac:dyDescent="0.3">
      <c r="A106" s="26" t="s">
        <v>264</v>
      </c>
      <c r="B106" s="26" t="s">
        <v>5203</v>
      </c>
      <c r="C106" s="25" t="s">
        <v>282</v>
      </c>
      <c r="D106" s="25" t="s">
        <v>28</v>
      </c>
      <c r="E106" s="25">
        <v>2023</v>
      </c>
      <c r="F106" s="25" t="s">
        <v>283</v>
      </c>
      <c r="G106" s="30">
        <v>185</v>
      </c>
      <c r="H106" s="12" t="str">
        <f t="shared" si="1"/>
        <v>30083008 THP 165HP 1.6 AUT2023</v>
      </c>
      <c r="I106" s="13"/>
      <c r="J106" s="11">
        <f>VLOOKUP(F106,'PRECIO TOMA HISTORICO '!A:B,2,0)</f>
        <v>16000000</v>
      </c>
      <c r="K106" s="10"/>
      <c r="L106" s="11">
        <f>_xlfn.XLOOKUP(F106,BBDD!$S:$S,BBDD!$AS:$AS)</f>
        <v>16990000</v>
      </c>
      <c r="M106" s="11">
        <f>IFERROR(VLOOKUP(F106,'PRECIO MERCADO'!D:E,2,0),"0")</f>
        <v>18200000</v>
      </c>
      <c r="N106" s="11">
        <f>_xlfn.XLOOKUP(F106,BBDD!$S:$S,BBDD!$AO:$AO)</f>
        <v>16000000</v>
      </c>
      <c r="O106" s="11">
        <f>_xlfn.XLOOKUP(F106,BBDD!$S:$S,BBDD!$AR:$AR)</f>
        <v>16366030</v>
      </c>
    </row>
    <row r="107" spans="1:15" ht="13.5" customHeight="1" x14ac:dyDescent="0.3">
      <c r="A107" s="26" t="s">
        <v>264</v>
      </c>
      <c r="B107" s="26" t="s">
        <v>5203</v>
      </c>
      <c r="C107" s="26" t="s">
        <v>282</v>
      </c>
      <c r="D107" s="25" t="s">
        <v>17</v>
      </c>
      <c r="E107" s="25">
        <v>2023</v>
      </c>
      <c r="F107" s="25" t="s">
        <v>285</v>
      </c>
      <c r="G107" s="30">
        <v>57</v>
      </c>
      <c r="H107" s="12" t="str">
        <f t="shared" si="1"/>
        <v>30083008 THP 165HP 1.6 AUT2023</v>
      </c>
      <c r="I107" s="13"/>
      <c r="J107" s="11">
        <f>VLOOKUP(F107,'PRECIO TOMA HISTORICO '!A:B,2,0)</f>
        <v>14000000</v>
      </c>
      <c r="K107" s="10"/>
      <c r="L107" s="11">
        <f>_xlfn.XLOOKUP(F107,BBDD!$S:$S,BBDD!$AS:$AS)</f>
        <v>16490000</v>
      </c>
      <c r="M107" s="11">
        <f>IFERROR(VLOOKUP(F107,'PRECIO MERCADO'!D:E,2,0),"0")</f>
        <v>17700000</v>
      </c>
      <c r="N107" s="11">
        <f>_xlfn.XLOOKUP(F107,BBDD!$S:$S,BBDD!$AO:$AO)</f>
        <v>14000000</v>
      </c>
      <c r="O107" s="11">
        <f>_xlfn.XLOOKUP(F107,BBDD!$S:$S,BBDD!$AR:$AR)</f>
        <v>14339240</v>
      </c>
    </row>
    <row r="108" spans="1:15" ht="13.5" customHeight="1" x14ac:dyDescent="0.3">
      <c r="A108" s="26" t="s">
        <v>264</v>
      </c>
      <c r="B108" s="25" t="s">
        <v>5239</v>
      </c>
      <c r="C108" s="25" t="s">
        <v>286</v>
      </c>
      <c r="D108" s="25" t="s">
        <v>28</v>
      </c>
      <c r="E108" s="25">
        <v>2021</v>
      </c>
      <c r="F108" s="25" t="s">
        <v>287</v>
      </c>
      <c r="G108" s="30">
        <v>64</v>
      </c>
      <c r="H108" s="12" t="str">
        <f t="shared" si="1"/>
        <v>50085008 BLUEHDI 130 1.5 AUT2021</v>
      </c>
      <c r="I108" s="13"/>
      <c r="J108" s="11">
        <f>VLOOKUP(F108,'PRECIO TOMA HISTORICO '!A:B,2,0)</f>
        <v>14600000</v>
      </c>
      <c r="K108" s="10"/>
      <c r="L108" s="11">
        <f>_xlfn.XLOOKUP(F108,BBDD!$S:$S,BBDD!$AS:$AS)</f>
        <v>16490000</v>
      </c>
      <c r="M108" s="11">
        <f>IFERROR(VLOOKUP(F108,'PRECIO MERCADO'!D:E,2,0),"0")</f>
        <v>17800000</v>
      </c>
      <c r="N108" s="11">
        <f>_xlfn.XLOOKUP(F108,BBDD!$S:$S,BBDD!$AO:$AO)</f>
        <v>14600000</v>
      </c>
      <c r="O108" s="11">
        <f>_xlfn.XLOOKUP(F108,BBDD!$S:$S,BBDD!$AR:$AR)</f>
        <v>14948240</v>
      </c>
    </row>
    <row r="109" spans="1:15" ht="13.5" customHeight="1" x14ac:dyDescent="0.3">
      <c r="A109" s="26" t="s">
        <v>264</v>
      </c>
      <c r="B109" s="26" t="s">
        <v>5239</v>
      </c>
      <c r="C109" s="26" t="s">
        <v>286</v>
      </c>
      <c r="D109" s="26" t="s">
        <v>28</v>
      </c>
      <c r="E109" s="25">
        <v>2023</v>
      </c>
      <c r="F109" s="25" t="s">
        <v>288</v>
      </c>
      <c r="G109" s="30">
        <v>201</v>
      </c>
      <c r="H109" s="12" t="str">
        <f t="shared" si="1"/>
        <v>50085008 BLUEHDI 130 1.5 AUT2023</v>
      </c>
      <c r="I109" s="13"/>
      <c r="J109" s="11">
        <f>VLOOKUP(F109,'PRECIO TOMA HISTORICO '!A:B,2,0)</f>
        <v>19800000</v>
      </c>
      <c r="K109" s="10"/>
      <c r="L109" s="11">
        <f>_xlfn.XLOOKUP(F109,BBDD!$S:$S,BBDD!$AS:$AS)</f>
        <v>22690000</v>
      </c>
      <c r="M109" s="11">
        <f>IFERROR(VLOOKUP(F109,'PRECIO MERCADO'!D:E,2,0),"0")</f>
        <v>23600000</v>
      </c>
      <c r="N109" s="11">
        <f>_xlfn.XLOOKUP(F109,BBDD!$S:$S,BBDD!$AO:$AO)</f>
        <v>19800000</v>
      </c>
      <c r="O109" s="11">
        <f>_xlfn.XLOOKUP(F109,BBDD!$S:$S,BBDD!$AR:$AR)</f>
        <v>20223030</v>
      </c>
    </row>
    <row r="110" spans="1:15" ht="13.5" customHeight="1" x14ac:dyDescent="0.3">
      <c r="A110" s="26" t="s">
        <v>264</v>
      </c>
      <c r="B110" s="26" t="s">
        <v>5239</v>
      </c>
      <c r="C110" s="26" t="s">
        <v>286</v>
      </c>
      <c r="D110" s="26" t="s">
        <v>28</v>
      </c>
      <c r="E110" s="25">
        <v>2025</v>
      </c>
      <c r="F110" s="25" t="s">
        <v>289</v>
      </c>
      <c r="G110" s="30">
        <v>62</v>
      </c>
      <c r="H110" s="12" t="str">
        <f t="shared" si="1"/>
        <v>50085008 BLUEHDI 130 1.5 AUT2025</v>
      </c>
      <c r="I110" s="13"/>
      <c r="J110" s="11">
        <f>VLOOKUP(F110,'PRECIO TOMA HISTORICO '!A:B,2,0)</f>
        <v>23500000</v>
      </c>
      <c r="K110" s="10"/>
      <c r="L110" s="11">
        <f>_xlfn.XLOOKUP(F110,BBDD!$S:$S,BBDD!$AS:$AS)</f>
        <v>26990000</v>
      </c>
      <c r="M110" s="11">
        <f>IFERROR(VLOOKUP(F110,'PRECIO MERCADO'!D:E,2,0),"0")</f>
        <v>27400000</v>
      </c>
      <c r="N110" s="11">
        <f>_xlfn.XLOOKUP(F110,BBDD!$S:$S,BBDD!$AO:$AO)</f>
        <v>23500000</v>
      </c>
      <c r="O110" s="11">
        <f>_xlfn.XLOOKUP(F110,BBDD!$S:$S,BBDD!$AR:$AR)</f>
        <v>23981740</v>
      </c>
    </row>
    <row r="111" spans="1:15" ht="13.5" customHeight="1" x14ac:dyDescent="0.3">
      <c r="A111" s="26" t="s">
        <v>264</v>
      </c>
      <c r="B111" s="26" t="s">
        <v>5239</v>
      </c>
      <c r="C111" s="25" t="s">
        <v>290</v>
      </c>
      <c r="D111" s="25" t="s">
        <v>22</v>
      </c>
      <c r="E111" s="25">
        <v>2023</v>
      </c>
      <c r="F111" s="25" t="s">
        <v>291</v>
      </c>
      <c r="G111" s="30">
        <v>117</v>
      </c>
      <c r="H111" s="12" t="str">
        <f t="shared" si="1"/>
        <v>50085008 PURETECH 180 EAT8 1.6 AUT2023</v>
      </c>
      <c r="I111" s="13"/>
      <c r="J111" s="11">
        <f>VLOOKUP(F111,'PRECIO TOMA HISTORICO '!A:B,2,0)</f>
        <v>16500000</v>
      </c>
      <c r="K111" s="10"/>
      <c r="L111" s="11">
        <f>_xlfn.XLOOKUP(F111,BBDD!$S:$S,BBDD!$AS:$AS)</f>
        <v>19290000</v>
      </c>
      <c r="M111" s="11">
        <f>IFERROR(VLOOKUP(F111,'PRECIO MERCADO'!D:E,2,0),"0")</f>
        <v>22800000</v>
      </c>
      <c r="N111" s="11">
        <f>_xlfn.XLOOKUP(F111,BBDD!$S:$S,BBDD!$AO:$AO)</f>
        <v>16500000</v>
      </c>
      <c r="O111" s="11">
        <f>_xlfn.XLOOKUP(F111,BBDD!$S:$S,BBDD!$AR:$AR)</f>
        <v>16873530</v>
      </c>
    </row>
    <row r="112" spans="1:15" ht="13.5" customHeight="1" x14ac:dyDescent="0.3">
      <c r="A112" s="26" t="s">
        <v>264</v>
      </c>
      <c r="B112" s="26" t="s">
        <v>5239</v>
      </c>
      <c r="C112" s="26" t="s">
        <v>290</v>
      </c>
      <c r="D112" s="25" t="s">
        <v>28</v>
      </c>
      <c r="E112" s="25">
        <v>2023</v>
      </c>
      <c r="F112" s="25" t="s">
        <v>292</v>
      </c>
      <c r="G112" s="30">
        <v>308</v>
      </c>
      <c r="H112" s="12" t="str">
        <f t="shared" si="1"/>
        <v>50085008 PURETECH 180 EAT8 1.6 AUT2023</v>
      </c>
      <c r="I112" s="13"/>
      <c r="J112" s="11">
        <f>VLOOKUP(F112,'PRECIO TOMA HISTORICO '!A:B,2,0)</f>
        <v>20600000</v>
      </c>
      <c r="K112" s="10"/>
      <c r="L112" s="11">
        <f>_xlfn.XLOOKUP(F112,BBDD!$S:$S,BBDD!$AS:$AS)</f>
        <v>19990000</v>
      </c>
      <c r="M112" s="11">
        <f>IFERROR(VLOOKUP(F112,'PRECIO MERCADO'!D:E,2,0),"0")</f>
        <v>24900000</v>
      </c>
      <c r="N112" s="11">
        <f>_xlfn.XLOOKUP(F112,BBDD!$S:$S,BBDD!$AO:$AO)</f>
        <v>20600000</v>
      </c>
      <c r="O112" s="11">
        <f>_xlfn.XLOOKUP(F112,BBDD!$S:$S,BBDD!$AR:$AR)</f>
        <v>21035030</v>
      </c>
    </row>
    <row r="113" spans="1:15" ht="13.5" customHeight="1" x14ac:dyDescent="0.3">
      <c r="A113" s="26" t="s">
        <v>264</v>
      </c>
      <c r="B113" s="25" t="s">
        <v>293</v>
      </c>
      <c r="C113" s="25" t="s">
        <v>294</v>
      </c>
      <c r="D113" s="25" t="s">
        <v>36</v>
      </c>
      <c r="E113" s="25">
        <v>2023</v>
      </c>
      <c r="F113" s="25" t="s">
        <v>295</v>
      </c>
      <c r="G113" s="30">
        <v>278</v>
      </c>
      <c r="H113" s="12" t="str">
        <f t="shared" si="1"/>
        <v>LANDTREKLANDTREK 1.92023</v>
      </c>
      <c r="I113" s="13"/>
      <c r="J113" s="11">
        <f>VLOOKUP(F113,'PRECIO TOMA HISTORICO '!A:B,2,0)</f>
        <v>14000000</v>
      </c>
      <c r="K113" s="10"/>
      <c r="L113" s="11">
        <f>_xlfn.XLOOKUP(F113,BBDD!$S:$S,BBDD!$AS:$AS)</f>
        <v>13750000</v>
      </c>
      <c r="M113" s="11">
        <f>IFERROR(VLOOKUP(F113,'PRECIO MERCADO'!D:E,2,0),"0")</f>
        <v>15300000</v>
      </c>
      <c r="N113" s="11">
        <f>_xlfn.XLOOKUP(F113,BBDD!$S:$S,BBDD!$AO:$AO)</f>
        <v>14000000</v>
      </c>
      <c r="O113" s="11">
        <f>_xlfn.XLOOKUP(F113,BBDD!$S:$S,BBDD!$AR:$AR)</f>
        <v>14336030</v>
      </c>
    </row>
    <row r="114" spans="1:15" ht="13.5" customHeight="1" x14ac:dyDescent="0.3">
      <c r="A114" s="26" t="s">
        <v>264</v>
      </c>
      <c r="B114" s="26" t="s">
        <v>293</v>
      </c>
      <c r="C114" s="25" t="s">
        <v>296</v>
      </c>
      <c r="D114" s="25" t="s">
        <v>22</v>
      </c>
      <c r="E114" s="25">
        <v>2024</v>
      </c>
      <c r="F114" s="25" t="s">
        <v>355</v>
      </c>
      <c r="G114" s="30">
        <v>15</v>
      </c>
      <c r="H114" s="12" t="str">
        <f t="shared" si="1"/>
        <v>LANDTREKLANDTREK BLUEHDI 4X4 2.2 AUT2024</v>
      </c>
      <c r="I114" s="13"/>
      <c r="J114" s="11">
        <f>VLOOKUP(F114,'PRECIO TOMA HISTORICO '!A:B,2,0)</f>
        <v>16000000</v>
      </c>
      <c r="K114" s="10"/>
      <c r="L114" s="11">
        <f>_xlfn.XLOOKUP(F114,BBDD!$S:$S,BBDD!$AS:$AS)</f>
        <v>19990000</v>
      </c>
      <c r="M114" s="11">
        <f>IFERROR(VLOOKUP(F114,'PRECIO MERCADO'!D:E,2,0),"0")</f>
        <v>21500000</v>
      </c>
      <c r="N114" s="11">
        <f>_xlfn.XLOOKUP(F114,BBDD!$S:$S,BBDD!$AO:$AO)</f>
        <v>16000000</v>
      </c>
      <c r="O114" s="11">
        <f>_xlfn.XLOOKUP(F114,BBDD!$S:$S,BBDD!$AR:$AR)</f>
        <v>16000000</v>
      </c>
    </row>
    <row r="115" spans="1:15" ht="13.5" customHeight="1" x14ac:dyDescent="0.3">
      <c r="A115" s="26" t="s">
        <v>264</v>
      </c>
      <c r="B115" s="26" t="s">
        <v>293</v>
      </c>
      <c r="C115" s="26" t="s">
        <v>296</v>
      </c>
      <c r="D115" s="26" t="s">
        <v>22</v>
      </c>
      <c r="E115" s="26">
        <v>2024</v>
      </c>
      <c r="F115" s="27" t="s">
        <v>297</v>
      </c>
      <c r="G115" s="31">
        <v>57</v>
      </c>
      <c r="H115" s="12" t="str">
        <f t="shared" si="1"/>
        <v>LANDTREKLANDTREK BLUEHDI 4X4 2.2 AUT2024</v>
      </c>
      <c r="I115" s="13"/>
      <c r="J115" s="11">
        <f>VLOOKUP(F115,'PRECIO TOMA HISTORICO '!A:B,2,0)</f>
        <v>16000000</v>
      </c>
      <c r="K115" s="10"/>
      <c r="L115" s="11">
        <f>_xlfn.XLOOKUP(F115,BBDD!$S:$S,BBDD!$AS:$AS)</f>
        <v>19990000</v>
      </c>
      <c r="M115" s="11">
        <f>IFERROR(VLOOKUP(F115,'PRECIO MERCADO'!D:E,2,0),"0")</f>
        <v>21500000</v>
      </c>
      <c r="N115" s="11">
        <f>_xlfn.XLOOKUP(F115,BBDD!$S:$S,BBDD!$AO:$AO)</f>
        <v>16000000</v>
      </c>
      <c r="O115" s="11">
        <f>_xlfn.XLOOKUP(F115,BBDD!$S:$S,BBDD!$AR:$AR)</f>
        <v>16369240</v>
      </c>
    </row>
    <row r="116" spans="1:15" ht="13.5" customHeight="1" x14ac:dyDescent="0.3">
      <c r="A116" s="26" t="s">
        <v>264</v>
      </c>
      <c r="B116" s="26" t="s">
        <v>293</v>
      </c>
      <c r="C116" s="26" t="s">
        <v>296</v>
      </c>
      <c r="D116" s="25" t="s">
        <v>28</v>
      </c>
      <c r="E116" s="25">
        <v>2025</v>
      </c>
      <c r="F116" s="25" t="s">
        <v>298</v>
      </c>
      <c r="G116" s="30">
        <v>243</v>
      </c>
      <c r="H116" s="12" t="str">
        <f t="shared" si="1"/>
        <v>LANDTREKLANDTREK BLUEHDI 4X4 2.2 AUT2025</v>
      </c>
      <c r="I116" s="13"/>
      <c r="J116" s="11">
        <f>VLOOKUP(F116,'PRECIO TOMA HISTORICO '!A:B,2,0)</f>
        <v>27929100</v>
      </c>
      <c r="K116" s="10"/>
      <c r="L116" s="11">
        <f>_xlfn.XLOOKUP(F116,BBDD!$S:$S,BBDD!$AS:$AS)</f>
        <v>20990000</v>
      </c>
      <c r="M116" s="11">
        <f>IFERROR(VLOOKUP(F116,'PRECIO MERCADO'!D:E,2,0),"0")</f>
        <v>22900000</v>
      </c>
      <c r="N116" s="11">
        <f>_xlfn.XLOOKUP(F116,BBDD!$S:$S,BBDD!$AO:$AO)</f>
        <v>27929100</v>
      </c>
      <c r="O116" s="11">
        <f>_xlfn.XLOOKUP(F116,BBDD!$S:$S,BBDD!$AR:$AR)</f>
        <v>28847714</v>
      </c>
    </row>
    <row r="117" spans="1:15" ht="13.5" customHeight="1" x14ac:dyDescent="0.3">
      <c r="A117" s="26" t="s">
        <v>264</v>
      </c>
      <c r="B117" s="26" t="s">
        <v>293</v>
      </c>
      <c r="C117" s="26" t="s">
        <v>296</v>
      </c>
      <c r="D117" s="25" t="s">
        <v>17</v>
      </c>
      <c r="E117" s="25">
        <v>2024</v>
      </c>
      <c r="F117" s="25" t="s">
        <v>299</v>
      </c>
      <c r="G117" s="30">
        <v>35</v>
      </c>
      <c r="H117" s="12" t="str">
        <f t="shared" si="1"/>
        <v>LANDTREKLANDTREK BLUEHDI 4X4 2.2 AUT2024</v>
      </c>
      <c r="I117" s="13"/>
      <c r="J117" s="11">
        <f>VLOOKUP(F117,'PRECIO TOMA HISTORICO '!A:B,2,0)</f>
        <v>15500000</v>
      </c>
      <c r="K117" s="10"/>
      <c r="L117" s="11">
        <f>_xlfn.XLOOKUP(F117,BBDD!$S:$S,BBDD!$AS:$AS)</f>
        <v>18990000</v>
      </c>
      <c r="M117" s="11">
        <f>IFERROR(VLOOKUP(F117,'PRECIO MERCADO'!D:E,2,0),"0")</f>
        <v>20100000</v>
      </c>
      <c r="N117" s="11">
        <f>_xlfn.XLOOKUP(F117,BBDD!$S:$S,BBDD!$AO:$AO)</f>
        <v>15500000</v>
      </c>
      <c r="O117" s="11">
        <f>_xlfn.XLOOKUP(F117,BBDD!$S:$S,BBDD!$AR:$AR)</f>
        <v>15861740</v>
      </c>
    </row>
    <row r="118" spans="1:15" ht="13.5" customHeight="1" x14ac:dyDescent="0.3">
      <c r="A118" s="26" t="s">
        <v>264</v>
      </c>
      <c r="B118" s="25" t="s">
        <v>300</v>
      </c>
      <c r="C118" s="25" t="s">
        <v>301</v>
      </c>
      <c r="D118" s="25" t="s">
        <v>22</v>
      </c>
      <c r="E118" s="25">
        <v>2025</v>
      </c>
      <c r="F118" s="25" t="s">
        <v>302</v>
      </c>
      <c r="G118" s="30">
        <v>34</v>
      </c>
      <c r="H118" s="12" t="str">
        <f t="shared" si="1"/>
        <v>PARTNERPARTNER BLUEHDI 1.52025</v>
      </c>
      <c r="I118" s="15"/>
      <c r="J118" s="12">
        <f>VLOOKUP(F118,'PRECIO TOMA HISTORICO '!A:B,2,0)</f>
        <v>13500000</v>
      </c>
      <c r="K118" s="12"/>
      <c r="L118" s="11">
        <f>_xlfn.XLOOKUP(F118,BBDD!$S:$S,BBDD!$AS:$AS)</f>
        <v>16990000</v>
      </c>
      <c r="M118" s="11">
        <f>IFERROR(VLOOKUP(F118,'PRECIO MERCADO'!D:E,2,0),"0")</f>
        <v>16900000</v>
      </c>
      <c r="N118" s="11">
        <f>_xlfn.XLOOKUP(F118,BBDD!$S:$S,BBDD!$AO:$AO)</f>
        <v>13500000</v>
      </c>
      <c r="O118" s="11">
        <f>_xlfn.XLOOKUP(F118,BBDD!$S:$S,BBDD!$AR:$AR)</f>
        <v>13831740</v>
      </c>
    </row>
    <row r="119" spans="1:15" ht="13.5" customHeight="1" x14ac:dyDescent="0.3">
      <c r="A119" s="25" t="s">
        <v>303</v>
      </c>
      <c r="B119" s="25" t="s">
        <v>304</v>
      </c>
      <c r="C119" s="25" t="s">
        <v>305</v>
      </c>
      <c r="D119" s="25" t="s">
        <v>28</v>
      </c>
      <c r="E119" s="25">
        <v>2023</v>
      </c>
      <c r="F119" s="25" t="s">
        <v>306</v>
      </c>
      <c r="G119" s="30">
        <v>161</v>
      </c>
      <c r="H119" s="12" t="str">
        <f t="shared" si="1"/>
        <v>RAM 15001500 CREW CAB SPORT DCAB 4X4 3.6 AT2023</v>
      </c>
      <c r="I119" s="13"/>
      <c r="J119" s="11">
        <f>VLOOKUP(F119,'PRECIO TOMA HISTORICO '!A:B,2,0)</f>
        <v>26200000</v>
      </c>
      <c r="K119" s="10"/>
      <c r="L119" s="11">
        <f>_xlfn.XLOOKUP(F119,BBDD!$S:$S,BBDD!$AS:$AS)</f>
        <v>29490000</v>
      </c>
      <c r="M119" s="11">
        <f>IFERROR(VLOOKUP(F119,'PRECIO MERCADO'!D:E,2,0),"0")</f>
        <v>31400000</v>
      </c>
      <c r="N119" s="11">
        <f>_xlfn.XLOOKUP(F119,BBDD!$S:$S,BBDD!$AO:$AO)</f>
        <v>26200000</v>
      </c>
      <c r="O119" s="11">
        <f>_xlfn.XLOOKUP(F119,BBDD!$S:$S,BBDD!$AR:$AR)</f>
        <v>26719030</v>
      </c>
    </row>
    <row r="120" spans="1:15" ht="13.5" customHeight="1" x14ac:dyDescent="0.3">
      <c r="A120" s="26" t="s">
        <v>303</v>
      </c>
      <c r="B120" s="26" t="s">
        <v>304</v>
      </c>
      <c r="C120" s="25" t="s">
        <v>307</v>
      </c>
      <c r="D120" s="25" t="s">
        <v>28</v>
      </c>
      <c r="E120" s="25">
        <v>2022</v>
      </c>
      <c r="F120" s="25" t="s">
        <v>308</v>
      </c>
      <c r="G120" s="30">
        <v>104</v>
      </c>
      <c r="H120" s="12" t="str">
        <f t="shared" si="1"/>
        <v>RAM 15001500 REBEL CREW DCAB 4X4 5.7 AUT2022</v>
      </c>
      <c r="I120" s="13"/>
      <c r="J120" s="11">
        <f>VLOOKUP(F120,'PRECIO TOMA HISTORICO '!A:B,2,0)</f>
        <v>30400000</v>
      </c>
      <c r="K120" s="10"/>
      <c r="L120" s="11">
        <f>_xlfn.XLOOKUP(F120,BBDD!$S:$S,BBDD!$AS:$AS)</f>
        <v>35990000</v>
      </c>
      <c r="M120" s="11">
        <f>IFERROR(VLOOKUP(F120,'PRECIO MERCADO'!D:E,2,0),"0")</f>
        <v>34900000</v>
      </c>
      <c r="N120" s="11">
        <f>_xlfn.XLOOKUP(F120,BBDD!$S:$S,BBDD!$AO:$AO)</f>
        <v>30400000</v>
      </c>
      <c r="O120" s="11">
        <f>_xlfn.XLOOKUP(F120,BBDD!$S:$S,BBDD!$AR:$AR)</f>
        <v>30982030</v>
      </c>
    </row>
    <row r="121" spans="1:15" ht="13.5" customHeight="1" x14ac:dyDescent="0.3">
      <c r="A121" s="26" t="s">
        <v>303</v>
      </c>
      <c r="B121" s="26" t="s">
        <v>304</v>
      </c>
      <c r="C121" s="25" t="s">
        <v>309</v>
      </c>
      <c r="D121" s="25" t="s">
        <v>28</v>
      </c>
      <c r="E121" s="25">
        <v>2025</v>
      </c>
      <c r="F121" s="25" t="s">
        <v>310</v>
      </c>
      <c r="G121" s="30">
        <v>116</v>
      </c>
      <c r="H121" s="12" t="str">
        <f t="shared" si="1"/>
        <v>RAM 1500RAMPAGE DS LARAMIE 4X4 2.0 AUT2025</v>
      </c>
      <c r="I121" s="13"/>
      <c r="J121" s="11">
        <f>VLOOKUP(F121,'PRECIO TOMA HISTORICO '!A:B,2,0)</f>
        <v>29000000</v>
      </c>
      <c r="K121" s="10"/>
      <c r="L121" s="11">
        <f>_xlfn.XLOOKUP(F121,BBDD!$S:$S,BBDD!$AS:$AS)</f>
        <v>31590000</v>
      </c>
      <c r="M121" s="11">
        <f>IFERROR(VLOOKUP(F121,'PRECIO MERCADO'!D:E,2,0),"0")</f>
        <v>31700000</v>
      </c>
      <c r="N121" s="11">
        <f>_xlfn.XLOOKUP(F121,BBDD!$S:$S,BBDD!$AO:$AO)</f>
        <v>29000000</v>
      </c>
      <c r="O121" s="11">
        <f>_xlfn.XLOOKUP(F121,BBDD!$S:$S,BBDD!$AR:$AR)</f>
        <v>29561030</v>
      </c>
    </row>
    <row r="122" spans="1:15" ht="13.5" customHeight="1" x14ac:dyDescent="0.3">
      <c r="A122" s="26" t="s">
        <v>303</v>
      </c>
      <c r="B122" s="25" t="s">
        <v>311</v>
      </c>
      <c r="C122" s="25" t="s">
        <v>312</v>
      </c>
      <c r="D122" s="25" t="s">
        <v>28</v>
      </c>
      <c r="E122" s="25">
        <v>2025</v>
      </c>
      <c r="F122" s="25" t="s">
        <v>313</v>
      </c>
      <c r="G122" s="30">
        <v>20</v>
      </c>
      <c r="H122" s="12" t="str">
        <f t="shared" si="1"/>
        <v>RAMPAGERAMPAGE DS BIGHORN 4X4 2.0 AUT2025</v>
      </c>
      <c r="I122" s="13"/>
      <c r="J122" s="11">
        <f>VLOOKUP(F122,'PRECIO TOMA HISTORICO '!A:B,2,0)</f>
        <v>22120000</v>
      </c>
      <c r="K122" s="10"/>
      <c r="L122" s="11">
        <f>_xlfn.XLOOKUP(F122,BBDD!$S:$S,BBDD!$AS:$AS)</f>
        <v>27490000</v>
      </c>
      <c r="M122" s="11">
        <f>IFERROR(VLOOKUP(F122,'PRECIO MERCADO'!D:E,2,0),"0")</f>
        <v>27500000</v>
      </c>
      <c r="N122" s="11">
        <f>_xlfn.XLOOKUP(F122,BBDD!$S:$S,BBDD!$AO:$AO)</f>
        <v>22120000</v>
      </c>
      <c r="O122" s="11">
        <f>_xlfn.XLOOKUP(F122,BBDD!$S:$S,BBDD!$AR:$AR)</f>
        <v>22120000</v>
      </c>
    </row>
    <row r="123" spans="1:15" ht="13.5" customHeight="1" x14ac:dyDescent="0.3">
      <c r="A123" s="25" t="s">
        <v>314</v>
      </c>
      <c r="B123" s="25" t="s">
        <v>314</v>
      </c>
      <c r="C123" s="25" t="s">
        <v>315</v>
      </c>
      <c r="D123" s="25" t="s">
        <v>43</v>
      </c>
      <c r="E123" s="25">
        <v>2019</v>
      </c>
      <c r="F123" s="25" t="s">
        <v>316</v>
      </c>
      <c r="G123" s="30">
        <v>33</v>
      </c>
      <c r="H123" s="12" t="str">
        <f t="shared" si="1"/>
        <v>RENAULTDUSTER ZEN 1.62019</v>
      </c>
      <c r="I123" s="15"/>
      <c r="J123" s="12">
        <f>VLOOKUP(F123,'PRECIO TOMA HISTORICO '!A:B,2,0)</f>
        <v>5800000</v>
      </c>
      <c r="K123" s="12"/>
      <c r="L123" s="11">
        <f>_xlfn.XLOOKUP(F123,BBDD!$S:$S,BBDD!$AS:$AS)</f>
        <v>7690000</v>
      </c>
      <c r="M123" s="11">
        <f>IFERROR(VLOOKUP(F123,'PRECIO MERCADO'!D:E,2,0),"0")</f>
        <v>7900000</v>
      </c>
      <c r="N123" s="11">
        <f>_xlfn.XLOOKUP(F123,BBDD!$S:$S,BBDD!$AO:$AO)</f>
        <v>5800000</v>
      </c>
      <c r="O123" s="11">
        <f>_xlfn.XLOOKUP(F123,BBDD!$S:$S,BBDD!$AR:$AR)</f>
        <v>5800000</v>
      </c>
    </row>
    <row r="124" spans="1:15" ht="13.5" customHeight="1" x14ac:dyDescent="0.3">
      <c r="A124" s="25" t="s">
        <v>317</v>
      </c>
      <c r="B124" s="25" t="s">
        <v>318</v>
      </c>
      <c r="C124" s="25" t="s">
        <v>319</v>
      </c>
      <c r="D124" s="25" t="s">
        <v>43</v>
      </c>
      <c r="E124" s="25">
        <v>2021</v>
      </c>
      <c r="F124" s="25" t="s">
        <v>320</v>
      </c>
      <c r="G124" s="30">
        <v>322</v>
      </c>
      <c r="H124" s="12" t="str">
        <f t="shared" si="1"/>
        <v>KORANDONEW KORANDO 1.62021</v>
      </c>
      <c r="I124" s="13"/>
      <c r="J124" s="11">
        <f>VLOOKUP(F124,'PRECIO TOMA HISTORICO '!A:B,2,0)</f>
        <v>11000000</v>
      </c>
      <c r="K124" s="10"/>
      <c r="L124" s="11">
        <f>_xlfn.XLOOKUP(F124,BBDD!$S:$S,BBDD!$AS:$AS)</f>
        <v>12990000</v>
      </c>
      <c r="M124" s="11">
        <f>IFERROR(VLOOKUP(F124,'PRECIO MERCADO'!D:E,2,0),"0")</f>
        <v>12100000</v>
      </c>
      <c r="N124" s="11">
        <f>_xlfn.XLOOKUP(F124,BBDD!$S:$S,BBDD!$AO:$AO)</f>
        <v>11000000</v>
      </c>
      <c r="O124" s="11">
        <f>_xlfn.XLOOKUP(F124,BBDD!$S:$S,BBDD!$AR:$AR)</f>
        <v>11443877</v>
      </c>
    </row>
    <row r="125" spans="1:15" ht="13.5" customHeight="1" x14ac:dyDescent="0.3">
      <c r="A125" s="26" t="s">
        <v>317</v>
      </c>
      <c r="B125" s="25" t="s">
        <v>321</v>
      </c>
      <c r="C125" s="25" t="s">
        <v>322</v>
      </c>
      <c r="D125" s="25" t="s">
        <v>67</v>
      </c>
      <c r="E125" s="25">
        <v>2015</v>
      </c>
      <c r="F125" s="25" t="s">
        <v>323</v>
      </c>
      <c r="G125" s="30">
        <v>1540</v>
      </c>
      <c r="H125" s="12" t="str">
        <f t="shared" si="1"/>
        <v>REXTONREXTON 2.02015</v>
      </c>
      <c r="I125" s="13"/>
      <c r="J125" s="11">
        <f>VLOOKUP(F125,'PRECIO TOMA HISTORICO '!A:B,2,0)</f>
        <v>10500000</v>
      </c>
      <c r="K125" s="10"/>
      <c r="L125" s="11">
        <f>_xlfn.XLOOKUP(F125,BBDD!$S:$S,BBDD!$AS:$AS)</f>
        <v>8490000</v>
      </c>
      <c r="M125" s="11">
        <f>IFERROR(VLOOKUP(F125,'PRECIO MERCADO'!D:E,2,0),"0")</f>
        <v>8300000</v>
      </c>
      <c r="N125" s="11">
        <f>_xlfn.XLOOKUP(F125,BBDD!$S:$S,BBDD!$AO:$AO)</f>
        <v>10500000</v>
      </c>
      <c r="O125" s="11">
        <f>_xlfn.XLOOKUP(F125,BBDD!$S:$S,BBDD!$AR:$AR)</f>
        <v>10961694</v>
      </c>
    </row>
    <row r="126" spans="1:15" ht="13.5" customHeight="1" x14ac:dyDescent="0.3">
      <c r="A126" s="26" t="s">
        <v>317</v>
      </c>
      <c r="B126" s="25" t="s">
        <v>324</v>
      </c>
      <c r="C126" s="25" t="s">
        <v>325</v>
      </c>
      <c r="D126" s="25" t="s">
        <v>28</v>
      </c>
      <c r="E126" s="25">
        <v>2024</v>
      </c>
      <c r="F126" s="25" t="s">
        <v>326</v>
      </c>
      <c r="G126" s="30">
        <v>151</v>
      </c>
      <c r="H126" s="12" t="str">
        <f t="shared" si="1"/>
        <v>TORRESTORRES 4X2 1.52024</v>
      </c>
      <c r="I126" s="13"/>
      <c r="J126" s="11">
        <f>VLOOKUP(F126,'PRECIO TOMA HISTORICO '!A:B,2,0)</f>
        <v>16400000</v>
      </c>
      <c r="K126" s="10"/>
      <c r="L126" s="11">
        <f>_xlfn.XLOOKUP(F126,BBDD!$S:$S,BBDD!$AS:$AS)</f>
        <v>18690000</v>
      </c>
      <c r="M126" s="11">
        <f>IFERROR(VLOOKUP(F126,'PRECIO MERCADO'!D:E,2,0),"0")</f>
        <v>19300000</v>
      </c>
      <c r="N126" s="11">
        <f>_xlfn.XLOOKUP(F126,BBDD!$S:$S,BBDD!$AO:$AO)</f>
        <v>16400000</v>
      </c>
      <c r="O126" s="11">
        <f>_xlfn.XLOOKUP(F126,BBDD!$S:$S,BBDD!$AR:$AR)</f>
        <v>16772030</v>
      </c>
    </row>
    <row r="127" spans="1:15" ht="13.5" customHeight="1" x14ac:dyDescent="0.3">
      <c r="A127" s="25" t="s">
        <v>2957</v>
      </c>
      <c r="B127" s="25" t="s">
        <v>3268</v>
      </c>
      <c r="C127" s="25" t="s">
        <v>5342</v>
      </c>
      <c r="D127" s="25" t="s">
        <v>17</v>
      </c>
      <c r="E127" s="25">
        <v>2024</v>
      </c>
      <c r="F127" s="25" t="s">
        <v>6395</v>
      </c>
      <c r="G127" s="30">
        <v>6</v>
      </c>
      <c r="H127" s="12" t="str">
        <f t="shared" si="1"/>
        <v>FORESTERFORESTER 4X4 2.0 AT2024</v>
      </c>
      <c r="I127" s="13"/>
      <c r="J127" s="11">
        <f>VLOOKUP(F127,'PRECIO TOMA HISTORICO '!A:B,2,0)</f>
        <v>19000000</v>
      </c>
      <c r="K127" s="10"/>
      <c r="L127" s="11">
        <f>_xlfn.XLOOKUP(F127,BBDD!$S:$S,BBDD!$AS:$AS)</f>
        <v>23990000</v>
      </c>
      <c r="M127" s="11">
        <f>IFERROR(VLOOKUP(F127,'PRECIO MERCADO'!D:E,2,0),"0")</f>
        <v>20900000</v>
      </c>
      <c r="N127" s="11">
        <f>_xlfn.XLOOKUP(F127,BBDD!$S:$S,BBDD!$AO:$AO)</f>
        <v>19000000</v>
      </c>
      <c r="O127" s="11">
        <f>_xlfn.XLOOKUP(F127,BBDD!$S:$S,BBDD!$AR:$AR)</f>
        <v>19000000</v>
      </c>
    </row>
    <row r="128" spans="1:15" ht="13.5" customHeight="1" x14ac:dyDescent="0.3">
      <c r="A128" s="25" t="s">
        <v>327</v>
      </c>
      <c r="B128" s="25" t="s">
        <v>3065</v>
      </c>
      <c r="C128" s="25" t="s">
        <v>5382</v>
      </c>
      <c r="D128" s="25" t="s">
        <v>17</v>
      </c>
      <c r="E128" s="25">
        <v>2024</v>
      </c>
      <c r="F128" s="25" t="s">
        <v>4328</v>
      </c>
      <c r="G128" s="30">
        <v>11</v>
      </c>
      <c r="H128" s="12" t="str">
        <f t="shared" si="1"/>
        <v>BALENOBALENO 4X2 1.5 AUT2024</v>
      </c>
      <c r="I128" s="13"/>
      <c r="J128" s="11">
        <f>VLOOKUP(F128,'PRECIO TOMA HISTORICO '!A:B,2,0)</f>
        <v>10300000</v>
      </c>
      <c r="K128" s="10"/>
      <c r="L128" s="11">
        <f>_xlfn.XLOOKUP(F128,BBDD!$S:$S,BBDD!$AS:$AS)</f>
        <v>12490000</v>
      </c>
      <c r="M128" s="11">
        <f>IFERROR(VLOOKUP(F128,'PRECIO MERCADO'!D:E,2,0),"0")</f>
        <v>12700000</v>
      </c>
      <c r="N128" s="11">
        <f>_xlfn.XLOOKUP(F128,BBDD!$S:$S,BBDD!$AO:$AO)</f>
        <v>10300000</v>
      </c>
      <c r="O128" s="11">
        <f>_xlfn.XLOOKUP(F128,BBDD!$S:$S,BBDD!$AR:$AR)</f>
        <v>10300000</v>
      </c>
    </row>
    <row r="129" spans="1:15" ht="13.5" customHeight="1" x14ac:dyDescent="0.3">
      <c r="A129" s="26" t="s">
        <v>327</v>
      </c>
      <c r="B129" s="25" t="s">
        <v>328</v>
      </c>
      <c r="C129" s="25" t="s">
        <v>329</v>
      </c>
      <c r="D129" s="25" t="s">
        <v>28</v>
      </c>
      <c r="E129" s="25">
        <v>2019</v>
      </c>
      <c r="F129" s="25" t="s">
        <v>330</v>
      </c>
      <c r="G129" s="30">
        <v>57</v>
      </c>
      <c r="H129" s="12" t="str">
        <f t="shared" si="1"/>
        <v>GRAND NOMADEGRAND NOMADE GLX 2.4 AUT2019</v>
      </c>
      <c r="I129" s="13"/>
      <c r="J129" s="11">
        <f>VLOOKUP(F129,'PRECIO TOMA HISTORICO '!A:B,2,0)</f>
        <v>9100000</v>
      </c>
      <c r="K129" s="10"/>
      <c r="L129" s="11">
        <f>_xlfn.XLOOKUP(F129,BBDD!$S:$S,BBDD!$AS:$AS)</f>
        <v>11990000</v>
      </c>
      <c r="M129" s="11">
        <f>IFERROR(VLOOKUP(F129,'PRECIO MERCADO'!D:E,2,0),"0")</f>
        <v>12200000</v>
      </c>
      <c r="N129" s="11">
        <f>_xlfn.XLOOKUP(F129,BBDD!$S:$S,BBDD!$AO:$AO)</f>
        <v>9100000</v>
      </c>
      <c r="O129" s="11">
        <f>_xlfn.XLOOKUP(F129,BBDD!$S:$S,BBDD!$AR:$AR)</f>
        <v>9365740</v>
      </c>
    </row>
    <row r="130" spans="1:15" ht="13.5" customHeight="1" x14ac:dyDescent="0.3">
      <c r="A130" s="25" t="s">
        <v>339</v>
      </c>
      <c r="B130" s="25" t="s">
        <v>340</v>
      </c>
      <c r="C130" s="25" t="s">
        <v>341</v>
      </c>
      <c r="D130" s="25" t="s">
        <v>67</v>
      </c>
      <c r="E130" s="25">
        <v>2023</v>
      </c>
      <c r="F130" s="25" t="s">
        <v>342</v>
      </c>
      <c r="G130" s="30">
        <v>763</v>
      </c>
      <c r="H130" s="12" t="str">
        <f t="shared" si="1"/>
        <v>AMAROKAMAROK DCAB TDI DOHC 4X4 2.0 AUT2023</v>
      </c>
      <c r="I130" s="13"/>
      <c r="J130" s="11">
        <f>VLOOKUP(F130,'PRECIO TOMA HISTORICO '!A:B,2,0)</f>
        <v>28500000</v>
      </c>
      <c r="K130" s="10"/>
      <c r="L130" s="11">
        <f>_xlfn.XLOOKUP(F130,BBDD!$S:$S,BBDD!$AS:$AS)</f>
        <v>33190000</v>
      </c>
      <c r="M130" s="11">
        <f>IFERROR(VLOOKUP(F130,'PRECIO MERCADO'!D:E,2,0),"0")</f>
        <v>31500000</v>
      </c>
      <c r="N130" s="11">
        <f>_xlfn.XLOOKUP(F130,BBDD!$S:$S,BBDD!$AO:$AO)</f>
        <v>28500000</v>
      </c>
      <c r="O130" s="11">
        <f>_xlfn.XLOOKUP(F130,BBDD!$S:$S,BBDD!$AR:$AR)</f>
        <v>29597663</v>
      </c>
    </row>
    <row r="131" spans="1:15" ht="13.5" customHeight="1" x14ac:dyDescent="0.3">
      <c r="A131" s="26" t="s">
        <v>339</v>
      </c>
      <c r="B131" s="25" t="s">
        <v>4277</v>
      </c>
      <c r="C131" s="25" t="s">
        <v>5490</v>
      </c>
      <c r="D131" s="25" t="s">
        <v>22</v>
      </c>
      <c r="E131" s="25">
        <v>2023</v>
      </c>
      <c r="F131" s="25" t="s">
        <v>354</v>
      </c>
      <c r="G131" s="30">
        <v>15</v>
      </c>
      <c r="H131" s="12" t="str">
        <f t="shared" si="1"/>
        <v>NIVUSNIVUS TSI 1.0 AUT2023</v>
      </c>
      <c r="I131" s="13"/>
      <c r="J131" s="11">
        <f>VLOOKUP(F131,'PRECIO TOMA HISTORICO '!A:B,2,0)</f>
        <v>12900000</v>
      </c>
      <c r="K131" s="10"/>
      <c r="L131" s="11">
        <f>_xlfn.XLOOKUP(F131,BBDD!$S:$S,BBDD!$AS:$AS)</f>
        <v>15190000</v>
      </c>
      <c r="M131" s="11">
        <f>IFERROR(VLOOKUP(F131,'PRECIO MERCADO'!D:E,2,0),"0")</f>
        <v>15200000</v>
      </c>
      <c r="N131" s="11">
        <f>_xlfn.XLOOKUP(F131,BBDD!$S:$S,BBDD!$AO:$AO)</f>
        <v>12900000</v>
      </c>
      <c r="O131" s="11">
        <f>_xlfn.XLOOKUP(F131,BBDD!$S:$S,BBDD!$AR:$AR)</f>
        <v>12900000</v>
      </c>
    </row>
    <row r="132" spans="1:15" ht="13.5" customHeight="1" x14ac:dyDescent="0.3">
      <c r="A132" s="26" t="s">
        <v>339</v>
      </c>
      <c r="B132" s="25" t="s">
        <v>343</v>
      </c>
      <c r="C132" s="25" t="s">
        <v>344</v>
      </c>
      <c r="D132" s="25" t="s">
        <v>22</v>
      </c>
      <c r="E132" s="25">
        <v>2024</v>
      </c>
      <c r="F132" s="25" t="s">
        <v>345</v>
      </c>
      <c r="G132" s="30">
        <v>35</v>
      </c>
      <c r="H132" s="12" t="str">
        <f t="shared" si="1"/>
        <v>SAVEIROSAVEIRO CD 4X2 1.62024</v>
      </c>
      <c r="I132" s="13"/>
      <c r="J132" s="11">
        <f>VLOOKUP(F132,'PRECIO TOMA HISTORICO '!A:B,2,0)</f>
        <v>9600000</v>
      </c>
      <c r="K132" s="10"/>
      <c r="L132" s="11">
        <f>_xlfn.XLOOKUP(F132,BBDD!$S:$S,BBDD!$AS:$AS)</f>
        <v>11590000</v>
      </c>
      <c r="M132" s="11">
        <f>IFERROR(VLOOKUP(F132,'PRECIO MERCADO'!D:E,2,0),"0")</f>
        <v>11600000</v>
      </c>
      <c r="N132" s="11">
        <f>_xlfn.XLOOKUP(F132,BBDD!$S:$S,BBDD!$AO:$AO)</f>
        <v>9600000</v>
      </c>
      <c r="O132" s="11">
        <f>_xlfn.XLOOKUP(F132,BBDD!$S:$S,BBDD!$AR:$AR)</f>
        <v>9873240</v>
      </c>
    </row>
    <row r="133" spans="1:15" ht="13.5" customHeight="1" x14ac:dyDescent="0.3">
      <c r="A133" s="25" t="s">
        <v>346</v>
      </c>
      <c r="B133" s="25" t="s">
        <v>347</v>
      </c>
      <c r="C133" s="25" t="s">
        <v>348</v>
      </c>
      <c r="D133" s="25" t="s">
        <v>22</v>
      </c>
      <c r="E133" s="25">
        <v>2022</v>
      </c>
      <c r="F133" s="25" t="s">
        <v>349</v>
      </c>
      <c r="G133" s="30">
        <v>57</v>
      </c>
      <c r="H133" s="12" t="str">
        <f t="shared" ref="H133:H134" si="2">CONCATENATE(B133,C133,E133)</f>
        <v>TERRALORDTERRALORD 4X4 2.5 AUT2022</v>
      </c>
      <c r="I133" s="13"/>
      <c r="J133" s="11">
        <f>VLOOKUP(F133,'PRECIO TOMA HISTORICO '!A:B,2,0)</f>
        <v>11500000</v>
      </c>
      <c r="K133" s="10"/>
      <c r="L133" s="11">
        <f>_xlfn.XLOOKUP(F133,BBDD!$S:$S,BBDD!$AS:$AS)</f>
        <v>13690000</v>
      </c>
      <c r="M133" s="11">
        <f>IFERROR(VLOOKUP(F133,'PRECIO MERCADO'!D:E,2,0),"0")</f>
        <v>14100000</v>
      </c>
      <c r="N133" s="11">
        <f>_xlfn.XLOOKUP(F133,BBDD!$S:$S,BBDD!$AO:$AO)</f>
        <v>11500000</v>
      </c>
      <c r="O133" s="11">
        <f>_xlfn.XLOOKUP(F133,BBDD!$S:$S,BBDD!$AR:$AR)</f>
        <v>11801740</v>
      </c>
    </row>
    <row r="134" spans="1:15" ht="13.5" customHeight="1" x14ac:dyDescent="0.3">
      <c r="A134" s="29" t="s">
        <v>346</v>
      </c>
      <c r="B134" s="29" t="s">
        <v>347</v>
      </c>
      <c r="C134" s="28" t="s">
        <v>350</v>
      </c>
      <c r="D134" s="28" t="s">
        <v>28</v>
      </c>
      <c r="E134" s="28">
        <v>2022</v>
      </c>
      <c r="F134" s="28" t="s">
        <v>351</v>
      </c>
      <c r="G134" s="32">
        <v>35</v>
      </c>
      <c r="H134" s="12" t="str">
        <f t="shared" si="2"/>
        <v>TERRALORDTERRALORD DCAB DLX 2.52022</v>
      </c>
      <c r="I134" s="13"/>
      <c r="J134" s="11">
        <f>VLOOKUP(F134,'PRECIO TOMA HISTORICO '!A:B,2,0)</f>
        <v>8900000</v>
      </c>
      <c r="K134" s="10"/>
      <c r="L134" s="11">
        <f>_xlfn.XLOOKUP(F134,BBDD!$S:$S,BBDD!$AS:$AS)</f>
        <v>11290000</v>
      </c>
      <c r="M134" s="11">
        <f>IFERROR(VLOOKUP(F134,'PRECIO MERCADO'!D:E,2,0),"0")</f>
        <v>11100000</v>
      </c>
      <c r="N134" s="11">
        <f>_xlfn.XLOOKUP(F134,BBDD!$S:$S,BBDD!$AO:$AO)</f>
        <v>8900000</v>
      </c>
      <c r="O134" s="11">
        <f>_xlfn.XLOOKUP(F134,BBDD!$S:$S,BBDD!$AR:$AR)</f>
        <v>9162740</v>
      </c>
    </row>
    <row r="135" spans="1:15" ht="13.5" customHeight="1" x14ac:dyDescent="0.3">
      <c r="H135" s="12"/>
      <c r="I135" s="8"/>
      <c r="J135" s="11"/>
      <c r="K135" s="10"/>
      <c r="L135" s="11"/>
      <c r="M135" s="11"/>
      <c r="N135" s="11"/>
      <c r="O135" s="11"/>
    </row>
    <row r="136" spans="1:15" ht="13.5" customHeight="1" x14ac:dyDescent="0.3">
      <c r="H136" s="12"/>
      <c r="I136" s="8"/>
      <c r="J136" s="11"/>
      <c r="K136" s="10"/>
      <c r="L136" s="11"/>
      <c r="M136" s="11"/>
      <c r="N136" s="11"/>
      <c r="O136" s="11"/>
    </row>
    <row r="137" spans="1:15" ht="13.5" customHeight="1" x14ac:dyDescent="0.3">
      <c r="E137" s="16"/>
      <c r="H137" s="12"/>
      <c r="I137" s="8"/>
      <c r="J137" s="11"/>
      <c r="K137" s="10"/>
      <c r="L137" s="11"/>
      <c r="M137" s="11"/>
      <c r="N137" s="11"/>
      <c r="O137" s="11"/>
    </row>
    <row r="138" spans="1:15" ht="13.5" customHeight="1" x14ac:dyDescent="0.3">
      <c r="E138" s="16"/>
      <c r="H138" s="12"/>
      <c r="I138" s="8"/>
      <c r="J138" s="11"/>
      <c r="K138" s="10"/>
      <c r="L138" s="11"/>
      <c r="M138" s="11"/>
      <c r="N138" s="11"/>
      <c r="O138" s="11"/>
    </row>
    <row r="139" spans="1:15" ht="13.5" customHeight="1" x14ac:dyDescent="0.3">
      <c r="E139" s="16"/>
      <c r="H139" s="12"/>
      <c r="I139" s="8"/>
      <c r="J139" s="11"/>
      <c r="K139" s="10"/>
      <c r="L139" s="11"/>
      <c r="M139" s="11"/>
      <c r="N139" s="11"/>
      <c r="O139" s="11"/>
    </row>
    <row r="140" spans="1:15" ht="13.5" customHeight="1" x14ac:dyDescent="0.3">
      <c r="E140" s="16"/>
      <c r="H140" s="12"/>
      <c r="I140" s="8"/>
      <c r="J140" s="11"/>
      <c r="K140" s="10"/>
      <c r="L140" s="11"/>
      <c r="M140" s="11"/>
      <c r="N140" s="11"/>
      <c r="O140" s="11"/>
    </row>
    <row r="141" spans="1:15" ht="13.5" customHeight="1" x14ac:dyDescent="0.3">
      <c r="E141" s="16"/>
      <c r="H141" s="12"/>
      <c r="I141" s="8"/>
      <c r="J141" s="11"/>
      <c r="K141" s="10"/>
      <c r="L141" s="11"/>
      <c r="M141" s="11"/>
      <c r="N141" s="11"/>
      <c r="O141" s="11"/>
    </row>
    <row r="142" spans="1:15" ht="13.5" customHeight="1" x14ac:dyDescent="0.3">
      <c r="E142" s="16"/>
      <c r="H142" s="12"/>
      <c r="I142" s="8"/>
      <c r="J142" s="11"/>
      <c r="K142" s="10"/>
      <c r="L142" s="11"/>
      <c r="M142" s="11"/>
      <c r="N142" s="11"/>
      <c r="O142" s="11"/>
    </row>
    <row r="143" spans="1:15" ht="13.5" customHeight="1" x14ac:dyDescent="0.3">
      <c r="E143" s="16"/>
      <c r="H143" s="12"/>
      <c r="I143" s="8"/>
      <c r="J143" s="11"/>
      <c r="K143" s="10"/>
      <c r="L143" s="11"/>
      <c r="M143" s="11"/>
      <c r="N143" s="11"/>
      <c r="O143" s="11"/>
    </row>
    <row r="144" spans="1:15" ht="13.5" customHeight="1" x14ac:dyDescent="0.3">
      <c r="E144" s="16"/>
      <c r="H144" s="12"/>
      <c r="I144" s="8"/>
      <c r="J144" s="11"/>
      <c r="K144" s="10"/>
      <c r="L144" s="11"/>
      <c r="M144" s="11"/>
      <c r="N144" s="11"/>
      <c r="O144" s="11"/>
    </row>
    <row r="145" spans="5:15" ht="13.5" customHeight="1" x14ac:dyDescent="0.3">
      <c r="E145" s="16"/>
      <c r="H145" s="12"/>
      <c r="I145" s="8"/>
      <c r="J145" s="11"/>
      <c r="K145" s="10"/>
      <c r="L145" s="11"/>
      <c r="M145" s="11"/>
      <c r="N145" s="11"/>
      <c r="O145" s="11"/>
    </row>
    <row r="146" spans="5:15" ht="13.5" customHeight="1" x14ac:dyDescent="0.3">
      <c r="E146" s="16"/>
      <c r="H146" s="12"/>
      <c r="I146" s="8"/>
      <c r="J146" s="11"/>
      <c r="K146" s="10"/>
      <c r="L146" s="11"/>
      <c r="M146" s="11"/>
      <c r="N146" s="11"/>
      <c r="O146" s="11"/>
    </row>
    <row r="147" spans="5:15" ht="13.5" customHeight="1" x14ac:dyDescent="0.3">
      <c r="E147" s="16"/>
      <c r="H147" s="12"/>
      <c r="I147" s="8"/>
      <c r="J147" s="11"/>
      <c r="K147" s="10"/>
      <c r="L147" s="11"/>
      <c r="M147" s="11"/>
      <c r="N147" s="11"/>
      <c r="O147" s="11"/>
    </row>
    <row r="148" spans="5:15" ht="13.5" customHeight="1" x14ac:dyDescent="0.3">
      <c r="E148" s="16"/>
      <c r="H148" s="12"/>
      <c r="I148" s="8"/>
      <c r="J148" s="11"/>
      <c r="K148" s="10"/>
      <c r="L148" s="11"/>
      <c r="M148" s="11"/>
      <c r="N148" s="11"/>
      <c r="O148" s="11"/>
    </row>
    <row r="149" spans="5:15" ht="13.5" customHeight="1" x14ac:dyDescent="0.3">
      <c r="E149" s="16"/>
      <c r="H149" s="12"/>
      <c r="I149" s="8"/>
      <c r="J149" s="11"/>
      <c r="K149" s="10"/>
      <c r="L149" s="11"/>
      <c r="M149" s="11"/>
      <c r="N149" s="11"/>
      <c r="O149" s="11"/>
    </row>
    <row r="150" spans="5:15" ht="13.5" customHeight="1" x14ac:dyDescent="0.3">
      <c r="E150" s="16"/>
      <c r="H150" s="12"/>
      <c r="I150" s="8"/>
      <c r="J150" s="11"/>
      <c r="K150" s="10"/>
      <c r="L150" s="11"/>
      <c r="M150" s="11"/>
      <c r="N150" s="11"/>
      <c r="O150" s="11"/>
    </row>
    <row r="151" spans="5:15" ht="13.5" customHeight="1" x14ac:dyDescent="0.3">
      <c r="E151" s="16"/>
      <c r="H151" s="12"/>
      <c r="I151" s="8"/>
      <c r="J151" s="11"/>
      <c r="K151" s="10"/>
      <c r="L151" s="11"/>
      <c r="M151" s="11"/>
      <c r="N151" s="11"/>
      <c r="O151" s="11"/>
    </row>
    <row r="152" spans="5:15" ht="13.5" customHeight="1" x14ac:dyDescent="0.3">
      <c r="E152" s="16"/>
      <c r="H152" s="12"/>
      <c r="I152" s="8"/>
      <c r="J152" s="11"/>
      <c r="K152" s="10"/>
      <c r="L152" s="11"/>
      <c r="M152" s="11"/>
      <c r="N152" s="11"/>
      <c r="O152" s="11"/>
    </row>
    <row r="153" spans="5:15" ht="13.5" customHeight="1" x14ac:dyDescent="0.3">
      <c r="E153" s="16"/>
      <c r="H153" s="12"/>
      <c r="I153" s="8"/>
      <c r="J153" s="11"/>
      <c r="K153" s="10"/>
      <c r="L153" s="11"/>
      <c r="M153" s="11"/>
      <c r="N153" s="11"/>
      <c r="O153" s="11"/>
    </row>
    <row r="154" spans="5:15" ht="13.5" customHeight="1" x14ac:dyDescent="0.3">
      <c r="E154" s="16"/>
      <c r="H154" s="12"/>
      <c r="I154" s="8"/>
      <c r="J154" s="11"/>
      <c r="K154" s="10"/>
      <c r="L154" s="11"/>
      <c r="M154" s="11"/>
      <c r="N154" s="11"/>
      <c r="O154" s="11"/>
    </row>
    <row r="155" spans="5:15" ht="13.5" customHeight="1" x14ac:dyDescent="0.3">
      <c r="E155" s="16"/>
      <c r="H155" s="12"/>
      <c r="I155" s="8"/>
      <c r="J155" s="11"/>
      <c r="K155" s="10"/>
      <c r="L155" s="11"/>
      <c r="M155" s="11"/>
      <c r="N155" s="11"/>
      <c r="O155" s="11"/>
    </row>
    <row r="156" spans="5:15" ht="13.5" customHeight="1" x14ac:dyDescent="0.3">
      <c r="E156" s="16"/>
      <c r="H156" s="12"/>
      <c r="I156" s="8"/>
      <c r="J156" s="11"/>
      <c r="K156" s="10"/>
      <c r="L156" s="11"/>
      <c r="M156" s="11"/>
      <c r="N156" s="11"/>
      <c r="O156" s="11"/>
    </row>
    <row r="157" spans="5:15" ht="13.5" customHeight="1" x14ac:dyDescent="0.3">
      <c r="E157" s="16"/>
      <c r="H157" s="12"/>
      <c r="I157" s="8"/>
      <c r="J157" s="11"/>
      <c r="K157" s="10"/>
      <c r="L157" s="11"/>
      <c r="M157" s="11"/>
      <c r="N157" s="11"/>
      <c r="O157" s="11"/>
    </row>
    <row r="158" spans="5:15" ht="13.5" customHeight="1" x14ac:dyDescent="0.3">
      <c r="E158" s="16"/>
      <c r="H158" s="12"/>
      <c r="I158" s="8"/>
      <c r="J158" s="11"/>
      <c r="K158" s="10"/>
      <c r="L158" s="11"/>
      <c r="M158" s="11"/>
      <c r="N158" s="11"/>
      <c r="O158" s="11"/>
    </row>
    <row r="159" spans="5:15" ht="13.5" customHeight="1" x14ac:dyDescent="0.3">
      <c r="E159" s="16"/>
      <c r="H159" s="12"/>
      <c r="I159" s="8"/>
      <c r="J159" s="11"/>
      <c r="K159" s="10"/>
      <c r="L159" s="11"/>
      <c r="M159" s="11"/>
      <c r="N159" s="11"/>
      <c r="O159" s="11"/>
    </row>
    <row r="160" spans="5:15" ht="13.5" customHeight="1" x14ac:dyDescent="0.3">
      <c r="E160" s="16"/>
      <c r="H160" s="12"/>
      <c r="I160" s="8"/>
      <c r="J160" s="11"/>
      <c r="K160" s="10"/>
      <c r="L160" s="11"/>
      <c r="M160" s="11"/>
      <c r="N160" s="11"/>
      <c r="O160" s="11"/>
    </row>
    <row r="161" spans="5:15" ht="13.5" customHeight="1" x14ac:dyDescent="0.3">
      <c r="E161" s="16"/>
      <c r="H161" s="12"/>
      <c r="I161" s="8"/>
      <c r="J161" s="11"/>
      <c r="K161" s="10"/>
      <c r="L161" s="11"/>
      <c r="M161" s="11"/>
      <c r="N161" s="11"/>
      <c r="O161" s="11"/>
    </row>
    <row r="162" spans="5:15" ht="13.5" customHeight="1" x14ac:dyDescent="0.3">
      <c r="E162" s="16"/>
      <c r="H162" s="12"/>
      <c r="I162" s="8"/>
      <c r="J162" s="11"/>
      <c r="K162" s="10"/>
      <c r="L162" s="11"/>
      <c r="M162" s="11"/>
      <c r="N162" s="11"/>
      <c r="O162" s="11"/>
    </row>
    <row r="163" spans="5:15" ht="13.5" customHeight="1" x14ac:dyDescent="0.3">
      <c r="E163" s="16"/>
      <c r="H163" s="12"/>
      <c r="I163" s="8"/>
      <c r="J163" s="11"/>
      <c r="K163" s="10"/>
      <c r="L163" s="11"/>
      <c r="M163" s="11"/>
      <c r="N163" s="11"/>
      <c r="O163" s="11"/>
    </row>
    <row r="164" spans="5:15" ht="13.5" customHeight="1" x14ac:dyDescent="0.3">
      <c r="E164" s="16"/>
      <c r="H164" s="12"/>
      <c r="I164" s="8"/>
      <c r="J164" s="11"/>
      <c r="K164" s="10"/>
      <c r="L164" s="11"/>
      <c r="M164" s="11"/>
      <c r="N164" s="11"/>
      <c r="O164" s="11"/>
    </row>
    <row r="165" spans="5:15" ht="13.5" customHeight="1" x14ac:dyDescent="0.3">
      <c r="E165" s="16"/>
      <c r="H165" s="12"/>
      <c r="I165" s="8"/>
      <c r="J165" s="11"/>
      <c r="K165" s="10"/>
      <c r="L165" s="11"/>
      <c r="M165" s="11"/>
      <c r="N165" s="11"/>
      <c r="O165" s="11"/>
    </row>
    <row r="166" spans="5:15" ht="13.5" customHeight="1" x14ac:dyDescent="0.3">
      <c r="E166" s="16"/>
      <c r="H166" s="12"/>
      <c r="I166" s="8"/>
      <c r="J166" s="11"/>
      <c r="K166" s="10"/>
      <c r="L166" s="11"/>
      <c r="M166" s="11"/>
      <c r="N166" s="11"/>
      <c r="O166" s="11"/>
    </row>
    <row r="167" spans="5:15" ht="13.5" customHeight="1" x14ac:dyDescent="0.3">
      <c r="E167" s="16"/>
      <c r="H167" s="12"/>
      <c r="I167" s="8"/>
      <c r="J167" s="11"/>
      <c r="K167" s="10"/>
      <c r="L167" s="11"/>
      <c r="M167" s="11"/>
      <c r="N167" s="11"/>
      <c r="O167" s="11"/>
    </row>
    <row r="168" spans="5:15" ht="13.5" customHeight="1" x14ac:dyDescent="0.3">
      <c r="E168" s="16"/>
      <c r="H168" s="12"/>
      <c r="I168" s="8"/>
      <c r="J168" s="11"/>
      <c r="K168" s="10"/>
      <c r="L168" s="11"/>
      <c r="M168" s="11"/>
      <c r="N168" s="11"/>
      <c r="O168" s="11"/>
    </row>
    <row r="169" spans="5:15" ht="13.5" customHeight="1" x14ac:dyDescent="0.3">
      <c r="E169" s="16"/>
      <c r="H169" s="12"/>
      <c r="I169" s="8"/>
      <c r="J169" s="11"/>
      <c r="K169" s="10"/>
      <c r="L169" s="11"/>
      <c r="M169" s="11"/>
      <c r="N169" s="11"/>
      <c r="O169" s="11"/>
    </row>
    <row r="170" spans="5:15" ht="13.5" customHeight="1" x14ac:dyDescent="0.3">
      <c r="E170" s="16"/>
      <c r="H170" s="12"/>
      <c r="I170" s="8"/>
      <c r="J170" s="11"/>
      <c r="K170" s="10"/>
      <c r="L170" s="11"/>
      <c r="M170" s="11"/>
      <c r="N170" s="11"/>
      <c r="O170" s="11"/>
    </row>
    <row r="171" spans="5:15" ht="13.5" customHeight="1" x14ac:dyDescent="0.3">
      <c r="E171" s="16"/>
      <c r="H171" s="12"/>
      <c r="I171" s="8"/>
      <c r="J171" s="11"/>
      <c r="K171" s="10"/>
      <c r="L171" s="11"/>
      <c r="M171" s="11"/>
      <c r="N171" s="11"/>
      <c r="O171" s="11"/>
    </row>
    <row r="172" spans="5:15" ht="13.5" customHeight="1" x14ac:dyDescent="0.3">
      <c r="E172" s="16"/>
      <c r="H172" s="12"/>
      <c r="I172" s="8"/>
      <c r="J172" s="11"/>
      <c r="K172" s="10"/>
      <c r="L172" s="11"/>
      <c r="M172" s="11"/>
      <c r="N172" s="11"/>
      <c r="O172" s="11"/>
    </row>
    <row r="173" spans="5:15" ht="13.5" customHeight="1" x14ac:dyDescent="0.3">
      <c r="E173" s="16"/>
      <c r="H173" s="12"/>
      <c r="I173" s="8"/>
      <c r="J173" s="11"/>
      <c r="K173" s="10"/>
      <c r="L173" s="11"/>
      <c r="M173" s="11"/>
      <c r="N173" s="11"/>
      <c r="O173" s="11"/>
    </row>
    <row r="174" spans="5:15" ht="13.5" customHeight="1" x14ac:dyDescent="0.3">
      <c r="E174" s="16"/>
      <c r="H174" s="12"/>
      <c r="I174" s="8"/>
      <c r="J174" s="11"/>
      <c r="K174" s="10"/>
      <c r="L174" s="11"/>
      <c r="M174" s="11"/>
      <c r="N174" s="11"/>
      <c r="O174" s="11"/>
    </row>
    <row r="175" spans="5:15" ht="13.5" customHeight="1" x14ac:dyDescent="0.3">
      <c r="E175" s="16"/>
      <c r="H175" s="12"/>
      <c r="I175" s="8"/>
      <c r="J175" s="11"/>
      <c r="K175" s="10"/>
      <c r="L175" s="11"/>
      <c r="M175" s="11"/>
      <c r="N175" s="11"/>
      <c r="O175" s="11"/>
    </row>
    <row r="176" spans="5:15" ht="13.5" customHeight="1" x14ac:dyDescent="0.3">
      <c r="E176" s="16"/>
      <c r="H176" s="12"/>
      <c r="I176" s="8"/>
      <c r="J176" s="11"/>
      <c r="K176" s="10"/>
      <c r="L176" s="11"/>
      <c r="M176" s="11"/>
      <c r="N176" s="11"/>
      <c r="O176" s="11"/>
    </row>
    <row r="177" spans="5:15" ht="13.5" customHeight="1" x14ac:dyDescent="0.3">
      <c r="E177" s="16"/>
      <c r="H177" s="12"/>
      <c r="I177" s="8"/>
      <c r="J177" s="11"/>
      <c r="K177" s="10"/>
      <c r="L177" s="11"/>
      <c r="M177" s="11"/>
      <c r="N177" s="11"/>
      <c r="O177" s="11"/>
    </row>
    <row r="178" spans="5:15" ht="13.5" customHeight="1" x14ac:dyDescent="0.3">
      <c r="E178" s="16"/>
      <c r="H178" s="12"/>
      <c r="I178" s="8"/>
      <c r="J178" s="11"/>
      <c r="K178" s="10"/>
      <c r="L178" s="11"/>
      <c r="M178" s="11"/>
      <c r="N178" s="11"/>
      <c r="O178" s="11"/>
    </row>
    <row r="179" spans="5:15" ht="13.5" customHeight="1" x14ac:dyDescent="0.3">
      <c r="E179" s="16"/>
      <c r="H179" s="12"/>
      <c r="I179" s="8"/>
      <c r="J179" s="11"/>
      <c r="K179" s="10"/>
      <c r="L179" s="11"/>
      <c r="M179" s="11"/>
      <c r="N179" s="11"/>
      <c r="O179" s="11"/>
    </row>
    <row r="180" spans="5:15" ht="13.5" customHeight="1" x14ac:dyDescent="0.3">
      <c r="E180" s="16"/>
      <c r="H180" s="12"/>
      <c r="I180" s="8"/>
      <c r="J180" s="11"/>
      <c r="K180" s="10"/>
      <c r="L180" s="11"/>
      <c r="M180" s="11"/>
      <c r="N180" s="11"/>
      <c r="O180" s="11"/>
    </row>
    <row r="181" spans="5:15" ht="13.5" customHeight="1" x14ac:dyDescent="0.3">
      <c r="E181" s="16"/>
      <c r="H181" s="12"/>
      <c r="I181" s="8"/>
      <c r="J181" s="11"/>
      <c r="K181" s="10"/>
      <c r="L181" s="11"/>
      <c r="M181" s="11"/>
      <c r="N181" s="11"/>
      <c r="O181" s="11"/>
    </row>
    <row r="182" spans="5:15" ht="13.5" customHeight="1" x14ac:dyDescent="0.3">
      <c r="E182" s="16"/>
      <c r="H182" s="12"/>
      <c r="I182" s="8"/>
      <c r="J182" s="11"/>
      <c r="K182" s="10"/>
      <c r="L182" s="11"/>
      <c r="M182" s="11"/>
      <c r="N182" s="11"/>
      <c r="O182" s="11"/>
    </row>
    <row r="183" spans="5:15" ht="13.5" customHeight="1" x14ac:dyDescent="0.3">
      <c r="E183" s="16"/>
      <c r="H183" s="12"/>
      <c r="I183" s="8"/>
      <c r="J183" s="11"/>
      <c r="K183" s="10"/>
      <c r="L183" s="11"/>
      <c r="M183" s="11"/>
      <c r="N183" s="11"/>
      <c r="O183" s="11"/>
    </row>
    <row r="184" spans="5:15" ht="13.5" customHeight="1" x14ac:dyDescent="0.3">
      <c r="E184" s="16"/>
      <c r="H184" s="12"/>
      <c r="I184" s="8"/>
      <c r="J184" s="11"/>
      <c r="K184" s="10"/>
      <c r="L184" s="11"/>
      <c r="M184" s="11"/>
      <c r="N184" s="11"/>
      <c r="O184" s="11"/>
    </row>
    <row r="185" spans="5:15" ht="13.5" customHeight="1" x14ac:dyDescent="0.3">
      <c r="E185" s="16"/>
      <c r="H185" s="12"/>
      <c r="I185" s="8"/>
      <c r="J185" s="11"/>
      <c r="K185" s="10"/>
      <c r="L185" s="11"/>
      <c r="M185" s="11"/>
      <c r="N185" s="11"/>
      <c r="O185" s="11"/>
    </row>
    <row r="186" spans="5:15" ht="13.5" customHeight="1" x14ac:dyDescent="0.3">
      <c r="E186" s="16"/>
      <c r="H186" s="12"/>
      <c r="I186" s="8"/>
      <c r="J186" s="11"/>
      <c r="K186" s="10"/>
      <c r="L186" s="11"/>
      <c r="M186" s="11"/>
      <c r="N186" s="11"/>
      <c r="O186" s="11"/>
    </row>
    <row r="187" spans="5:15" ht="13.5" customHeight="1" x14ac:dyDescent="0.3">
      <c r="E187" s="16"/>
      <c r="H187" s="12"/>
      <c r="I187" s="8"/>
      <c r="J187" s="11"/>
      <c r="K187" s="10"/>
      <c r="L187" s="11"/>
      <c r="M187" s="11"/>
      <c r="N187" s="11"/>
      <c r="O187" s="11"/>
    </row>
    <row r="188" spans="5:15" ht="13.5" customHeight="1" x14ac:dyDescent="0.3">
      <c r="E188" s="16"/>
      <c r="H188" s="12"/>
      <c r="I188" s="8"/>
      <c r="J188" s="11"/>
      <c r="K188" s="10"/>
      <c r="L188" s="11"/>
      <c r="M188" s="11"/>
      <c r="N188" s="11"/>
      <c r="O188" s="11"/>
    </row>
    <row r="189" spans="5:15" ht="13.5" customHeight="1" x14ac:dyDescent="0.3">
      <c r="E189" s="16"/>
      <c r="H189" s="12"/>
      <c r="I189" s="8"/>
      <c r="J189" s="11"/>
      <c r="K189" s="10"/>
      <c r="L189" s="11"/>
      <c r="M189" s="11"/>
      <c r="N189" s="11"/>
      <c r="O189" s="11"/>
    </row>
    <row r="190" spans="5:15" ht="13.5" customHeight="1" x14ac:dyDescent="0.3">
      <c r="E190" s="16"/>
      <c r="H190" s="12"/>
      <c r="I190" s="8"/>
      <c r="J190" s="11"/>
      <c r="K190" s="10"/>
      <c r="L190" s="11"/>
      <c r="M190" s="11"/>
      <c r="N190" s="11"/>
      <c r="O190" s="11"/>
    </row>
    <row r="191" spans="5:15" ht="13.5" customHeight="1" x14ac:dyDescent="0.3">
      <c r="E191" s="16"/>
      <c r="H191" s="12"/>
      <c r="I191" s="8"/>
      <c r="J191" s="11"/>
      <c r="K191" s="10"/>
      <c r="L191" s="11"/>
      <c r="M191" s="11"/>
      <c r="N191" s="11"/>
      <c r="O191" s="11"/>
    </row>
    <row r="192" spans="5:15" ht="13.5" customHeight="1" x14ac:dyDescent="0.3">
      <c r="E192" s="16"/>
      <c r="H192" s="12"/>
      <c r="I192" s="8"/>
      <c r="J192" s="11"/>
      <c r="K192" s="10"/>
      <c r="L192" s="11"/>
      <c r="M192" s="11"/>
      <c r="N192" s="11"/>
      <c r="O192" s="11"/>
    </row>
    <row r="193" spans="5:15" ht="13.5" customHeight="1" x14ac:dyDescent="0.3">
      <c r="E193" s="16"/>
      <c r="H193" s="12"/>
      <c r="I193" s="8"/>
      <c r="J193" s="11"/>
      <c r="K193" s="10"/>
      <c r="L193" s="11"/>
      <c r="M193" s="11"/>
      <c r="N193" s="11"/>
      <c r="O193" s="11"/>
    </row>
    <row r="194" spans="5:15" ht="13.5" customHeight="1" x14ac:dyDescent="0.3">
      <c r="E194" s="16"/>
      <c r="H194" s="12"/>
      <c r="I194" s="8"/>
      <c r="J194" s="11"/>
      <c r="K194" s="10"/>
      <c r="L194" s="11"/>
      <c r="M194" s="11"/>
      <c r="N194" s="11"/>
      <c r="O194" s="11"/>
    </row>
    <row r="195" spans="5:15" ht="13.5" customHeight="1" x14ac:dyDescent="0.3">
      <c r="E195" s="16"/>
      <c r="H195" s="12"/>
      <c r="I195" s="8"/>
      <c r="J195" s="11"/>
      <c r="K195" s="10"/>
      <c r="L195" s="11"/>
      <c r="M195" s="11"/>
      <c r="N195" s="11"/>
      <c r="O195" s="11"/>
    </row>
    <row r="196" spans="5:15" ht="13.5" customHeight="1" x14ac:dyDescent="0.3">
      <c r="E196" s="16"/>
      <c r="H196" s="12"/>
      <c r="I196" s="8"/>
      <c r="J196" s="11"/>
      <c r="K196" s="10"/>
      <c r="L196" s="11"/>
      <c r="M196" s="11"/>
      <c r="N196" s="11"/>
      <c r="O196" s="11"/>
    </row>
    <row r="197" spans="5:15" ht="13.5" customHeight="1" x14ac:dyDescent="0.3">
      <c r="E197" s="16"/>
      <c r="H197" s="12"/>
      <c r="I197" s="8"/>
      <c r="J197" s="11"/>
      <c r="K197" s="10"/>
      <c r="L197" s="11"/>
      <c r="M197" s="11"/>
      <c r="N197" s="11"/>
      <c r="O197" s="11"/>
    </row>
    <row r="198" spans="5:15" ht="13.5" customHeight="1" x14ac:dyDescent="0.3">
      <c r="E198" s="16"/>
      <c r="H198" s="12"/>
      <c r="I198" s="8"/>
      <c r="J198" s="11"/>
      <c r="K198" s="10"/>
      <c r="L198" s="11"/>
      <c r="M198" s="11"/>
      <c r="N198" s="11"/>
      <c r="O198" s="11"/>
    </row>
    <row r="199" spans="5:15" ht="13.5" customHeight="1" x14ac:dyDescent="0.3">
      <c r="E199" s="16"/>
      <c r="H199" s="12"/>
      <c r="I199" s="8"/>
      <c r="J199" s="11"/>
      <c r="K199" s="10"/>
      <c r="L199" s="11"/>
      <c r="M199" s="11"/>
      <c r="N199" s="11"/>
      <c r="O199" s="11"/>
    </row>
    <row r="200" spans="5:15" ht="13.5" customHeight="1" x14ac:dyDescent="0.3">
      <c r="E200" s="16"/>
      <c r="H200" s="12"/>
      <c r="I200" s="8"/>
      <c r="J200" s="11"/>
      <c r="K200" s="10"/>
      <c r="L200" s="11"/>
      <c r="M200" s="11"/>
      <c r="N200" s="11"/>
      <c r="O200" s="11"/>
    </row>
    <row r="201" spans="5:15" ht="13.5" customHeight="1" x14ac:dyDescent="0.3">
      <c r="E201" s="16"/>
      <c r="H201" s="12"/>
      <c r="I201" s="8"/>
      <c r="J201" s="11"/>
      <c r="K201" s="10"/>
      <c r="L201" s="11"/>
      <c r="M201" s="11"/>
      <c r="N201" s="11"/>
      <c r="O201" s="11"/>
    </row>
    <row r="202" spans="5:15" ht="13.5" customHeight="1" x14ac:dyDescent="0.3">
      <c r="E202" s="16"/>
      <c r="H202" s="12"/>
      <c r="I202" s="8"/>
      <c r="J202" s="11"/>
      <c r="K202" s="10"/>
      <c r="L202" s="11"/>
      <c r="M202" s="11"/>
      <c r="N202" s="11"/>
      <c r="O202" s="11"/>
    </row>
    <row r="203" spans="5:15" ht="13.5" customHeight="1" x14ac:dyDescent="0.3">
      <c r="E203" s="16"/>
      <c r="H203" s="12"/>
      <c r="I203" s="8"/>
      <c r="J203" s="11"/>
      <c r="K203" s="10"/>
      <c r="L203" s="11"/>
      <c r="M203" s="11"/>
      <c r="N203" s="11"/>
      <c r="O203" s="11"/>
    </row>
    <row r="204" spans="5:15" ht="13.5" customHeight="1" x14ac:dyDescent="0.3">
      <c r="E204" s="16"/>
      <c r="H204" s="12"/>
      <c r="I204" s="8"/>
      <c r="J204" s="11"/>
      <c r="K204" s="10"/>
      <c r="L204" s="11"/>
      <c r="M204" s="11"/>
      <c r="N204" s="11"/>
      <c r="O204" s="11"/>
    </row>
    <row r="205" spans="5:15" ht="13.5" customHeight="1" x14ac:dyDescent="0.3">
      <c r="E205" s="16"/>
      <c r="H205" s="12"/>
      <c r="I205" s="8"/>
      <c r="J205" s="11"/>
      <c r="K205" s="10"/>
      <c r="L205" s="11"/>
      <c r="M205" s="11"/>
      <c r="N205" s="11"/>
      <c r="O205" s="11"/>
    </row>
    <row r="206" spans="5:15" ht="13.5" customHeight="1" x14ac:dyDescent="0.3">
      <c r="E206" s="16"/>
      <c r="H206" s="12"/>
      <c r="I206" s="8"/>
      <c r="J206" s="11"/>
      <c r="K206" s="10"/>
      <c r="L206" s="11"/>
      <c r="M206" s="11"/>
      <c r="N206" s="11"/>
      <c r="O206" s="11"/>
    </row>
    <row r="207" spans="5:15" ht="13.5" customHeight="1" x14ac:dyDescent="0.3">
      <c r="E207" s="16"/>
      <c r="H207" s="12"/>
      <c r="I207" s="8"/>
      <c r="J207" s="11"/>
      <c r="K207" s="10"/>
      <c r="L207" s="11"/>
      <c r="M207" s="11"/>
      <c r="N207" s="11"/>
      <c r="O207" s="11"/>
    </row>
    <row r="208" spans="5:15" ht="13.5" customHeight="1" x14ac:dyDescent="0.3">
      <c r="E208" s="16"/>
      <c r="H208" s="12"/>
      <c r="I208" s="8"/>
      <c r="J208" s="11"/>
      <c r="K208" s="10"/>
      <c r="L208" s="11"/>
      <c r="M208" s="11"/>
      <c r="N208" s="11"/>
      <c r="O208" s="11"/>
    </row>
    <row r="209" spans="5:15" ht="13.5" customHeight="1" x14ac:dyDescent="0.3">
      <c r="E209" s="16"/>
      <c r="H209" s="12"/>
      <c r="I209" s="8"/>
      <c r="J209" s="11"/>
      <c r="K209" s="10"/>
      <c r="L209" s="11"/>
      <c r="M209" s="11"/>
      <c r="N209" s="11"/>
      <c r="O209" s="11"/>
    </row>
    <row r="210" spans="5:15" ht="13.5" customHeight="1" x14ac:dyDescent="0.3">
      <c r="E210" s="16"/>
      <c r="H210" s="12"/>
      <c r="I210" s="8"/>
      <c r="J210" s="11"/>
      <c r="K210" s="10"/>
      <c r="L210" s="11"/>
      <c r="M210" s="11"/>
      <c r="N210" s="11"/>
      <c r="O210" s="11"/>
    </row>
    <row r="211" spans="5:15" ht="13.5" customHeight="1" x14ac:dyDescent="0.3">
      <c r="E211" s="16"/>
      <c r="H211" s="12"/>
      <c r="I211" s="8"/>
      <c r="J211" s="11"/>
      <c r="K211" s="10"/>
      <c r="L211" s="11"/>
      <c r="M211" s="11"/>
      <c r="N211" s="11"/>
      <c r="O211" s="11"/>
    </row>
    <row r="212" spans="5:15" ht="13.5" customHeight="1" x14ac:dyDescent="0.3">
      <c r="E212" s="16"/>
      <c r="H212" s="12"/>
      <c r="I212" s="8"/>
      <c r="J212" s="11"/>
      <c r="K212" s="10"/>
      <c r="L212" s="11"/>
      <c r="M212" s="11"/>
      <c r="N212" s="11"/>
      <c r="O212" s="11"/>
    </row>
    <row r="213" spans="5:15" ht="13.5" customHeight="1" x14ac:dyDescent="0.3">
      <c r="E213" s="16"/>
      <c r="H213" s="12"/>
      <c r="I213" s="8"/>
      <c r="J213" s="11"/>
      <c r="K213" s="10"/>
      <c r="L213" s="11"/>
      <c r="M213" s="11"/>
      <c r="N213" s="11"/>
      <c r="O213" s="11"/>
    </row>
    <row r="214" spans="5:15" ht="13.5" customHeight="1" x14ac:dyDescent="0.3">
      <c r="E214" s="16"/>
      <c r="H214" s="12"/>
      <c r="I214" s="8"/>
      <c r="J214" s="11"/>
      <c r="K214" s="10"/>
      <c r="L214" s="11"/>
      <c r="M214" s="11"/>
      <c r="N214" s="11"/>
      <c r="O214" s="11"/>
    </row>
    <row r="215" spans="5:15" ht="13.5" customHeight="1" x14ac:dyDescent="0.3">
      <c r="E215" s="16"/>
      <c r="H215" s="12"/>
      <c r="I215" s="8"/>
      <c r="J215" s="11"/>
      <c r="K215" s="10"/>
      <c r="L215" s="11"/>
      <c r="M215" s="11"/>
      <c r="N215" s="11"/>
      <c r="O215" s="11"/>
    </row>
    <row r="216" spans="5:15" ht="13.5" customHeight="1" x14ac:dyDescent="0.3">
      <c r="E216" s="16"/>
      <c r="H216" s="12"/>
      <c r="I216" s="8"/>
      <c r="J216" s="11"/>
      <c r="K216" s="10"/>
      <c r="L216" s="11"/>
      <c r="M216" s="11"/>
      <c r="N216" s="11"/>
      <c r="O216" s="11"/>
    </row>
    <row r="217" spans="5:15" ht="13.5" customHeight="1" x14ac:dyDescent="0.3">
      <c r="E217" s="16"/>
      <c r="H217" s="12"/>
      <c r="I217" s="8"/>
      <c r="J217" s="11"/>
      <c r="K217" s="10"/>
      <c r="L217" s="11"/>
      <c r="M217" s="11"/>
      <c r="N217" s="11"/>
      <c r="O217" s="11"/>
    </row>
    <row r="218" spans="5:15" ht="13.5" customHeight="1" x14ac:dyDescent="0.3">
      <c r="E218" s="16"/>
      <c r="H218" s="12"/>
      <c r="I218" s="8"/>
      <c r="J218" s="11"/>
      <c r="K218" s="10"/>
      <c r="L218" s="11"/>
      <c r="M218" s="11"/>
      <c r="N218" s="11"/>
      <c r="O218" s="11"/>
    </row>
    <row r="219" spans="5:15" ht="13.5" customHeight="1" x14ac:dyDescent="0.3">
      <c r="E219" s="16"/>
      <c r="H219" s="12"/>
      <c r="I219" s="8"/>
      <c r="J219" s="11"/>
      <c r="K219" s="10"/>
      <c r="L219" s="11"/>
      <c r="M219" s="11"/>
      <c r="N219" s="11"/>
      <c r="O219" s="11"/>
    </row>
    <row r="220" spans="5:15" ht="13.5" customHeight="1" x14ac:dyDescent="0.3">
      <c r="E220" s="16"/>
      <c r="H220" s="12"/>
      <c r="I220" s="8"/>
      <c r="J220" s="11"/>
      <c r="K220" s="10"/>
      <c r="L220" s="11"/>
      <c r="M220" s="11"/>
      <c r="N220" s="11"/>
      <c r="O220" s="11"/>
    </row>
    <row r="221" spans="5:15" ht="13.5" customHeight="1" x14ac:dyDescent="0.3">
      <c r="E221" s="16"/>
      <c r="H221" s="12"/>
      <c r="I221" s="8"/>
      <c r="J221" s="11"/>
      <c r="K221" s="10"/>
      <c r="L221" s="11"/>
      <c r="M221" s="11"/>
      <c r="N221" s="11"/>
      <c r="O221" s="11"/>
    </row>
    <row r="222" spans="5:15" ht="13.5" customHeight="1" x14ac:dyDescent="0.3">
      <c r="E222" s="16"/>
      <c r="H222" s="12"/>
      <c r="I222" s="8"/>
      <c r="J222" s="11"/>
      <c r="K222" s="10"/>
      <c r="L222" s="11"/>
      <c r="M222" s="11"/>
      <c r="N222" s="11"/>
      <c r="O222" s="11"/>
    </row>
    <row r="223" spans="5:15" ht="13.5" customHeight="1" x14ac:dyDescent="0.3">
      <c r="E223" s="16"/>
      <c r="H223" s="12"/>
      <c r="I223" s="8"/>
      <c r="J223" s="11"/>
      <c r="K223" s="10"/>
      <c r="L223" s="11"/>
      <c r="M223" s="11"/>
      <c r="N223" s="11"/>
      <c r="O223" s="11"/>
    </row>
    <row r="224" spans="5:15" ht="13.5" customHeight="1" x14ac:dyDescent="0.3">
      <c r="E224" s="16"/>
      <c r="H224" s="12"/>
      <c r="I224" s="8"/>
      <c r="J224" s="11"/>
      <c r="K224" s="10"/>
      <c r="L224" s="11"/>
      <c r="M224" s="11"/>
      <c r="N224" s="11"/>
      <c r="O224" s="11"/>
    </row>
    <row r="225" spans="5:15" ht="13.5" customHeight="1" x14ac:dyDescent="0.3">
      <c r="E225" s="16"/>
      <c r="H225" s="12"/>
      <c r="I225" s="8"/>
      <c r="J225" s="11"/>
      <c r="K225" s="10"/>
      <c r="L225" s="11"/>
      <c r="M225" s="11"/>
      <c r="N225" s="11"/>
      <c r="O225" s="11"/>
    </row>
    <row r="226" spans="5:15" ht="13.5" customHeight="1" x14ac:dyDescent="0.3">
      <c r="E226" s="16"/>
      <c r="H226" s="12"/>
      <c r="I226" s="8"/>
      <c r="J226" s="11"/>
      <c r="K226" s="10"/>
      <c r="L226" s="11"/>
      <c r="M226" s="11"/>
      <c r="N226" s="11"/>
      <c r="O226" s="11"/>
    </row>
    <row r="227" spans="5:15" ht="13.5" customHeight="1" x14ac:dyDescent="0.3">
      <c r="E227" s="16"/>
      <c r="H227" s="12"/>
      <c r="I227" s="8"/>
      <c r="J227" s="11"/>
      <c r="K227" s="10"/>
      <c r="L227" s="11"/>
      <c r="M227" s="11"/>
      <c r="N227" s="11"/>
      <c r="O227" s="11"/>
    </row>
    <row r="228" spans="5:15" ht="13.5" customHeight="1" x14ac:dyDescent="0.3">
      <c r="E228" s="16"/>
      <c r="H228" s="12"/>
      <c r="I228" s="8"/>
      <c r="J228" s="11"/>
      <c r="K228" s="10"/>
      <c r="L228" s="11"/>
      <c r="M228" s="11"/>
      <c r="N228" s="11"/>
      <c r="O228" s="11"/>
    </row>
    <row r="229" spans="5:15" ht="13.5" customHeight="1" x14ac:dyDescent="0.3">
      <c r="E229" s="16"/>
      <c r="H229" s="12"/>
      <c r="I229" s="8"/>
      <c r="J229" s="11"/>
      <c r="K229" s="10"/>
      <c r="L229" s="11"/>
      <c r="M229" s="11"/>
      <c r="N229" s="11"/>
      <c r="O229" s="11"/>
    </row>
    <row r="230" spans="5:15" ht="13.5" customHeight="1" x14ac:dyDescent="0.3">
      <c r="E230" s="16"/>
      <c r="H230" s="12"/>
      <c r="I230" s="8"/>
      <c r="J230" s="11"/>
      <c r="K230" s="10"/>
      <c r="L230" s="11"/>
      <c r="M230" s="11"/>
      <c r="N230" s="11"/>
      <c r="O230" s="11"/>
    </row>
    <row r="231" spans="5:15" ht="13.5" customHeight="1" x14ac:dyDescent="0.3">
      <c r="E231" s="16"/>
      <c r="H231" s="12"/>
      <c r="I231" s="8"/>
      <c r="J231" s="11"/>
      <c r="K231" s="10"/>
      <c r="L231" s="11"/>
      <c r="M231" s="11"/>
      <c r="N231" s="11"/>
      <c r="O231" s="11"/>
    </row>
    <row r="232" spans="5:15" ht="13.5" customHeight="1" x14ac:dyDescent="0.3">
      <c r="E232" s="16"/>
      <c r="H232" s="12"/>
      <c r="I232" s="8"/>
      <c r="J232" s="11"/>
      <c r="K232" s="10"/>
      <c r="L232" s="11"/>
      <c r="M232" s="11"/>
      <c r="N232" s="11"/>
      <c r="O232" s="11"/>
    </row>
    <row r="233" spans="5:15" ht="13.5" customHeight="1" x14ac:dyDescent="0.3">
      <c r="E233" s="16"/>
      <c r="H233" s="12"/>
      <c r="I233" s="8"/>
      <c r="J233" s="11"/>
      <c r="K233" s="10"/>
      <c r="L233" s="11"/>
      <c r="M233" s="11"/>
      <c r="N233" s="11"/>
      <c r="O233" s="11"/>
    </row>
    <row r="234" spans="5:15" ht="13.5" customHeight="1" x14ac:dyDescent="0.3">
      <c r="E234" s="16"/>
      <c r="H234" s="12"/>
      <c r="I234" s="8"/>
      <c r="J234" s="11"/>
      <c r="K234" s="10"/>
      <c r="L234" s="11"/>
      <c r="M234" s="11"/>
      <c r="N234" s="11"/>
      <c r="O234" s="11"/>
    </row>
    <row r="235" spans="5:15" ht="13.5" customHeight="1" x14ac:dyDescent="0.3">
      <c r="E235" s="16"/>
      <c r="H235" s="12"/>
      <c r="I235" s="8"/>
      <c r="J235" s="11"/>
      <c r="K235" s="10"/>
      <c r="L235" s="11"/>
      <c r="M235" s="11"/>
      <c r="N235" s="11"/>
      <c r="O235" s="11"/>
    </row>
    <row r="236" spans="5:15" ht="13.5" customHeight="1" x14ac:dyDescent="0.3">
      <c r="E236" s="16"/>
      <c r="H236" s="12"/>
      <c r="I236" s="8"/>
      <c r="J236" s="11"/>
      <c r="K236" s="10"/>
      <c r="L236" s="11"/>
      <c r="M236" s="11"/>
      <c r="N236" s="11"/>
      <c r="O236" s="11"/>
    </row>
    <row r="237" spans="5:15" ht="13.5" customHeight="1" x14ac:dyDescent="0.3">
      <c r="E237" s="16"/>
      <c r="H237" s="12"/>
      <c r="I237" s="8"/>
      <c r="J237" s="11"/>
      <c r="K237" s="10"/>
      <c r="L237" s="11"/>
      <c r="M237" s="11"/>
      <c r="N237" s="11"/>
      <c r="O237" s="11"/>
    </row>
    <row r="238" spans="5:15" ht="13.5" customHeight="1" x14ac:dyDescent="0.3">
      <c r="E238" s="16"/>
      <c r="H238" s="12"/>
      <c r="I238" s="8"/>
      <c r="J238" s="11"/>
      <c r="K238" s="10"/>
      <c r="L238" s="11"/>
      <c r="M238" s="11"/>
      <c r="N238" s="11"/>
      <c r="O238" s="11"/>
    </row>
    <row r="239" spans="5:15" ht="13.5" customHeight="1" x14ac:dyDescent="0.3">
      <c r="E239" s="16"/>
      <c r="H239" s="12"/>
      <c r="I239" s="8"/>
      <c r="J239" s="11"/>
      <c r="K239" s="10"/>
      <c r="L239" s="11"/>
      <c r="M239" s="11"/>
      <c r="N239" s="11"/>
      <c r="O239" s="11"/>
    </row>
    <row r="240" spans="5:15" ht="13.5" customHeight="1" x14ac:dyDescent="0.3">
      <c r="E240" s="16"/>
      <c r="H240" s="12"/>
      <c r="I240" s="8"/>
      <c r="J240" s="11"/>
      <c r="K240" s="10"/>
      <c r="L240" s="11"/>
      <c r="M240" s="11"/>
      <c r="N240" s="11"/>
      <c r="O240" s="11"/>
    </row>
    <row r="241" spans="5:15" ht="13.5" customHeight="1" x14ac:dyDescent="0.3">
      <c r="E241" s="16"/>
      <c r="H241" s="12"/>
      <c r="I241" s="8"/>
      <c r="J241" s="11"/>
      <c r="K241" s="10"/>
      <c r="L241" s="11"/>
      <c r="M241" s="11"/>
      <c r="N241" s="11"/>
      <c r="O241" s="11"/>
    </row>
    <row r="242" spans="5:15" ht="13.5" customHeight="1" x14ac:dyDescent="0.3">
      <c r="E242" s="16"/>
      <c r="H242" s="12"/>
      <c r="I242" s="8"/>
      <c r="J242" s="11"/>
      <c r="K242" s="10"/>
      <c r="L242" s="11"/>
      <c r="M242" s="11"/>
      <c r="N242" s="11"/>
      <c r="O242" s="11"/>
    </row>
    <row r="243" spans="5:15" ht="13.5" customHeight="1" x14ac:dyDescent="0.3">
      <c r="E243" s="16"/>
      <c r="H243" s="12"/>
      <c r="I243" s="8"/>
      <c r="J243" s="11"/>
      <c r="K243" s="10"/>
      <c r="L243" s="11"/>
      <c r="M243" s="11"/>
      <c r="N243" s="11"/>
      <c r="O243" s="11"/>
    </row>
    <row r="244" spans="5:15" ht="13.5" customHeight="1" x14ac:dyDescent="0.3">
      <c r="E244" s="16"/>
      <c r="H244" s="12"/>
      <c r="I244" s="8"/>
      <c r="J244" s="11"/>
      <c r="K244" s="10"/>
      <c r="L244" s="11"/>
      <c r="M244" s="11"/>
      <c r="N244" s="11"/>
      <c r="O244" s="11"/>
    </row>
    <row r="245" spans="5:15" ht="13.5" customHeight="1" x14ac:dyDescent="0.3">
      <c r="E245" s="16"/>
      <c r="H245" s="12"/>
      <c r="I245" s="8"/>
      <c r="J245" s="11"/>
      <c r="K245" s="10"/>
      <c r="L245" s="11"/>
      <c r="M245" s="11"/>
      <c r="N245" s="11"/>
      <c r="O245" s="11"/>
    </row>
    <row r="246" spans="5:15" ht="13.5" customHeight="1" x14ac:dyDescent="0.3">
      <c r="E246" s="16"/>
      <c r="H246" s="12"/>
      <c r="I246" s="8"/>
      <c r="J246" s="11"/>
      <c r="K246" s="10"/>
      <c r="L246" s="11"/>
      <c r="M246" s="11"/>
      <c r="N246" s="11"/>
      <c r="O246" s="11"/>
    </row>
    <row r="247" spans="5:15" ht="13.5" customHeight="1" x14ac:dyDescent="0.3">
      <c r="E247" s="16"/>
      <c r="H247" s="12"/>
      <c r="I247" s="8"/>
      <c r="J247" s="11"/>
      <c r="K247" s="10"/>
      <c r="L247" s="11"/>
      <c r="M247" s="11"/>
      <c r="N247" s="11"/>
      <c r="O247" s="11"/>
    </row>
    <row r="248" spans="5:15" ht="13.5" customHeight="1" x14ac:dyDescent="0.3">
      <c r="E248" s="16"/>
      <c r="H248" s="12"/>
      <c r="I248" s="8"/>
      <c r="J248" s="11"/>
      <c r="K248" s="10"/>
      <c r="L248" s="11"/>
      <c r="M248" s="11"/>
      <c r="N248" s="11"/>
      <c r="O248" s="11"/>
    </row>
    <row r="249" spans="5:15" ht="13.5" customHeight="1" x14ac:dyDescent="0.3">
      <c r="E249" s="16"/>
      <c r="H249" s="12"/>
      <c r="I249" s="8"/>
      <c r="J249" s="11"/>
      <c r="K249" s="10"/>
      <c r="L249" s="11"/>
      <c r="M249" s="11"/>
      <c r="N249" s="11"/>
      <c r="O249" s="11"/>
    </row>
    <row r="250" spans="5:15" ht="13.5" customHeight="1" x14ac:dyDescent="0.3">
      <c r="E250" s="16"/>
      <c r="H250" s="12"/>
      <c r="I250" s="8"/>
      <c r="J250" s="11"/>
      <c r="K250" s="10"/>
      <c r="L250" s="11"/>
      <c r="M250" s="11"/>
      <c r="N250" s="11"/>
      <c r="O250" s="11"/>
    </row>
    <row r="251" spans="5:15" ht="13.5" customHeight="1" x14ac:dyDescent="0.3">
      <c r="E251" s="16"/>
      <c r="H251" s="12"/>
      <c r="I251" s="8"/>
      <c r="J251" s="11"/>
      <c r="K251" s="10"/>
      <c r="L251" s="11"/>
      <c r="M251" s="11"/>
      <c r="N251" s="11"/>
      <c r="O251" s="11"/>
    </row>
    <row r="252" spans="5:15" ht="13.5" customHeight="1" x14ac:dyDescent="0.3">
      <c r="E252" s="16"/>
      <c r="H252" s="12"/>
      <c r="I252" s="8"/>
      <c r="J252" s="11"/>
      <c r="K252" s="10"/>
      <c r="L252" s="11"/>
      <c r="M252" s="11"/>
      <c r="N252" s="11"/>
      <c r="O252" s="11"/>
    </row>
    <row r="253" spans="5:15" ht="13.5" customHeight="1" x14ac:dyDescent="0.3">
      <c r="E253" s="16"/>
      <c r="H253" s="12"/>
      <c r="I253" s="8"/>
      <c r="J253" s="11"/>
      <c r="K253" s="10"/>
      <c r="L253" s="11"/>
      <c r="M253" s="11"/>
      <c r="N253" s="11"/>
      <c r="O253" s="11"/>
    </row>
    <row r="254" spans="5:15" ht="13.5" customHeight="1" x14ac:dyDescent="0.3">
      <c r="E254" s="16"/>
      <c r="H254" s="12"/>
      <c r="I254" s="8"/>
      <c r="J254" s="11"/>
      <c r="K254" s="10"/>
      <c r="L254" s="11"/>
      <c r="M254" s="11"/>
      <c r="N254" s="11"/>
      <c r="O254" s="11"/>
    </row>
    <row r="255" spans="5:15" ht="13.5" customHeight="1" x14ac:dyDescent="0.3">
      <c r="E255" s="16"/>
      <c r="H255" s="12"/>
      <c r="I255" s="8"/>
      <c r="J255" s="11"/>
      <c r="K255" s="10"/>
      <c r="L255" s="11"/>
      <c r="M255" s="11"/>
      <c r="N255" s="11"/>
      <c r="O255" s="11"/>
    </row>
    <row r="256" spans="5:15" ht="13.5" customHeight="1" x14ac:dyDescent="0.3">
      <c r="E256" s="16"/>
      <c r="H256" s="12"/>
      <c r="I256" s="8"/>
      <c r="J256" s="11"/>
      <c r="K256" s="10"/>
      <c r="L256" s="11"/>
      <c r="M256" s="11"/>
      <c r="N256" s="11"/>
      <c r="O256" s="11"/>
    </row>
    <row r="257" spans="5:15" ht="13.5" customHeight="1" x14ac:dyDescent="0.3">
      <c r="E257" s="16"/>
      <c r="H257" s="12"/>
      <c r="I257" s="8"/>
      <c r="J257" s="11"/>
      <c r="K257" s="10"/>
      <c r="L257" s="11"/>
      <c r="M257" s="11"/>
      <c r="N257" s="11"/>
      <c r="O257" s="11"/>
    </row>
    <row r="258" spans="5:15" ht="13.5" customHeight="1" x14ac:dyDescent="0.3">
      <c r="E258" s="16"/>
      <c r="H258" s="12"/>
      <c r="I258" s="8"/>
      <c r="J258" s="11"/>
      <c r="K258" s="10"/>
      <c r="L258" s="11"/>
      <c r="M258" s="11"/>
      <c r="N258" s="11"/>
      <c r="O258" s="11"/>
    </row>
    <row r="259" spans="5:15" ht="13.5" customHeight="1" x14ac:dyDescent="0.3">
      <c r="E259" s="16"/>
      <c r="H259" s="12"/>
      <c r="I259" s="8"/>
      <c r="J259" s="11"/>
      <c r="K259" s="10"/>
      <c r="L259" s="11"/>
      <c r="M259" s="11"/>
      <c r="N259" s="11"/>
      <c r="O259" s="11"/>
    </row>
    <row r="260" spans="5:15" ht="13.5" customHeight="1" x14ac:dyDescent="0.3">
      <c r="E260" s="16"/>
      <c r="H260" s="12"/>
      <c r="I260" s="8"/>
      <c r="J260" s="11"/>
      <c r="K260" s="10"/>
      <c r="L260" s="11"/>
      <c r="M260" s="11"/>
      <c r="N260" s="11"/>
      <c r="O260" s="11"/>
    </row>
    <row r="261" spans="5:15" ht="13.5" customHeight="1" x14ac:dyDescent="0.3">
      <c r="E261" s="16"/>
      <c r="H261" s="12"/>
      <c r="I261" s="8"/>
      <c r="J261" s="11"/>
      <c r="K261" s="10"/>
      <c r="L261" s="11"/>
      <c r="M261" s="11"/>
      <c r="N261" s="11"/>
      <c r="O261" s="11"/>
    </row>
    <row r="262" spans="5:15" ht="13.5" customHeight="1" x14ac:dyDescent="0.3">
      <c r="E262" s="16"/>
      <c r="H262" s="12"/>
      <c r="I262" s="8"/>
      <c r="J262" s="11"/>
      <c r="K262" s="10"/>
      <c r="L262" s="11"/>
      <c r="M262" s="11"/>
      <c r="N262" s="11"/>
      <c r="O262" s="11"/>
    </row>
    <row r="263" spans="5:15" ht="13.5" customHeight="1" x14ac:dyDescent="0.3">
      <c r="E263" s="16"/>
      <c r="H263" s="12"/>
      <c r="I263" s="8"/>
      <c r="J263" s="11"/>
      <c r="K263" s="10"/>
      <c r="L263" s="11"/>
      <c r="M263" s="11"/>
      <c r="N263" s="11"/>
      <c r="O263" s="11"/>
    </row>
    <row r="264" spans="5:15" ht="13.5" customHeight="1" x14ac:dyDescent="0.3">
      <c r="E264" s="16"/>
      <c r="H264" s="12"/>
      <c r="I264" s="8"/>
      <c r="J264" s="11"/>
      <c r="K264" s="10"/>
      <c r="L264" s="11"/>
      <c r="M264" s="11"/>
      <c r="N264" s="11"/>
      <c r="O264" s="11"/>
    </row>
    <row r="265" spans="5:15" ht="13.5" customHeight="1" x14ac:dyDescent="0.3">
      <c r="E265" s="16"/>
      <c r="H265" s="12"/>
      <c r="I265" s="8"/>
      <c r="J265" s="11"/>
      <c r="K265" s="10"/>
      <c r="L265" s="11"/>
      <c r="M265" s="11"/>
      <c r="N265" s="11"/>
      <c r="O265" s="11"/>
    </row>
    <row r="266" spans="5:15" ht="13.5" customHeight="1" x14ac:dyDescent="0.3">
      <c r="E266" s="16"/>
      <c r="H266" s="12"/>
      <c r="I266" s="8"/>
      <c r="J266" s="11"/>
      <c r="K266" s="10"/>
      <c r="L266" s="11"/>
      <c r="M266" s="11"/>
      <c r="N266" s="11"/>
      <c r="O266" s="11"/>
    </row>
    <row r="267" spans="5:15" ht="13.5" customHeight="1" x14ac:dyDescent="0.3">
      <c r="E267" s="16"/>
      <c r="H267" s="12"/>
      <c r="I267" s="8"/>
      <c r="J267" s="11"/>
      <c r="K267" s="10"/>
      <c r="L267" s="11"/>
      <c r="M267" s="11"/>
      <c r="N267" s="11"/>
      <c r="O267" s="11"/>
    </row>
    <row r="268" spans="5:15" ht="13.5" customHeight="1" x14ac:dyDescent="0.3">
      <c r="E268" s="16"/>
      <c r="H268" s="12"/>
      <c r="I268" s="8"/>
      <c r="J268" s="11"/>
      <c r="K268" s="10"/>
      <c r="L268" s="11"/>
      <c r="M268" s="11"/>
      <c r="N268" s="11"/>
      <c r="O268" s="11"/>
    </row>
    <row r="269" spans="5:15" ht="13.5" customHeight="1" x14ac:dyDescent="0.3">
      <c r="E269" s="16"/>
      <c r="H269" s="12"/>
      <c r="I269" s="8"/>
      <c r="J269" s="11"/>
      <c r="K269" s="10"/>
      <c r="L269" s="11"/>
      <c r="M269" s="11"/>
      <c r="N269" s="11"/>
      <c r="O269" s="11"/>
    </row>
    <row r="270" spans="5:15" ht="13.5" customHeight="1" x14ac:dyDescent="0.3">
      <c r="E270" s="16"/>
      <c r="H270" s="12"/>
      <c r="I270" s="8"/>
      <c r="J270" s="11"/>
      <c r="K270" s="10"/>
      <c r="L270" s="11"/>
      <c r="M270" s="11"/>
      <c r="N270" s="11"/>
      <c r="O270" s="11"/>
    </row>
    <row r="271" spans="5:15" ht="13.5" customHeight="1" x14ac:dyDescent="0.3">
      <c r="E271" s="16"/>
      <c r="H271" s="12"/>
      <c r="I271" s="8"/>
      <c r="J271" s="11"/>
      <c r="K271" s="10"/>
      <c r="L271" s="11"/>
      <c r="M271" s="11"/>
      <c r="N271" s="11"/>
      <c r="O271" s="11"/>
    </row>
    <row r="272" spans="5:15" ht="13.5" customHeight="1" x14ac:dyDescent="0.3">
      <c r="E272" s="16"/>
      <c r="H272" s="12"/>
      <c r="I272" s="8"/>
      <c r="J272" s="11"/>
      <c r="K272" s="10"/>
      <c r="L272" s="11"/>
      <c r="M272" s="11"/>
      <c r="N272" s="11"/>
      <c r="O272" s="11"/>
    </row>
    <row r="273" spans="5:15" ht="13.5" customHeight="1" x14ac:dyDescent="0.3">
      <c r="E273" s="16"/>
      <c r="H273" s="12"/>
      <c r="I273" s="8"/>
      <c r="J273" s="11"/>
      <c r="K273" s="10"/>
      <c r="L273" s="11"/>
      <c r="M273" s="11"/>
      <c r="N273" s="11"/>
      <c r="O273" s="11"/>
    </row>
    <row r="274" spans="5:15" ht="13.5" customHeight="1" x14ac:dyDescent="0.3">
      <c r="E274" s="16"/>
      <c r="H274" s="12"/>
      <c r="I274" s="8"/>
      <c r="J274" s="11"/>
      <c r="K274" s="10"/>
      <c r="L274" s="11"/>
      <c r="M274" s="11"/>
      <c r="N274" s="11"/>
      <c r="O274" s="11"/>
    </row>
    <row r="275" spans="5:15" ht="13.5" customHeight="1" x14ac:dyDescent="0.3">
      <c r="E275" s="16"/>
      <c r="H275" s="12"/>
      <c r="I275" s="8"/>
      <c r="J275" s="11"/>
      <c r="K275" s="10"/>
      <c r="L275" s="11"/>
      <c r="M275" s="11"/>
      <c r="N275" s="11"/>
      <c r="O275" s="11"/>
    </row>
    <row r="276" spans="5:15" ht="13.5" customHeight="1" x14ac:dyDescent="0.3">
      <c r="E276" s="16"/>
      <c r="H276" s="12"/>
      <c r="I276" s="8"/>
      <c r="J276" s="11"/>
      <c r="K276" s="10"/>
      <c r="L276" s="11"/>
      <c r="M276" s="11"/>
      <c r="N276" s="11"/>
      <c r="O276" s="11"/>
    </row>
    <row r="277" spans="5:15" ht="13.5" customHeight="1" x14ac:dyDescent="0.3">
      <c r="E277" s="16"/>
      <c r="H277" s="12"/>
      <c r="I277" s="8"/>
      <c r="J277" s="11"/>
      <c r="K277" s="10"/>
      <c r="L277" s="11"/>
      <c r="M277" s="11"/>
      <c r="N277" s="11"/>
      <c r="O277" s="11"/>
    </row>
    <row r="278" spans="5:15" ht="13.5" customHeight="1" x14ac:dyDescent="0.3">
      <c r="E278" s="16"/>
      <c r="H278" s="12"/>
      <c r="I278" s="8"/>
      <c r="J278" s="11"/>
      <c r="K278" s="10"/>
      <c r="L278" s="11"/>
      <c r="M278" s="11"/>
      <c r="N278" s="11"/>
      <c r="O278" s="11"/>
    </row>
    <row r="279" spans="5:15" ht="13.5" customHeight="1" x14ac:dyDescent="0.3">
      <c r="E279" s="16"/>
      <c r="H279" s="12"/>
      <c r="I279" s="8"/>
      <c r="J279" s="11"/>
      <c r="K279" s="10"/>
      <c r="L279" s="11"/>
      <c r="M279" s="11"/>
      <c r="N279" s="11"/>
      <c r="O279" s="11"/>
    </row>
    <row r="280" spans="5:15" ht="13.5" customHeight="1" x14ac:dyDescent="0.3">
      <c r="E280" s="16"/>
      <c r="H280" s="12"/>
      <c r="I280" s="8"/>
      <c r="J280" s="11"/>
      <c r="K280" s="10"/>
      <c r="L280" s="11"/>
      <c r="M280" s="11"/>
      <c r="N280" s="11"/>
      <c r="O280" s="11"/>
    </row>
    <row r="281" spans="5:15" ht="13.5" customHeight="1" x14ac:dyDescent="0.3">
      <c r="E281" s="16"/>
      <c r="H281" s="12"/>
      <c r="I281" s="8"/>
      <c r="J281" s="11"/>
      <c r="K281" s="10"/>
      <c r="L281" s="11"/>
      <c r="M281" s="11"/>
      <c r="N281" s="11"/>
      <c r="O281" s="11"/>
    </row>
    <row r="282" spans="5:15" ht="13.5" customHeight="1" x14ac:dyDescent="0.3">
      <c r="E282" s="16"/>
      <c r="H282" s="12"/>
      <c r="I282" s="8"/>
      <c r="J282" s="11"/>
      <c r="K282" s="10"/>
      <c r="L282" s="11"/>
      <c r="M282" s="11"/>
      <c r="N282" s="11"/>
      <c r="O282" s="11"/>
    </row>
    <row r="283" spans="5:15" ht="13.5" customHeight="1" x14ac:dyDescent="0.3">
      <c r="E283" s="16"/>
      <c r="H283" s="12"/>
      <c r="I283" s="8"/>
      <c r="J283" s="11"/>
      <c r="K283" s="10"/>
      <c r="L283" s="11"/>
      <c r="M283" s="11"/>
      <c r="N283" s="11"/>
      <c r="O283" s="11"/>
    </row>
    <row r="284" spans="5:15" ht="13.5" customHeight="1" x14ac:dyDescent="0.3">
      <c r="E284" s="16"/>
      <c r="H284" s="12"/>
      <c r="I284" s="8"/>
      <c r="J284" s="11"/>
      <c r="K284" s="10"/>
      <c r="L284" s="11"/>
      <c r="M284" s="11"/>
      <c r="N284" s="11"/>
      <c r="O284" s="11"/>
    </row>
    <row r="285" spans="5:15" ht="13.5" customHeight="1" x14ac:dyDescent="0.3">
      <c r="E285" s="16"/>
      <c r="H285" s="12"/>
      <c r="I285" s="8"/>
      <c r="J285" s="11"/>
      <c r="K285" s="10"/>
      <c r="L285" s="11"/>
      <c r="M285" s="11"/>
      <c r="N285" s="11"/>
      <c r="O285" s="11"/>
    </row>
    <row r="286" spans="5:15" ht="13.5" customHeight="1" x14ac:dyDescent="0.3">
      <c r="E286" s="16"/>
      <c r="H286" s="12"/>
      <c r="I286" s="8"/>
      <c r="J286" s="11"/>
      <c r="K286" s="10"/>
      <c r="L286" s="11"/>
      <c r="M286" s="11"/>
      <c r="N286" s="11"/>
      <c r="O286" s="11"/>
    </row>
    <row r="287" spans="5:15" ht="13.5" customHeight="1" x14ac:dyDescent="0.3">
      <c r="E287" s="16"/>
      <c r="H287" s="12"/>
      <c r="I287" s="8"/>
      <c r="J287" s="11"/>
      <c r="K287" s="10"/>
      <c r="L287" s="11"/>
      <c r="M287" s="11"/>
      <c r="N287" s="11"/>
      <c r="O287" s="11"/>
    </row>
    <row r="288" spans="5:15" ht="13.5" customHeight="1" x14ac:dyDescent="0.3">
      <c r="E288" s="16"/>
      <c r="H288" s="12"/>
      <c r="I288" s="8"/>
      <c r="J288" s="11"/>
      <c r="K288" s="10"/>
      <c r="L288" s="11"/>
      <c r="M288" s="11"/>
      <c r="N288" s="11"/>
      <c r="O288" s="11"/>
    </row>
    <row r="289" spans="5:15" ht="13.5" customHeight="1" x14ac:dyDescent="0.3">
      <c r="E289" s="16"/>
      <c r="H289" s="12"/>
      <c r="I289" s="8"/>
      <c r="J289" s="11"/>
      <c r="K289" s="10"/>
      <c r="L289" s="11"/>
      <c r="M289" s="11"/>
      <c r="N289" s="11"/>
      <c r="O289" s="11"/>
    </row>
    <row r="290" spans="5:15" ht="13.5" customHeight="1" x14ac:dyDescent="0.3">
      <c r="E290" s="16"/>
      <c r="H290" s="12"/>
      <c r="I290" s="8"/>
      <c r="J290" s="11"/>
      <c r="K290" s="10"/>
      <c r="L290" s="11"/>
      <c r="M290" s="11"/>
      <c r="N290" s="11"/>
      <c r="O290" s="11"/>
    </row>
    <row r="291" spans="5:15" ht="13.5" customHeight="1" x14ac:dyDescent="0.3">
      <c r="E291" s="16"/>
      <c r="H291" s="12"/>
      <c r="I291" s="8"/>
      <c r="J291" s="11"/>
      <c r="K291" s="10"/>
      <c r="L291" s="11"/>
      <c r="M291" s="11"/>
      <c r="N291" s="11"/>
      <c r="O291" s="11"/>
    </row>
    <row r="292" spans="5:15" ht="13.5" customHeight="1" x14ac:dyDescent="0.3">
      <c r="E292" s="16"/>
      <c r="H292" s="12"/>
      <c r="I292" s="8"/>
      <c r="J292" s="11"/>
      <c r="K292" s="10"/>
      <c r="L292" s="11"/>
      <c r="M292" s="11"/>
      <c r="N292" s="11"/>
      <c r="O292" s="11"/>
    </row>
    <row r="293" spans="5:15" ht="13.5" customHeight="1" x14ac:dyDescent="0.3">
      <c r="E293" s="16"/>
      <c r="H293" s="12"/>
      <c r="I293" s="8"/>
      <c r="J293" s="11"/>
      <c r="K293" s="10"/>
      <c r="L293" s="11"/>
      <c r="M293" s="11"/>
      <c r="N293" s="11"/>
      <c r="O293" s="11"/>
    </row>
    <row r="294" spans="5:15" ht="13.5" customHeight="1" x14ac:dyDescent="0.3">
      <c r="E294" s="16"/>
      <c r="H294" s="12"/>
      <c r="I294" s="8"/>
      <c r="J294" s="11"/>
      <c r="K294" s="10"/>
      <c r="L294" s="11"/>
      <c r="M294" s="11"/>
      <c r="N294" s="11"/>
      <c r="O294" s="11"/>
    </row>
    <row r="295" spans="5:15" ht="13.5" customHeight="1" x14ac:dyDescent="0.3">
      <c r="E295" s="16"/>
      <c r="H295" s="12"/>
      <c r="I295" s="8"/>
      <c r="J295" s="11"/>
      <c r="K295" s="10"/>
      <c r="L295" s="11"/>
      <c r="M295" s="11"/>
      <c r="N295" s="11"/>
      <c r="O295" s="11"/>
    </row>
    <row r="296" spans="5:15" ht="13.5" customHeight="1" x14ac:dyDescent="0.3">
      <c r="E296" s="16"/>
      <c r="H296" s="12"/>
      <c r="I296" s="8"/>
      <c r="J296" s="11"/>
      <c r="K296" s="10"/>
      <c r="L296" s="11"/>
      <c r="M296" s="11"/>
      <c r="N296" s="11"/>
      <c r="O296" s="11"/>
    </row>
    <row r="297" spans="5:15" ht="13.5" customHeight="1" x14ac:dyDescent="0.3">
      <c r="E297" s="16"/>
      <c r="H297" s="12"/>
      <c r="I297" s="8"/>
      <c r="J297" s="11"/>
      <c r="K297" s="10"/>
      <c r="L297" s="11"/>
      <c r="M297" s="11"/>
      <c r="N297" s="11"/>
      <c r="O297" s="11"/>
    </row>
    <row r="298" spans="5:15" ht="13.5" customHeight="1" x14ac:dyDescent="0.3">
      <c r="E298" s="16"/>
      <c r="H298" s="12"/>
      <c r="I298" s="8"/>
      <c r="J298" s="11"/>
      <c r="K298" s="10"/>
      <c r="L298" s="11"/>
      <c r="M298" s="11"/>
      <c r="N298" s="11"/>
      <c r="O298" s="11"/>
    </row>
    <row r="299" spans="5:15" ht="13.5" customHeight="1" x14ac:dyDescent="0.3">
      <c r="E299" s="16"/>
      <c r="H299" s="12"/>
      <c r="I299" s="8"/>
      <c r="J299" s="11"/>
      <c r="K299" s="10"/>
      <c r="L299" s="11"/>
      <c r="M299" s="11"/>
      <c r="N299" s="11"/>
      <c r="O299" s="11"/>
    </row>
    <row r="300" spans="5:15" ht="13.5" customHeight="1" x14ac:dyDescent="0.3">
      <c r="E300" s="16"/>
      <c r="H300" s="12"/>
      <c r="I300" s="8"/>
      <c r="J300" s="11"/>
      <c r="K300" s="10"/>
      <c r="L300" s="11"/>
      <c r="M300" s="11"/>
      <c r="N300" s="11"/>
      <c r="O300" s="11"/>
    </row>
    <row r="301" spans="5:15" ht="13.5" customHeight="1" x14ac:dyDescent="0.3">
      <c r="E301" s="16"/>
      <c r="H301" s="12"/>
      <c r="I301" s="8"/>
      <c r="J301" s="11"/>
      <c r="K301" s="10"/>
      <c r="L301" s="11"/>
      <c r="M301" s="11"/>
      <c r="N301" s="11"/>
      <c r="O301" s="11"/>
    </row>
    <row r="302" spans="5:15" ht="13.5" customHeight="1" x14ac:dyDescent="0.3">
      <c r="E302" s="16"/>
      <c r="H302" s="12"/>
      <c r="I302" s="8"/>
      <c r="J302" s="11"/>
      <c r="K302" s="10"/>
      <c r="L302" s="11"/>
      <c r="M302" s="11"/>
      <c r="N302" s="11"/>
      <c r="O302" s="11"/>
    </row>
    <row r="303" spans="5:15" ht="13.5" customHeight="1" x14ac:dyDescent="0.3">
      <c r="E303" s="16"/>
      <c r="H303" s="12"/>
      <c r="I303" s="8"/>
      <c r="J303" s="11"/>
      <c r="K303" s="10"/>
      <c r="L303" s="11"/>
      <c r="M303" s="11"/>
      <c r="N303" s="11"/>
      <c r="O303" s="11"/>
    </row>
    <row r="304" spans="5:15" ht="13.5" customHeight="1" x14ac:dyDescent="0.3">
      <c r="E304" s="16"/>
      <c r="H304" s="12"/>
      <c r="I304" s="8"/>
      <c r="J304" s="11"/>
      <c r="K304" s="10"/>
      <c r="L304" s="11"/>
      <c r="M304" s="11"/>
      <c r="N304" s="11"/>
      <c r="O304" s="11"/>
    </row>
    <row r="305" spans="5:15" ht="13.5" customHeight="1" x14ac:dyDescent="0.3">
      <c r="E305" s="16"/>
      <c r="H305" s="12"/>
      <c r="I305" s="8"/>
      <c r="J305" s="11"/>
      <c r="K305" s="10"/>
      <c r="L305" s="11"/>
      <c r="M305" s="11"/>
      <c r="N305" s="11"/>
      <c r="O305" s="11"/>
    </row>
    <row r="306" spans="5:15" ht="13.5" customHeight="1" x14ac:dyDescent="0.3">
      <c r="E306" s="16"/>
      <c r="H306" s="12"/>
      <c r="I306" s="8"/>
      <c r="J306" s="11"/>
      <c r="K306" s="10"/>
      <c r="L306" s="11"/>
      <c r="M306" s="11"/>
      <c r="N306" s="11"/>
      <c r="O306" s="11"/>
    </row>
    <row r="307" spans="5:15" ht="13.5" customHeight="1" x14ac:dyDescent="0.3">
      <c r="E307" s="16"/>
      <c r="H307" s="12"/>
      <c r="I307" s="8"/>
      <c r="J307" s="11"/>
      <c r="K307" s="10"/>
      <c r="L307" s="11"/>
      <c r="M307" s="11"/>
      <c r="N307" s="11"/>
      <c r="O307" s="11"/>
    </row>
    <row r="308" spans="5:15" ht="13.5" customHeight="1" x14ac:dyDescent="0.3">
      <c r="E308" s="16"/>
      <c r="H308" s="12"/>
      <c r="I308" s="8"/>
      <c r="J308" s="11"/>
      <c r="K308" s="10"/>
      <c r="L308" s="11"/>
      <c r="M308" s="11"/>
      <c r="N308" s="11"/>
      <c r="O308" s="11"/>
    </row>
    <row r="309" spans="5:15" ht="13.5" customHeight="1" x14ac:dyDescent="0.3">
      <c r="E309" s="16"/>
      <c r="H309" s="12"/>
      <c r="I309" s="8"/>
      <c r="J309" s="11"/>
      <c r="K309" s="10"/>
      <c r="L309" s="11"/>
      <c r="M309" s="11"/>
      <c r="N309" s="11"/>
      <c r="O309" s="11"/>
    </row>
    <row r="310" spans="5:15" ht="13.5" customHeight="1" x14ac:dyDescent="0.3">
      <c r="E310" s="16"/>
      <c r="H310" s="12"/>
      <c r="I310" s="8"/>
      <c r="J310" s="11"/>
      <c r="K310" s="10"/>
      <c r="L310" s="11"/>
      <c r="M310" s="11"/>
      <c r="N310" s="11"/>
      <c r="O310" s="11"/>
    </row>
    <row r="311" spans="5:15" ht="13.5" customHeight="1" x14ac:dyDescent="0.3">
      <c r="E311" s="16"/>
      <c r="H311" s="12"/>
      <c r="I311" s="8"/>
      <c r="J311" s="11"/>
      <c r="K311" s="10"/>
      <c r="L311" s="11"/>
      <c r="M311" s="11"/>
      <c r="N311" s="11"/>
      <c r="O311" s="11"/>
    </row>
    <row r="312" spans="5:15" ht="13.5" customHeight="1" x14ac:dyDescent="0.3">
      <c r="E312" s="16"/>
      <c r="H312" s="12"/>
      <c r="I312" s="8"/>
      <c r="J312" s="11"/>
      <c r="K312" s="10"/>
      <c r="L312" s="11"/>
      <c r="M312" s="11"/>
      <c r="N312" s="11"/>
      <c r="O312" s="11"/>
    </row>
    <row r="313" spans="5:15" ht="13.5" customHeight="1" x14ac:dyDescent="0.3">
      <c r="E313" s="16"/>
      <c r="H313" s="12"/>
      <c r="I313" s="8"/>
      <c r="J313" s="11"/>
      <c r="K313" s="10"/>
      <c r="L313" s="11"/>
      <c r="M313" s="11"/>
      <c r="N313" s="11"/>
      <c r="O313" s="11"/>
    </row>
    <row r="314" spans="5:15" ht="13.5" customHeight="1" x14ac:dyDescent="0.3">
      <c r="E314" s="16"/>
      <c r="H314" s="12"/>
      <c r="I314" s="8"/>
      <c r="J314" s="11"/>
      <c r="K314" s="10"/>
      <c r="L314" s="11"/>
      <c r="M314" s="11"/>
      <c r="N314" s="11"/>
      <c r="O314" s="11"/>
    </row>
    <row r="315" spans="5:15" ht="13.5" customHeight="1" x14ac:dyDescent="0.3">
      <c r="E315" s="16"/>
      <c r="H315" s="12"/>
      <c r="I315" s="8"/>
      <c r="J315" s="11"/>
      <c r="K315" s="10"/>
      <c r="L315" s="11"/>
      <c r="M315" s="11"/>
      <c r="N315" s="11"/>
      <c r="O315" s="11"/>
    </row>
    <row r="316" spans="5:15" ht="13.5" customHeight="1" x14ac:dyDescent="0.3">
      <c r="E316" s="16"/>
      <c r="H316" s="12"/>
      <c r="I316" s="8"/>
      <c r="J316" s="11"/>
      <c r="K316" s="10"/>
      <c r="L316" s="11"/>
      <c r="M316" s="11"/>
      <c r="N316" s="11"/>
      <c r="O316" s="11"/>
    </row>
    <row r="317" spans="5:15" ht="13.5" customHeight="1" x14ac:dyDescent="0.3">
      <c r="E317" s="16"/>
      <c r="H317" s="12"/>
      <c r="I317" s="8"/>
      <c r="J317" s="11"/>
      <c r="K317" s="10"/>
      <c r="L317" s="11"/>
      <c r="M317" s="11"/>
      <c r="N317" s="11"/>
      <c r="O317" s="11"/>
    </row>
    <row r="318" spans="5:15" ht="13.5" customHeight="1" x14ac:dyDescent="0.3">
      <c r="E318" s="16"/>
      <c r="H318" s="12"/>
      <c r="I318" s="8"/>
      <c r="J318" s="11"/>
      <c r="K318" s="10"/>
      <c r="L318" s="11"/>
      <c r="M318" s="11"/>
      <c r="N318" s="11"/>
      <c r="O318" s="11"/>
    </row>
    <row r="319" spans="5:15" ht="13.5" customHeight="1" x14ac:dyDescent="0.3">
      <c r="E319" s="16"/>
      <c r="H319" s="12"/>
      <c r="I319" s="8"/>
      <c r="J319" s="11"/>
      <c r="K319" s="10"/>
      <c r="L319" s="11"/>
      <c r="M319" s="11"/>
      <c r="N319" s="11"/>
      <c r="O319" s="11"/>
    </row>
    <row r="320" spans="5:15" ht="13.5" customHeight="1" x14ac:dyDescent="0.3">
      <c r="E320" s="16"/>
      <c r="H320" s="12"/>
      <c r="I320" s="8"/>
      <c r="J320" s="11"/>
      <c r="K320" s="10"/>
      <c r="L320" s="11"/>
      <c r="M320" s="11"/>
      <c r="N320" s="11"/>
      <c r="O320" s="11"/>
    </row>
    <row r="321" spans="5:15" ht="13.5" customHeight="1" x14ac:dyDescent="0.3">
      <c r="E321" s="16"/>
      <c r="H321" s="12"/>
      <c r="I321" s="8"/>
      <c r="J321" s="11"/>
      <c r="K321" s="10"/>
      <c r="L321" s="11"/>
      <c r="M321" s="11"/>
      <c r="N321" s="11"/>
      <c r="O321" s="11"/>
    </row>
    <row r="322" spans="5:15" ht="13.5" customHeight="1" x14ac:dyDescent="0.3">
      <c r="E322" s="16"/>
      <c r="H322" s="12"/>
      <c r="I322" s="8"/>
      <c r="J322" s="11"/>
      <c r="K322" s="10"/>
      <c r="L322" s="11"/>
      <c r="M322" s="11"/>
      <c r="N322" s="11"/>
      <c r="O322" s="11"/>
    </row>
    <row r="323" spans="5:15" ht="13.5" customHeight="1" x14ac:dyDescent="0.3">
      <c r="E323" s="16"/>
      <c r="H323" s="12"/>
      <c r="I323" s="8"/>
      <c r="J323" s="11"/>
      <c r="K323" s="10"/>
      <c r="L323" s="11"/>
      <c r="M323" s="11"/>
      <c r="N323" s="11"/>
      <c r="O323" s="11"/>
    </row>
    <row r="324" spans="5:15" ht="13.5" customHeight="1" x14ac:dyDescent="0.3">
      <c r="E324" s="16"/>
      <c r="H324" s="12"/>
      <c r="I324" s="8"/>
      <c r="J324" s="11"/>
      <c r="K324" s="10"/>
      <c r="L324" s="11"/>
      <c r="M324" s="11"/>
      <c r="N324" s="11"/>
      <c r="O324" s="11"/>
    </row>
    <row r="325" spans="5:15" ht="13.5" customHeight="1" x14ac:dyDescent="0.3">
      <c r="E325" s="16"/>
      <c r="H325" s="12"/>
      <c r="I325" s="8"/>
      <c r="J325" s="11"/>
      <c r="K325" s="10"/>
      <c r="L325" s="11"/>
      <c r="M325" s="11"/>
      <c r="N325" s="11"/>
      <c r="O325" s="11"/>
    </row>
    <row r="326" spans="5:15" ht="13.5" customHeight="1" x14ac:dyDescent="0.3">
      <c r="E326" s="16"/>
      <c r="H326" s="12"/>
      <c r="I326" s="8"/>
      <c r="J326" s="11"/>
      <c r="K326" s="10"/>
      <c r="L326" s="11"/>
      <c r="M326" s="11"/>
      <c r="N326" s="11"/>
      <c r="O326" s="11"/>
    </row>
    <row r="327" spans="5:15" ht="13.5" customHeight="1" x14ac:dyDescent="0.3">
      <c r="E327" s="16"/>
      <c r="H327" s="12"/>
      <c r="I327" s="8"/>
      <c r="J327" s="11"/>
      <c r="K327" s="10"/>
      <c r="L327" s="11"/>
      <c r="M327" s="11"/>
      <c r="N327" s="11"/>
      <c r="O327" s="11"/>
    </row>
    <row r="328" spans="5:15" ht="13.5" customHeight="1" x14ac:dyDescent="0.3">
      <c r="E328" s="16"/>
      <c r="H328" s="12"/>
      <c r="I328" s="8"/>
      <c r="J328" s="11"/>
      <c r="K328" s="10"/>
      <c r="L328" s="11"/>
      <c r="M328" s="11"/>
      <c r="N328" s="11"/>
      <c r="O328" s="11"/>
    </row>
    <row r="329" spans="5:15" ht="13.5" customHeight="1" x14ac:dyDescent="0.3">
      <c r="E329" s="16"/>
      <c r="H329" s="12"/>
      <c r="I329" s="8"/>
      <c r="J329" s="11"/>
      <c r="K329" s="10"/>
      <c r="L329" s="11"/>
      <c r="M329" s="11"/>
      <c r="N329" s="11"/>
      <c r="O329" s="11"/>
    </row>
    <row r="330" spans="5:15" ht="13.5" customHeight="1" x14ac:dyDescent="0.3">
      <c r="E330" s="16"/>
      <c r="H330" s="12"/>
      <c r="I330" s="8"/>
      <c r="J330" s="11"/>
      <c r="K330" s="10"/>
      <c r="L330" s="11"/>
      <c r="M330" s="11"/>
      <c r="N330" s="11"/>
      <c r="O330" s="11"/>
    </row>
    <row r="331" spans="5:15" ht="13.5" customHeight="1" x14ac:dyDescent="0.3">
      <c r="E331" s="16"/>
      <c r="H331" s="12"/>
      <c r="I331" s="8"/>
      <c r="J331" s="11"/>
      <c r="K331" s="10"/>
      <c r="L331" s="11"/>
      <c r="M331" s="11"/>
      <c r="N331" s="11"/>
      <c r="O331" s="11"/>
    </row>
    <row r="332" spans="5:15" ht="13.5" customHeight="1" x14ac:dyDescent="0.3">
      <c r="E332" s="16"/>
      <c r="H332" s="12"/>
      <c r="I332" s="8"/>
      <c r="J332" s="11"/>
      <c r="K332" s="10"/>
      <c r="L332" s="11"/>
      <c r="M332" s="11"/>
      <c r="N332" s="11"/>
      <c r="O332" s="11"/>
    </row>
    <row r="333" spans="5:15" ht="13.5" customHeight="1" x14ac:dyDescent="0.3">
      <c r="E333" s="16"/>
      <c r="H333" s="12"/>
      <c r="I333" s="8"/>
      <c r="J333" s="11"/>
      <c r="K333" s="10"/>
      <c r="L333" s="11"/>
      <c r="M333" s="11"/>
      <c r="N333" s="11"/>
      <c r="O333" s="11"/>
    </row>
    <row r="334" spans="5:15" ht="13.5" customHeight="1" x14ac:dyDescent="0.3">
      <c r="E334" s="16"/>
      <c r="H334" s="12"/>
      <c r="I334" s="8"/>
      <c r="J334" s="11"/>
      <c r="K334" s="10"/>
      <c r="L334" s="11"/>
      <c r="M334" s="11"/>
      <c r="N334" s="11"/>
      <c r="O334" s="11"/>
    </row>
    <row r="335" spans="5:15" ht="13.5" customHeight="1" x14ac:dyDescent="0.3">
      <c r="E335" s="16"/>
      <c r="H335" s="12"/>
      <c r="I335" s="8"/>
      <c r="J335" s="11"/>
      <c r="K335" s="10"/>
      <c r="L335" s="11"/>
      <c r="M335" s="11"/>
      <c r="N335" s="11"/>
      <c r="O335" s="11"/>
    </row>
    <row r="336" spans="5:15" ht="13.5" customHeight="1" x14ac:dyDescent="0.3">
      <c r="E336" s="16"/>
      <c r="H336" s="12"/>
      <c r="I336" s="8"/>
      <c r="J336" s="11"/>
      <c r="K336" s="10"/>
      <c r="L336" s="11"/>
      <c r="M336" s="11"/>
      <c r="N336" s="11"/>
      <c r="O336" s="11"/>
    </row>
    <row r="337" spans="5:15" ht="13.5" customHeight="1" x14ac:dyDescent="0.3">
      <c r="E337" s="16"/>
      <c r="H337" s="12"/>
      <c r="I337" s="8"/>
      <c r="J337" s="11"/>
      <c r="K337" s="10"/>
      <c r="L337" s="11"/>
      <c r="M337" s="11"/>
      <c r="N337" s="11"/>
      <c r="O337" s="11"/>
    </row>
    <row r="338" spans="5:15" ht="13.5" customHeight="1" x14ac:dyDescent="0.3">
      <c r="E338" s="16"/>
      <c r="H338" s="12"/>
      <c r="I338" s="8"/>
      <c r="J338" s="11"/>
      <c r="K338" s="10"/>
      <c r="L338" s="11"/>
      <c r="M338" s="11"/>
      <c r="N338" s="11"/>
      <c r="O338" s="11"/>
    </row>
    <row r="339" spans="5:15" ht="13.5" customHeight="1" x14ac:dyDescent="0.3">
      <c r="E339" s="16"/>
      <c r="H339" s="12"/>
      <c r="I339" s="8"/>
      <c r="J339" s="11"/>
      <c r="K339" s="10"/>
      <c r="L339" s="11"/>
      <c r="M339" s="11"/>
      <c r="N339" s="11"/>
      <c r="O339" s="11"/>
    </row>
    <row r="340" spans="5:15" ht="13.5" customHeight="1" x14ac:dyDescent="0.3">
      <c r="E340" s="16"/>
      <c r="H340" s="12"/>
      <c r="I340" s="8"/>
      <c r="J340" s="11"/>
      <c r="K340" s="10"/>
      <c r="L340" s="11"/>
      <c r="M340" s="11"/>
      <c r="N340" s="11"/>
      <c r="O340" s="11"/>
    </row>
    <row r="341" spans="5:15" ht="13.5" customHeight="1" x14ac:dyDescent="0.3">
      <c r="E341" s="16"/>
      <c r="H341" s="12"/>
      <c r="I341" s="8"/>
      <c r="J341" s="11"/>
      <c r="K341" s="10"/>
      <c r="L341" s="11"/>
      <c r="M341" s="11"/>
      <c r="N341" s="11"/>
      <c r="O341" s="11"/>
    </row>
    <row r="342" spans="5:15" ht="13.5" customHeight="1" x14ac:dyDescent="0.3">
      <c r="E342" s="16"/>
      <c r="H342" s="12"/>
      <c r="I342" s="8"/>
      <c r="J342" s="11"/>
      <c r="K342" s="10"/>
      <c r="L342" s="11"/>
      <c r="M342" s="11"/>
      <c r="N342" s="11"/>
      <c r="O342" s="11"/>
    </row>
    <row r="343" spans="5:15" ht="13.5" customHeight="1" x14ac:dyDescent="0.3">
      <c r="E343" s="16"/>
      <c r="H343" s="12"/>
      <c r="I343" s="8"/>
      <c r="J343" s="11"/>
      <c r="K343" s="10"/>
      <c r="L343" s="11"/>
      <c r="M343" s="11"/>
      <c r="N343" s="11"/>
      <c r="O343" s="11"/>
    </row>
    <row r="344" spans="5:15" ht="13.5" customHeight="1" x14ac:dyDescent="0.3">
      <c r="E344" s="16"/>
      <c r="H344" s="12"/>
      <c r="I344" s="8"/>
      <c r="J344" s="11"/>
      <c r="K344" s="10"/>
      <c r="L344" s="11"/>
      <c r="M344" s="11"/>
      <c r="N344" s="11"/>
      <c r="O344" s="11"/>
    </row>
    <row r="345" spans="5:15" ht="13.5" customHeight="1" x14ac:dyDescent="0.3">
      <c r="E345" s="16"/>
      <c r="H345" s="12"/>
      <c r="I345" s="8"/>
      <c r="J345" s="11"/>
      <c r="K345" s="10"/>
      <c r="L345" s="11"/>
      <c r="M345" s="11"/>
      <c r="N345" s="11"/>
      <c r="O345" s="11"/>
    </row>
    <row r="346" spans="5:15" ht="13.5" customHeight="1" x14ac:dyDescent="0.3">
      <c r="E346" s="16"/>
      <c r="H346" s="12"/>
      <c r="I346" s="8"/>
      <c r="J346" s="11"/>
      <c r="K346" s="10"/>
      <c r="L346" s="11"/>
      <c r="M346" s="11"/>
      <c r="N346" s="11"/>
      <c r="O346" s="11"/>
    </row>
    <row r="347" spans="5:15" ht="13.5" customHeight="1" x14ac:dyDescent="0.3">
      <c r="E347" s="16"/>
      <c r="H347" s="12"/>
      <c r="I347" s="8"/>
      <c r="J347" s="11"/>
      <c r="K347" s="10"/>
      <c r="L347" s="11"/>
      <c r="M347" s="11"/>
      <c r="N347" s="11"/>
      <c r="O347" s="11"/>
    </row>
    <row r="348" spans="5:15" ht="13.5" customHeight="1" x14ac:dyDescent="0.3">
      <c r="E348" s="16"/>
      <c r="H348" s="12"/>
      <c r="I348" s="8"/>
      <c r="J348" s="11"/>
      <c r="K348" s="10"/>
      <c r="L348" s="11"/>
      <c r="M348" s="11"/>
      <c r="N348" s="11"/>
      <c r="O348" s="11"/>
    </row>
    <row r="349" spans="5:15" ht="13.5" customHeight="1" x14ac:dyDescent="0.3">
      <c r="E349" s="16"/>
      <c r="H349" s="12"/>
      <c r="I349" s="8"/>
      <c r="J349" s="11"/>
      <c r="K349" s="10"/>
      <c r="L349" s="11"/>
      <c r="M349" s="11"/>
      <c r="N349" s="11"/>
      <c r="O349" s="11"/>
    </row>
    <row r="350" spans="5:15" ht="13.5" customHeight="1" x14ac:dyDescent="0.3">
      <c r="E350" s="16"/>
      <c r="H350" s="12"/>
      <c r="I350" s="8"/>
      <c r="J350" s="11"/>
      <c r="K350" s="10"/>
      <c r="L350" s="11"/>
      <c r="M350" s="11"/>
      <c r="N350" s="11"/>
      <c r="O350" s="11"/>
    </row>
    <row r="351" spans="5:15" ht="13.5" customHeight="1" x14ac:dyDescent="0.3">
      <c r="E351" s="16"/>
      <c r="H351" s="12"/>
      <c r="I351" s="8"/>
      <c r="J351" s="11"/>
      <c r="K351" s="10"/>
      <c r="L351" s="11"/>
      <c r="M351" s="11"/>
      <c r="N351" s="11"/>
      <c r="O351" s="11"/>
    </row>
    <row r="352" spans="5:15" ht="13.5" customHeight="1" x14ac:dyDescent="0.3">
      <c r="E352" s="16"/>
      <c r="H352" s="12"/>
      <c r="I352" s="8"/>
      <c r="J352" s="11"/>
      <c r="K352" s="10"/>
      <c r="L352" s="11"/>
      <c r="M352" s="11"/>
      <c r="N352" s="11"/>
      <c r="O352" s="11"/>
    </row>
    <row r="353" spans="5:15" ht="13.5" customHeight="1" x14ac:dyDescent="0.3">
      <c r="E353" s="16"/>
      <c r="H353" s="12"/>
      <c r="I353" s="8"/>
      <c r="J353" s="11"/>
      <c r="K353" s="10"/>
      <c r="L353" s="11"/>
      <c r="M353" s="11"/>
      <c r="N353" s="11"/>
      <c r="O353" s="11"/>
    </row>
    <row r="354" spans="5:15" ht="13.5" customHeight="1" x14ac:dyDescent="0.3">
      <c r="E354" s="16"/>
      <c r="H354" s="12"/>
      <c r="I354" s="8"/>
      <c r="J354" s="11"/>
      <c r="K354" s="10"/>
      <c r="L354" s="11"/>
      <c r="M354" s="11"/>
      <c r="N354" s="11"/>
      <c r="O354" s="11"/>
    </row>
    <row r="355" spans="5:15" ht="13.5" customHeight="1" x14ac:dyDescent="0.3">
      <c r="E355" s="16"/>
      <c r="H355" s="12"/>
      <c r="I355" s="8"/>
      <c r="J355" s="11"/>
      <c r="K355" s="10"/>
      <c r="L355" s="11"/>
      <c r="M355" s="11"/>
      <c r="N355" s="11"/>
      <c r="O355" s="11"/>
    </row>
    <row r="356" spans="5:15" ht="13.5" customHeight="1" x14ac:dyDescent="0.3">
      <c r="E356" s="16"/>
      <c r="H356" s="12"/>
      <c r="I356" s="8"/>
      <c r="J356" s="11"/>
      <c r="K356" s="10"/>
      <c r="L356" s="11"/>
      <c r="M356" s="11"/>
      <c r="N356" s="11"/>
      <c r="O356" s="11"/>
    </row>
    <row r="357" spans="5:15" ht="13.5" customHeight="1" x14ac:dyDescent="0.3">
      <c r="E357" s="16"/>
      <c r="H357" s="12"/>
      <c r="I357" s="8"/>
      <c r="J357" s="11"/>
      <c r="K357" s="10"/>
      <c r="L357" s="11"/>
      <c r="M357" s="11"/>
      <c r="N357" s="11"/>
      <c r="O357" s="11"/>
    </row>
    <row r="358" spans="5:15" ht="13.5" customHeight="1" x14ac:dyDescent="0.3">
      <c r="E358" s="16"/>
      <c r="H358" s="12"/>
      <c r="I358" s="8"/>
      <c r="J358" s="11"/>
      <c r="K358" s="10"/>
      <c r="L358" s="11"/>
      <c r="M358" s="11"/>
      <c r="N358" s="11"/>
      <c r="O358" s="11"/>
    </row>
    <row r="359" spans="5:15" ht="13.5" customHeight="1" x14ac:dyDescent="0.3">
      <c r="E359" s="16"/>
      <c r="H359" s="12"/>
      <c r="I359" s="8"/>
      <c r="J359" s="11"/>
      <c r="K359" s="10"/>
      <c r="L359" s="11"/>
      <c r="M359" s="11"/>
      <c r="N359" s="11"/>
      <c r="O359" s="11"/>
    </row>
    <row r="360" spans="5:15" ht="13.5" customHeight="1" x14ac:dyDescent="0.3">
      <c r="E360" s="16"/>
      <c r="H360" s="12"/>
      <c r="I360" s="8"/>
      <c r="J360" s="11"/>
      <c r="K360" s="10"/>
      <c r="L360" s="11"/>
      <c r="M360" s="11"/>
      <c r="N360" s="11"/>
      <c r="O360" s="11"/>
    </row>
    <row r="361" spans="5:15" ht="13.5" customHeight="1" x14ac:dyDescent="0.3">
      <c r="E361" s="16"/>
      <c r="H361" s="12"/>
      <c r="I361" s="8"/>
      <c r="J361" s="11"/>
      <c r="K361" s="10"/>
      <c r="L361" s="11"/>
      <c r="M361" s="11"/>
      <c r="N361" s="11"/>
      <c r="O361" s="11"/>
    </row>
    <row r="362" spans="5:15" ht="13.5" customHeight="1" x14ac:dyDescent="0.3">
      <c r="E362" s="16"/>
      <c r="H362" s="12"/>
      <c r="I362" s="8"/>
      <c r="J362" s="11"/>
      <c r="K362" s="10"/>
      <c r="L362" s="11"/>
      <c r="M362" s="11"/>
      <c r="N362" s="11"/>
      <c r="O362" s="11"/>
    </row>
    <row r="363" spans="5:15" ht="13.5" customHeight="1" x14ac:dyDescent="0.3">
      <c r="E363" s="16"/>
      <c r="H363" s="12"/>
      <c r="I363" s="8"/>
      <c r="J363" s="11"/>
      <c r="K363" s="10"/>
      <c r="L363" s="11"/>
      <c r="M363" s="11"/>
      <c r="N363" s="11"/>
      <c r="O363" s="11"/>
    </row>
    <row r="364" spans="5:15" ht="13.5" customHeight="1" x14ac:dyDescent="0.3">
      <c r="E364" s="16"/>
      <c r="H364" s="12"/>
      <c r="I364" s="8"/>
      <c r="J364" s="11"/>
      <c r="K364" s="10"/>
      <c r="L364" s="11"/>
      <c r="M364" s="11"/>
      <c r="N364" s="11"/>
      <c r="O364" s="11"/>
    </row>
    <row r="365" spans="5:15" ht="13.5" customHeight="1" x14ac:dyDescent="0.3">
      <c r="E365" s="16"/>
      <c r="H365" s="12"/>
      <c r="I365" s="8"/>
      <c r="J365" s="11"/>
      <c r="K365" s="10"/>
      <c r="L365" s="11"/>
      <c r="M365" s="11"/>
      <c r="N365" s="11"/>
      <c r="O365" s="11"/>
    </row>
    <row r="366" spans="5:15" ht="13.5" customHeight="1" x14ac:dyDescent="0.3">
      <c r="E366" s="16"/>
      <c r="H366" s="12"/>
      <c r="I366" s="8"/>
      <c r="J366" s="11"/>
      <c r="K366" s="10"/>
      <c r="L366" s="11"/>
      <c r="M366" s="11"/>
      <c r="N366" s="11"/>
      <c r="O366" s="11"/>
    </row>
    <row r="367" spans="5:15" ht="13.5" customHeight="1" x14ac:dyDescent="0.3">
      <c r="E367" s="16"/>
      <c r="H367" s="12"/>
      <c r="I367" s="8"/>
      <c r="J367" s="11"/>
      <c r="K367" s="10"/>
      <c r="L367" s="11"/>
      <c r="M367" s="11"/>
      <c r="N367" s="11"/>
      <c r="O367" s="11"/>
    </row>
    <row r="368" spans="5:15" ht="13.5" customHeight="1" x14ac:dyDescent="0.3">
      <c r="E368" s="16"/>
      <c r="H368" s="12"/>
      <c r="I368" s="8"/>
      <c r="J368" s="11"/>
      <c r="K368" s="10"/>
      <c r="L368" s="11"/>
      <c r="M368" s="11"/>
      <c r="N368" s="11"/>
      <c r="O368" s="11"/>
    </row>
    <row r="369" spans="5:15" ht="13.5" customHeight="1" x14ac:dyDescent="0.3">
      <c r="E369" s="16"/>
      <c r="H369" s="12"/>
      <c r="I369" s="8"/>
      <c r="J369" s="11"/>
      <c r="K369" s="10"/>
      <c r="L369" s="11"/>
      <c r="M369" s="11"/>
      <c r="N369" s="11"/>
      <c r="O369" s="11"/>
    </row>
    <row r="370" spans="5:15" ht="13.5" customHeight="1" x14ac:dyDescent="0.3">
      <c r="E370" s="16"/>
      <c r="H370" s="12"/>
      <c r="I370" s="8"/>
      <c r="J370" s="11"/>
      <c r="K370" s="10"/>
      <c r="L370" s="11"/>
      <c r="M370" s="11"/>
      <c r="N370" s="11"/>
      <c r="O370" s="11"/>
    </row>
    <row r="371" spans="5:15" ht="13.5" customHeight="1" x14ac:dyDescent="0.3">
      <c r="E371" s="16"/>
      <c r="H371" s="12"/>
      <c r="I371" s="8"/>
      <c r="J371" s="11"/>
      <c r="K371" s="10"/>
      <c r="L371" s="11"/>
      <c r="M371" s="11"/>
      <c r="N371" s="11"/>
      <c r="O371" s="11"/>
    </row>
    <row r="372" spans="5:15" ht="13.5" customHeight="1" x14ac:dyDescent="0.3">
      <c r="E372" s="16"/>
      <c r="H372" s="12"/>
      <c r="I372" s="8"/>
      <c r="J372" s="11"/>
      <c r="K372" s="10"/>
      <c r="L372" s="11"/>
      <c r="M372" s="11"/>
      <c r="N372" s="11"/>
      <c r="O372" s="11"/>
    </row>
    <row r="373" spans="5:15" ht="13.5" customHeight="1" x14ac:dyDescent="0.3">
      <c r="E373" s="16"/>
      <c r="H373" s="12"/>
      <c r="I373" s="8"/>
      <c r="J373" s="11"/>
      <c r="K373" s="10"/>
      <c r="L373" s="11"/>
      <c r="M373" s="11"/>
      <c r="N373" s="11"/>
      <c r="O373" s="11"/>
    </row>
    <row r="374" spans="5:15" ht="13.5" customHeight="1" x14ac:dyDescent="0.3">
      <c r="E374" s="16"/>
      <c r="H374" s="12"/>
      <c r="I374" s="8"/>
      <c r="J374" s="11"/>
      <c r="K374" s="10"/>
      <c r="L374" s="11"/>
      <c r="M374" s="11"/>
      <c r="N374" s="11"/>
      <c r="O374" s="11"/>
    </row>
    <row r="375" spans="5:15" ht="13.5" customHeight="1" x14ac:dyDescent="0.3">
      <c r="E375" s="16"/>
      <c r="H375" s="12"/>
      <c r="I375" s="8"/>
      <c r="J375" s="11"/>
      <c r="K375" s="10"/>
      <c r="L375" s="11"/>
      <c r="M375" s="11"/>
      <c r="N375" s="11"/>
      <c r="O375" s="11"/>
    </row>
    <row r="376" spans="5:15" ht="13.5" customHeight="1" x14ac:dyDescent="0.3">
      <c r="E376" s="16"/>
      <c r="H376" s="12"/>
      <c r="I376" s="8"/>
      <c r="J376" s="11"/>
      <c r="K376" s="10"/>
      <c r="L376" s="11"/>
      <c r="M376" s="11"/>
      <c r="N376" s="11"/>
      <c r="O376" s="11"/>
    </row>
    <row r="377" spans="5:15" ht="13.5" customHeight="1" x14ac:dyDescent="0.3">
      <c r="E377" s="16"/>
      <c r="H377" s="12"/>
      <c r="I377" s="8"/>
      <c r="J377" s="11"/>
      <c r="K377" s="10"/>
      <c r="L377" s="11"/>
      <c r="M377" s="11"/>
      <c r="N377" s="11"/>
      <c r="O377" s="11"/>
    </row>
    <row r="378" spans="5:15" ht="13.5" customHeight="1" x14ac:dyDescent="0.3">
      <c r="E378" s="16"/>
      <c r="H378" s="12"/>
      <c r="I378" s="8"/>
      <c r="J378" s="11"/>
      <c r="K378" s="10"/>
      <c r="L378" s="11"/>
      <c r="M378" s="11"/>
      <c r="N378" s="11"/>
      <c r="O378" s="11"/>
    </row>
    <row r="379" spans="5:15" ht="13.5" customHeight="1" x14ac:dyDescent="0.3">
      <c r="E379" s="16"/>
      <c r="H379" s="12"/>
      <c r="I379" s="8"/>
      <c r="J379" s="11"/>
      <c r="K379" s="10"/>
      <c r="L379" s="11"/>
      <c r="M379" s="11"/>
      <c r="N379" s="11"/>
      <c r="O379" s="11"/>
    </row>
    <row r="380" spans="5:15" ht="13.5" customHeight="1" x14ac:dyDescent="0.3">
      <c r="E380" s="16"/>
      <c r="H380" s="12"/>
      <c r="I380" s="8"/>
      <c r="J380" s="11"/>
      <c r="K380" s="10"/>
      <c r="L380" s="11"/>
      <c r="M380" s="11"/>
      <c r="N380" s="11"/>
      <c r="O380" s="11"/>
    </row>
    <row r="381" spans="5:15" ht="13.5" customHeight="1" x14ac:dyDescent="0.3">
      <c r="E381" s="16"/>
      <c r="H381" s="12"/>
      <c r="I381" s="8"/>
      <c r="J381" s="11"/>
      <c r="K381" s="10"/>
      <c r="L381" s="11"/>
      <c r="M381" s="11"/>
      <c r="N381" s="11"/>
      <c r="O381" s="11"/>
    </row>
    <row r="382" spans="5:15" ht="13.5" customHeight="1" x14ac:dyDescent="0.3">
      <c r="E382" s="16"/>
      <c r="H382" s="12"/>
      <c r="I382" s="8"/>
      <c r="J382" s="11"/>
      <c r="K382" s="10"/>
      <c r="L382" s="11"/>
      <c r="M382" s="11"/>
      <c r="N382" s="11"/>
      <c r="O382" s="11"/>
    </row>
    <row r="383" spans="5:15" ht="13.5" customHeight="1" x14ac:dyDescent="0.3">
      <c r="E383" s="16"/>
      <c r="H383" s="12"/>
      <c r="I383" s="8"/>
      <c r="J383" s="11"/>
      <c r="K383" s="10"/>
      <c r="L383" s="11"/>
      <c r="M383" s="11"/>
      <c r="N383" s="11"/>
      <c r="O383" s="11"/>
    </row>
    <row r="384" spans="5:15" ht="13.5" customHeight="1" x14ac:dyDescent="0.3">
      <c r="E384" s="16"/>
      <c r="H384" s="12"/>
      <c r="I384" s="8"/>
      <c r="J384" s="11"/>
      <c r="K384" s="10"/>
      <c r="L384" s="11"/>
      <c r="M384" s="11"/>
      <c r="N384" s="11"/>
      <c r="O384" s="11"/>
    </row>
    <row r="385" spans="5:15" ht="13.5" customHeight="1" x14ac:dyDescent="0.3">
      <c r="E385" s="16"/>
      <c r="H385" s="12"/>
      <c r="I385" s="8"/>
      <c r="J385" s="11"/>
      <c r="K385" s="10"/>
      <c r="L385" s="11"/>
      <c r="M385" s="11"/>
      <c r="N385" s="11"/>
      <c r="O385" s="11"/>
    </row>
    <row r="386" spans="5:15" ht="13.5" customHeight="1" x14ac:dyDescent="0.3">
      <c r="E386" s="16"/>
      <c r="H386" s="12"/>
      <c r="I386" s="8"/>
      <c r="J386" s="11"/>
      <c r="K386" s="10"/>
      <c r="L386" s="11"/>
      <c r="M386" s="11"/>
      <c r="N386" s="11"/>
      <c r="O386" s="11"/>
    </row>
    <row r="387" spans="5:15" ht="13.5" customHeight="1" x14ac:dyDescent="0.3">
      <c r="E387" s="16"/>
      <c r="H387" s="12"/>
      <c r="I387" s="8"/>
      <c r="J387" s="11"/>
      <c r="K387" s="10"/>
      <c r="L387" s="11"/>
      <c r="M387" s="11"/>
      <c r="N387" s="11"/>
      <c r="O387" s="11"/>
    </row>
    <row r="388" spans="5:15" ht="13.5" customHeight="1" x14ac:dyDescent="0.3">
      <c r="E388" s="16"/>
      <c r="H388" s="12"/>
      <c r="I388" s="8"/>
      <c r="J388" s="11"/>
      <c r="K388" s="10"/>
      <c r="L388" s="11"/>
      <c r="M388" s="11"/>
      <c r="N388" s="11"/>
      <c r="O388" s="11"/>
    </row>
    <row r="389" spans="5:15" ht="13.5" customHeight="1" x14ac:dyDescent="0.3">
      <c r="E389" s="16"/>
      <c r="H389" s="12"/>
      <c r="I389" s="8"/>
      <c r="J389" s="11"/>
      <c r="K389" s="10"/>
      <c r="L389" s="11"/>
      <c r="M389" s="11"/>
      <c r="N389" s="11"/>
      <c r="O389" s="11"/>
    </row>
    <row r="390" spans="5:15" ht="13.5" customHeight="1" x14ac:dyDescent="0.3">
      <c r="E390" s="16"/>
      <c r="H390" s="12"/>
      <c r="I390" s="8"/>
      <c r="J390" s="11"/>
      <c r="K390" s="10"/>
      <c r="L390" s="11"/>
      <c r="M390" s="11"/>
      <c r="N390" s="11"/>
      <c r="O390" s="11"/>
    </row>
    <row r="391" spans="5:15" ht="13.5" customHeight="1" x14ac:dyDescent="0.3">
      <c r="E391" s="16"/>
      <c r="H391" s="12"/>
      <c r="I391" s="8"/>
      <c r="J391" s="11"/>
      <c r="K391" s="10"/>
      <c r="L391" s="11"/>
      <c r="M391" s="11"/>
      <c r="N391" s="11"/>
      <c r="O391" s="11"/>
    </row>
    <row r="392" spans="5:15" ht="13.5" customHeight="1" x14ac:dyDescent="0.3">
      <c r="E392" s="16"/>
      <c r="H392" s="12"/>
      <c r="I392" s="8"/>
      <c r="J392" s="11"/>
      <c r="K392" s="10"/>
      <c r="L392" s="11"/>
      <c r="M392" s="11"/>
      <c r="N392" s="11"/>
      <c r="O392" s="11"/>
    </row>
    <row r="393" spans="5:15" ht="13.5" customHeight="1" x14ac:dyDescent="0.3">
      <c r="E393" s="16"/>
      <c r="H393" s="12"/>
      <c r="I393" s="8"/>
      <c r="J393" s="11"/>
      <c r="K393" s="10"/>
      <c r="L393" s="11"/>
      <c r="M393" s="11"/>
      <c r="N393" s="11"/>
      <c r="O393" s="11"/>
    </row>
    <row r="394" spans="5:15" ht="13.5" customHeight="1" x14ac:dyDescent="0.3">
      <c r="E394" s="16"/>
      <c r="H394" s="12"/>
      <c r="I394" s="8"/>
      <c r="J394" s="11"/>
      <c r="K394" s="10"/>
      <c r="L394" s="11"/>
      <c r="M394" s="11"/>
      <c r="N394" s="11"/>
      <c r="O394" s="11"/>
    </row>
    <row r="395" spans="5:15" ht="13.5" customHeight="1" x14ac:dyDescent="0.3">
      <c r="E395" s="16"/>
      <c r="H395" s="12"/>
      <c r="I395" s="8"/>
      <c r="J395" s="11"/>
      <c r="K395" s="10"/>
      <c r="L395" s="11"/>
      <c r="M395" s="11"/>
      <c r="N395" s="11"/>
      <c r="O395" s="11"/>
    </row>
    <row r="396" spans="5:15" ht="13.5" customHeight="1" x14ac:dyDescent="0.3">
      <c r="E396" s="16"/>
      <c r="H396" s="12"/>
      <c r="I396" s="8"/>
      <c r="J396" s="11"/>
      <c r="K396" s="10"/>
      <c r="L396" s="11"/>
      <c r="M396" s="11"/>
      <c r="N396" s="11"/>
      <c r="O396" s="11"/>
    </row>
    <row r="397" spans="5:15" ht="13.5" customHeight="1" x14ac:dyDescent="0.3">
      <c r="E397" s="16"/>
      <c r="H397" s="12"/>
      <c r="I397" s="8"/>
      <c r="J397" s="11"/>
      <c r="K397" s="10"/>
      <c r="L397" s="11"/>
      <c r="M397" s="11"/>
      <c r="N397" s="11"/>
      <c r="O397" s="11"/>
    </row>
    <row r="398" spans="5:15" ht="13.5" customHeight="1" x14ac:dyDescent="0.3">
      <c r="E398" s="16"/>
      <c r="H398" s="12"/>
      <c r="I398" s="8"/>
      <c r="J398" s="11"/>
      <c r="K398" s="10"/>
      <c r="L398" s="11"/>
      <c r="M398" s="11"/>
      <c r="N398" s="11"/>
      <c r="O398" s="11"/>
    </row>
    <row r="399" spans="5:15" ht="13.5" customHeight="1" x14ac:dyDescent="0.3">
      <c r="E399" s="16"/>
      <c r="H399" s="12"/>
      <c r="I399" s="8"/>
      <c r="J399" s="11"/>
      <c r="K399" s="10"/>
      <c r="L399" s="11"/>
      <c r="M399" s="11"/>
      <c r="N399" s="11"/>
      <c r="O399" s="11"/>
    </row>
    <row r="400" spans="5:15" ht="13.5" customHeight="1" x14ac:dyDescent="0.3">
      <c r="E400" s="16"/>
      <c r="H400" s="12"/>
      <c r="I400" s="8"/>
      <c r="J400" s="11"/>
      <c r="K400" s="10"/>
      <c r="L400" s="11"/>
      <c r="M400" s="11"/>
      <c r="N400" s="11"/>
      <c r="O400" s="11"/>
    </row>
    <row r="401" spans="5:15" ht="13.5" customHeight="1" x14ac:dyDescent="0.3">
      <c r="E401" s="16"/>
      <c r="H401" s="12"/>
      <c r="I401" s="8"/>
      <c r="J401" s="11"/>
      <c r="K401" s="10"/>
      <c r="L401" s="11"/>
      <c r="M401" s="11"/>
      <c r="N401" s="11"/>
      <c r="O401" s="11"/>
    </row>
    <row r="402" spans="5:15" ht="13.5" customHeight="1" x14ac:dyDescent="0.3">
      <c r="E402" s="16"/>
      <c r="H402" s="12"/>
      <c r="I402" s="8"/>
      <c r="J402" s="11"/>
      <c r="K402" s="10"/>
      <c r="L402" s="11"/>
      <c r="M402" s="11"/>
      <c r="N402" s="11"/>
      <c r="O402" s="11"/>
    </row>
    <row r="403" spans="5:15" ht="13.5" customHeight="1" x14ac:dyDescent="0.3">
      <c r="E403" s="16"/>
      <c r="H403" s="12"/>
      <c r="I403" s="8"/>
      <c r="J403" s="11"/>
      <c r="K403" s="10"/>
      <c r="L403" s="11"/>
      <c r="M403" s="11"/>
      <c r="N403" s="11"/>
      <c r="O403" s="11"/>
    </row>
    <row r="404" spans="5:15" ht="13.5" customHeight="1" x14ac:dyDescent="0.3">
      <c r="E404" s="16"/>
      <c r="H404" s="12"/>
      <c r="I404" s="8"/>
      <c r="J404" s="11"/>
      <c r="K404" s="10"/>
      <c r="L404" s="11"/>
      <c r="M404" s="11"/>
      <c r="N404" s="11"/>
      <c r="O404" s="11"/>
    </row>
    <row r="405" spans="5:15" ht="13.5" customHeight="1" x14ac:dyDescent="0.3">
      <c r="E405" s="16"/>
      <c r="H405" s="12"/>
      <c r="I405" s="8"/>
      <c r="J405" s="11"/>
      <c r="K405" s="10"/>
      <c r="L405" s="11"/>
      <c r="M405" s="11"/>
      <c r="N405" s="11"/>
      <c r="O405" s="11"/>
    </row>
    <row r="406" spans="5:15" ht="13.5" customHeight="1" x14ac:dyDescent="0.3">
      <c r="E406" s="16"/>
      <c r="H406" s="12"/>
      <c r="I406" s="8"/>
      <c r="J406" s="11"/>
      <c r="K406" s="10"/>
      <c r="L406" s="11"/>
      <c r="M406" s="11"/>
      <c r="N406" s="11"/>
      <c r="O406" s="11"/>
    </row>
    <row r="407" spans="5:15" ht="13.5" customHeight="1" x14ac:dyDescent="0.3">
      <c r="E407" s="16"/>
      <c r="H407" s="12"/>
      <c r="I407" s="8"/>
      <c r="J407" s="11"/>
      <c r="K407" s="10"/>
      <c r="L407" s="11"/>
      <c r="M407" s="11"/>
      <c r="N407" s="11"/>
      <c r="O407" s="11"/>
    </row>
    <row r="408" spans="5:15" ht="13.5" customHeight="1" x14ac:dyDescent="0.3">
      <c r="E408" s="16"/>
      <c r="H408" s="12"/>
      <c r="I408" s="8"/>
      <c r="J408" s="11"/>
      <c r="K408" s="10"/>
      <c r="L408" s="11"/>
      <c r="M408" s="11"/>
      <c r="N408" s="11"/>
      <c r="O408" s="11"/>
    </row>
    <row r="409" spans="5:15" ht="13.5" customHeight="1" x14ac:dyDescent="0.3">
      <c r="E409" s="16"/>
      <c r="H409" s="12"/>
      <c r="I409" s="8"/>
      <c r="J409" s="11"/>
      <c r="K409" s="10"/>
      <c r="L409" s="11"/>
      <c r="M409" s="11"/>
      <c r="N409" s="11"/>
      <c r="O409" s="11"/>
    </row>
    <row r="410" spans="5:15" ht="13.5" customHeight="1" x14ac:dyDescent="0.3">
      <c r="E410" s="16"/>
      <c r="H410" s="12"/>
      <c r="I410" s="8"/>
      <c r="J410" s="11"/>
      <c r="K410" s="10"/>
      <c r="L410" s="11"/>
      <c r="M410" s="11"/>
      <c r="N410" s="11"/>
      <c r="O410" s="11"/>
    </row>
    <row r="411" spans="5:15" ht="13.5" customHeight="1" x14ac:dyDescent="0.3">
      <c r="E411" s="16"/>
      <c r="H411" s="12"/>
      <c r="I411" s="8"/>
      <c r="J411" s="11"/>
      <c r="K411" s="10"/>
      <c r="L411" s="11"/>
      <c r="M411" s="11"/>
      <c r="N411" s="11"/>
      <c r="O411" s="11"/>
    </row>
    <row r="412" spans="5:15" ht="13.5" customHeight="1" x14ac:dyDescent="0.3">
      <c r="E412" s="16"/>
      <c r="H412" s="12"/>
      <c r="I412" s="8"/>
      <c r="J412" s="11"/>
      <c r="K412" s="10"/>
      <c r="L412" s="11"/>
      <c r="M412" s="11"/>
      <c r="N412" s="11"/>
      <c r="O412" s="11"/>
    </row>
    <row r="413" spans="5:15" ht="13.5" customHeight="1" x14ac:dyDescent="0.3">
      <c r="E413" s="16"/>
      <c r="H413" s="12"/>
      <c r="I413" s="8"/>
      <c r="J413" s="11"/>
      <c r="K413" s="10"/>
      <c r="L413" s="11"/>
      <c r="M413" s="11"/>
      <c r="N413" s="11"/>
      <c r="O413" s="11"/>
    </row>
    <row r="414" spans="5:15" ht="13.5" customHeight="1" x14ac:dyDescent="0.3">
      <c r="E414" s="16"/>
      <c r="H414" s="12"/>
      <c r="I414" s="8"/>
      <c r="J414" s="11"/>
      <c r="K414" s="10"/>
      <c r="L414" s="11"/>
      <c r="M414" s="11"/>
      <c r="N414" s="11"/>
      <c r="O414" s="11"/>
    </row>
    <row r="415" spans="5:15" ht="13.5" customHeight="1" x14ac:dyDescent="0.3">
      <c r="E415" s="16"/>
      <c r="H415" s="12"/>
      <c r="I415" s="8"/>
      <c r="J415" s="11"/>
      <c r="K415" s="10"/>
      <c r="L415" s="11"/>
      <c r="M415" s="11"/>
      <c r="N415" s="11"/>
      <c r="O415" s="11"/>
    </row>
    <row r="416" spans="5:15" ht="13.5" customHeight="1" x14ac:dyDescent="0.3">
      <c r="E416" s="16"/>
      <c r="H416" s="12"/>
      <c r="I416" s="8"/>
      <c r="J416" s="11"/>
      <c r="K416" s="10"/>
      <c r="L416" s="11"/>
      <c r="M416" s="11"/>
      <c r="N416" s="11"/>
      <c r="O416" s="11"/>
    </row>
    <row r="417" spans="5:15" ht="13.5" customHeight="1" x14ac:dyDescent="0.3">
      <c r="E417" s="16"/>
      <c r="H417" s="12"/>
      <c r="I417" s="8"/>
      <c r="J417" s="11"/>
      <c r="K417" s="10"/>
      <c r="L417" s="11"/>
      <c r="M417" s="11"/>
      <c r="N417" s="11"/>
      <c r="O417" s="11"/>
    </row>
    <row r="418" spans="5:15" ht="13.5" customHeight="1" x14ac:dyDescent="0.3">
      <c r="E418" s="16"/>
      <c r="H418" s="12"/>
      <c r="I418" s="8"/>
      <c r="J418" s="11"/>
      <c r="K418" s="10"/>
      <c r="L418" s="11"/>
      <c r="M418" s="11"/>
      <c r="N418" s="11"/>
      <c r="O418" s="11"/>
    </row>
    <row r="419" spans="5:15" ht="13.5" customHeight="1" x14ac:dyDescent="0.3">
      <c r="E419" s="16"/>
      <c r="H419" s="12"/>
      <c r="I419" s="8"/>
      <c r="J419" s="11"/>
      <c r="K419" s="10"/>
      <c r="L419" s="11"/>
      <c r="M419" s="11"/>
      <c r="N419" s="11"/>
      <c r="O419" s="11"/>
    </row>
    <row r="420" spans="5:15" ht="13.5" customHeight="1" x14ac:dyDescent="0.3">
      <c r="E420" s="16"/>
      <c r="H420" s="12"/>
      <c r="I420" s="8"/>
      <c r="J420" s="11"/>
      <c r="K420" s="10"/>
      <c r="L420" s="11"/>
      <c r="M420" s="11"/>
      <c r="N420" s="11"/>
      <c r="O420" s="11"/>
    </row>
    <row r="421" spans="5:15" ht="13.5" customHeight="1" x14ac:dyDescent="0.3">
      <c r="E421" s="16"/>
      <c r="H421" s="12"/>
      <c r="I421" s="8"/>
      <c r="J421" s="11"/>
      <c r="K421" s="10"/>
      <c r="L421" s="11"/>
      <c r="M421" s="11"/>
      <c r="N421" s="11"/>
      <c r="O421" s="11"/>
    </row>
    <row r="422" spans="5:15" ht="13.5" customHeight="1" x14ac:dyDescent="0.3">
      <c r="E422" s="16"/>
      <c r="H422" s="12"/>
      <c r="I422" s="8"/>
      <c r="J422" s="11"/>
      <c r="K422" s="10"/>
      <c r="L422" s="11"/>
      <c r="M422" s="11"/>
      <c r="N422" s="11"/>
      <c r="O422" s="11"/>
    </row>
    <row r="423" spans="5:15" ht="13.5" customHeight="1" x14ac:dyDescent="0.3">
      <c r="E423" s="16"/>
      <c r="H423" s="12"/>
      <c r="I423" s="8"/>
      <c r="J423" s="11"/>
      <c r="K423" s="10"/>
      <c r="L423" s="11"/>
      <c r="M423" s="11"/>
      <c r="N423" s="11"/>
      <c r="O423" s="11"/>
    </row>
    <row r="424" spans="5:15" ht="13.5" customHeight="1" x14ac:dyDescent="0.3">
      <c r="E424" s="16"/>
      <c r="H424" s="12"/>
      <c r="I424" s="8"/>
      <c r="J424" s="11"/>
      <c r="K424" s="10"/>
      <c r="L424" s="11"/>
      <c r="M424" s="11"/>
      <c r="N424" s="11"/>
      <c r="O424" s="11"/>
    </row>
    <row r="425" spans="5:15" ht="13.5" customHeight="1" x14ac:dyDescent="0.3">
      <c r="E425" s="16"/>
      <c r="H425" s="12"/>
      <c r="I425" s="8"/>
      <c r="J425" s="11"/>
      <c r="K425" s="10"/>
      <c r="L425" s="11"/>
      <c r="M425" s="11"/>
      <c r="N425" s="11"/>
      <c r="O425" s="11"/>
    </row>
    <row r="426" spans="5:15" ht="13.5" customHeight="1" x14ac:dyDescent="0.3">
      <c r="E426" s="16"/>
      <c r="H426" s="12"/>
      <c r="I426" s="8"/>
      <c r="J426" s="11"/>
      <c r="K426" s="10"/>
      <c r="L426" s="11"/>
      <c r="M426" s="11"/>
      <c r="N426" s="11"/>
      <c r="O426" s="11"/>
    </row>
    <row r="427" spans="5:15" ht="13.5" customHeight="1" x14ac:dyDescent="0.3">
      <c r="E427" s="16"/>
      <c r="H427" s="12"/>
      <c r="I427" s="8"/>
      <c r="J427" s="11"/>
      <c r="K427" s="10"/>
      <c r="L427" s="11"/>
      <c r="M427" s="11"/>
      <c r="N427" s="11"/>
      <c r="O427" s="11"/>
    </row>
    <row r="428" spans="5:15" ht="13.5" customHeight="1" x14ac:dyDescent="0.3">
      <c r="E428" s="16"/>
      <c r="H428" s="12"/>
      <c r="I428" s="8"/>
      <c r="J428" s="11"/>
      <c r="K428" s="10"/>
      <c r="L428" s="11"/>
      <c r="M428" s="11"/>
      <c r="N428" s="11"/>
      <c r="O428" s="11"/>
    </row>
    <row r="429" spans="5:15" ht="13.5" customHeight="1" x14ac:dyDescent="0.3">
      <c r="E429" s="16"/>
      <c r="H429" s="12"/>
      <c r="I429" s="8"/>
      <c r="J429" s="11"/>
      <c r="K429" s="10"/>
      <c r="L429" s="11"/>
      <c r="M429" s="11"/>
      <c r="N429" s="11"/>
      <c r="O429" s="11"/>
    </row>
    <row r="430" spans="5:15" ht="13.5" customHeight="1" x14ac:dyDescent="0.3">
      <c r="E430" s="16"/>
      <c r="H430" s="12"/>
      <c r="I430" s="8"/>
      <c r="J430" s="11"/>
      <c r="K430" s="10"/>
      <c r="L430" s="11"/>
      <c r="M430" s="11"/>
      <c r="N430" s="11"/>
      <c r="O430" s="11"/>
    </row>
    <row r="431" spans="5:15" ht="13.5" customHeight="1" x14ac:dyDescent="0.3">
      <c r="E431" s="16"/>
      <c r="H431" s="12"/>
      <c r="I431" s="8"/>
      <c r="J431" s="11"/>
      <c r="K431" s="10"/>
      <c r="L431" s="11"/>
      <c r="M431" s="11"/>
      <c r="N431" s="11"/>
      <c r="O431" s="11"/>
    </row>
    <row r="432" spans="5:15" ht="13.5" customHeight="1" x14ac:dyDescent="0.3">
      <c r="E432" s="16"/>
      <c r="H432" s="12"/>
      <c r="I432" s="8"/>
      <c r="J432" s="11"/>
      <c r="K432" s="10"/>
      <c r="L432" s="11"/>
      <c r="M432" s="11"/>
      <c r="N432" s="11"/>
      <c r="O432" s="11"/>
    </row>
    <row r="433" spans="5:15" ht="13.5" customHeight="1" x14ac:dyDescent="0.3">
      <c r="E433" s="16"/>
      <c r="H433" s="12"/>
      <c r="I433" s="8"/>
      <c r="J433" s="11"/>
      <c r="K433" s="10"/>
      <c r="L433" s="11"/>
      <c r="M433" s="11"/>
      <c r="N433" s="11"/>
      <c r="O433" s="11"/>
    </row>
    <row r="434" spans="5:15" ht="13.5" customHeight="1" x14ac:dyDescent="0.3">
      <c r="E434" s="16"/>
      <c r="H434" s="12"/>
      <c r="I434" s="8"/>
      <c r="J434" s="11"/>
      <c r="K434" s="10"/>
      <c r="L434" s="11"/>
      <c r="M434" s="11"/>
      <c r="N434" s="11"/>
      <c r="O434" s="11"/>
    </row>
    <row r="435" spans="5:15" ht="13.5" customHeight="1" x14ac:dyDescent="0.3">
      <c r="E435" s="16"/>
      <c r="H435" s="12"/>
      <c r="I435" s="8"/>
      <c r="J435" s="11"/>
      <c r="K435" s="10"/>
      <c r="L435" s="11"/>
      <c r="M435" s="11"/>
      <c r="N435" s="11"/>
      <c r="O435" s="11"/>
    </row>
    <row r="436" spans="5:15" ht="13.5" customHeight="1" x14ac:dyDescent="0.3">
      <c r="E436" s="16"/>
      <c r="H436" s="12"/>
      <c r="I436" s="8"/>
      <c r="J436" s="11"/>
      <c r="K436" s="10"/>
      <c r="L436" s="11"/>
      <c r="M436" s="11"/>
      <c r="N436" s="11"/>
      <c r="O436" s="11"/>
    </row>
    <row r="437" spans="5:15" ht="13.5" customHeight="1" x14ac:dyDescent="0.3">
      <c r="E437" s="16"/>
      <c r="H437" s="12"/>
      <c r="I437" s="8"/>
      <c r="J437" s="11"/>
      <c r="K437" s="10"/>
      <c r="L437" s="11"/>
      <c r="M437" s="11"/>
      <c r="N437" s="11"/>
      <c r="O437" s="11"/>
    </row>
    <row r="438" spans="5:15" ht="13.5" customHeight="1" x14ac:dyDescent="0.3">
      <c r="E438" s="16"/>
      <c r="H438" s="12"/>
      <c r="I438" s="8"/>
      <c r="J438" s="11"/>
      <c r="K438" s="10"/>
      <c r="L438" s="11"/>
      <c r="M438" s="11"/>
      <c r="N438" s="11"/>
      <c r="O438" s="11"/>
    </row>
    <row r="439" spans="5:15" ht="13.5" customHeight="1" x14ac:dyDescent="0.3">
      <c r="E439" s="16"/>
      <c r="H439" s="12"/>
      <c r="I439" s="8"/>
      <c r="J439" s="11"/>
      <c r="K439" s="10"/>
      <c r="L439" s="11"/>
      <c r="M439" s="11"/>
      <c r="N439" s="11"/>
      <c r="O439" s="11"/>
    </row>
    <row r="440" spans="5:15" ht="13.5" customHeight="1" x14ac:dyDescent="0.3">
      <c r="E440" s="16"/>
      <c r="H440" s="12"/>
      <c r="I440" s="8"/>
      <c r="J440" s="11"/>
      <c r="K440" s="10"/>
      <c r="L440" s="11"/>
      <c r="M440" s="11"/>
      <c r="N440" s="11"/>
      <c r="O440" s="11"/>
    </row>
    <row r="441" spans="5:15" ht="13.5" customHeight="1" x14ac:dyDescent="0.3">
      <c r="E441" s="16"/>
      <c r="H441" s="12"/>
      <c r="I441" s="8"/>
      <c r="J441" s="11"/>
      <c r="K441" s="10"/>
      <c r="L441" s="11"/>
      <c r="M441" s="11"/>
      <c r="N441" s="11"/>
      <c r="O441" s="11"/>
    </row>
    <row r="442" spans="5:15" ht="13.5" customHeight="1" x14ac:dyDescent="0.3">
      <c r="E442" s="16"/>
      <c r="H442" s="12"/>
      <c r="I442" s="8"/>
      <c r="J442" s="11"/>
      <c r="K442" s="10"/>
      <c r="L442" s="11"/>
      <c r="M442" s="11"/>
      <c r="N442" s="11"/>
      <c r="O442" s="11"/>
    </row>
    <row r="443" spans="5:15" ht="13.5" customHeight="1" x14ac:dyDescent="0.3">
      <c r="E443" s="16"/>
      <c r="H443" s="12"/>
      <c r="I443" s="8"/>
      <c r="J443" s="11"/>
      <c r="K443" s="10"/>
      <c r="L443" s="11"/>
      <c r="M443" s="11"/>
      <c r="N443" s="11"/>
      <c r="O443" s="11"/>
    </row>
    <row r="444" spans="5:15" ht="13.5" customHeight="1" x14ac:dyDescent="0.3">
      <c r="E444" s="16"/>
      <c r="H444" s="12"/>
      <c r="I444" s="8"/>
      <c r="J444" s="11"/>
      <c r="K444" s="10"/>
      <c r="L444" s="11"/>
      <c r="M444" s="11"/>
      <c r="N444" s="11"/>
      <c r="O444" s="11"/>
    </row>
    <row r="445" spans="5:15" ht="13.5" customHeight="1" x14ac:dyDescent="0.3">
      <c r="E445" s="16"/>
      <c r="H445" s="12"/>
      <c r="I445" s="8"/>
      <c r="J445" s="11"/>
      <c r="K445" s="10"/>
      <c r="L445" s="11"/>
      <c r="M445" s="11"/>
      <c r="N445" s="11"/>
      <c r="O445" s="11"/>
    </row>
    <row r="446" spans="5:15" ht="13.5" customHeight="1" x14ac:dyDescent="0.3">
      <c r="E446" s="16"/>
      <c r="H446" s="12"/>
      <c r="I446" s="8"/>
      <c r="J446" s="11"/>
      <c r="K446" s="10"/>
      <c r="L446" s="11"/>
      <c r="M446" s="11"/>
      <c r="N446" s="11"/>
      <c r="O446" s="11"/>
    </row>
    <row r="447" spans="5:15" ht="13.5" customHeight="1" x14ac:dyDescent="0.3">
      <c r="E447" s="16"/>
      <c r="H447" s="12"/>
      <c r="I447" s="8"/>
      <c r="J447" s="11"/>
      <c r="K447" s="10"/>
      <c r="L447" s="11"/>
      <c r="M447" s="11"/>
      <c r="N447" s="11"/>
      <c r="O447" s="11"/>
    </row>
    <row r="448" spans="5:15" ht="13.5" customHeight="1" x14ac:dyDescent="0.3">
      <c r="E448" s="16"/>
      <c r="H448" s="12"/>
      <c r="I448" s="8"/>
      <c r="J448" s="11"/>
      <c r="K448" s="10"/>
      <c r="L448" s="11"/>
      <c r="M448" s="11"/>
      <c r="N448" s="11"/>
      <c r="O448" s="11"/>
    </row>
    <row r="449" spans="5:15" ht="13.5" customHeight="1" x14ac:dyDescent="0.3">
      <c r="E449" s="16"/>
      <c r="H449" s="12"/>
      <c r="I449" s="8"/>
      <c r="J449" s="11"/>
      <c r="K449" s="10"/>
      <c r="L449" s="11"/>
      <c r="M449" s="11"/>
      <c r="N449" s="11"/>
      <c r="O449" s="11"/>
    </row>
    <row r="450" spans="5:15" ht="13.5" customHeight="1" x14ac:dyDescent="0.3">
      <c r="E450" s="16"/>
      <c r="H450" s="12"/>
      <c r="I450" s="8"/>
      <c r="J450" s="11"/>
      <c r="K450" s="10"/>
      <c r="L450" s="11"/>
      <c r="M450" s="11"/>
      <c r="N450" s="11"/>
      <c r="O450" s="11"/>
    </row>
    <row r="451" spans="5:15" ht="13.5" customHeight="1" x14ac:dyDescent="0.3">
      <c r="E451" s="16"/>
      <c r="H451" s="12"/>
      <c r="I451" s="8"/>
      <c r="J451" s="11"/>
      <c r="K451" s="10"/>
      <c r="L451" s="11"/>
      <c r="M451" s="11"/>
      <c r="N451" s="11"/>
      <c r="O451" s="11"/>
    </row>
    <row r="452" spans="5:15" ht="13.5" customHeight="1" x14ac:dyDescent="0.3">
      <c r="E452" s="16"/>
      <c r="H452" s="12"/>
      <c r="I452" s="8"/>
      <c r="J452" s="11"/>
      <c r="K452" s="10"/>
      <c r="L452" s="11"/>
      <c r="M452" s="11"/>
      <c r="N452" s="11"/>
      <c r="O452" s="11"/>
    </row>
    <row r="453" spans="5:15" ht="13.5" customHeight="1" x14ac:dyDescent="0.3">
      <c r="E453" s="16"/>
      <c r="H453" s="12"/>
      <c r="I453" s="8"/>
      <c r="J453" s="11"/>
      <c r="K453" s="10"/>
      <c r="L453" s="11"/>
      <c r="M453" s="11"/>
      <c r="N453" s="11"/>
      <c r="O453" s="11"/>
    </row>
    <row r="454" spans="5:15" ht="13.5" customHeight="1" x14ac:dyDescent="0.3">
      <c r="E454" s="16"/>
      <c r="H454" s="12"/>
      <c r="I454" s="8"/>
      <c r="J454" s="11"/>
      <c r="K454" s="10"/>
      <c r="L454" s="11"/>
      <c r="M454" s="11"/>
      <c r="N454" s="11"/>
      <c r="O454" s="11"/>
    </row>
    <row r="455" spans="5:15" ht="13.5" customHeight="1" x14ac:dyDescent="0.3">
      <c r="E455" s="16"/>
      <c r="H455" s="12"/>
      <c r="I455" s="8"/>
      <c r="J455" s="11"/>
      <c r="K455" s="10"/>
      <c r="L455" s="11"/>
      <c r="M455" s="11"/>
      <c r="N455" s="11"/>
      <c r="O455" s="11"/>
    </row>
    <row r="456" spans="5:15" ht="13.5" customHeight="1" x14ac:dyDescent="0.3">
      <c r="E456" s="16"/>
      <c r="H456" s="12"/>
      <c r="I456" s="8"/>
      <c r="J456" s="11"/>
      <c r="K456" s="10"/>
      <c r="L456" s="11"/>
      <c r="M456" s="11"/>
      <c r="N456" s="11"/>
      <c r="O456" s="11"/>
    </row>
    <row r="457" spans="5:15" ht="13.5" customHeight="1" x14ac:dyDescent="0.3">
      <c r="E457" s="16"/>
      <c r="H457" s="12"/>
      <c r="I457" s="8"/>
      <c r="J457" s="11"/>
      <c r="K457" s="10"/>
      <c r="L457" s="11"/>
      <c r="M457" s="11"/>
      <c r="N457" s="11"/>
      <c r="O457" s="11"/>
    </row>
    <row r="458" spans="5:15" ht="13.5" customHeight="1" x14ac:dyDescent="0.3">
      <c r="E458" s="16"/>
      <c r="H458" s="12"/>
      <c r="I458" s="8"/>
      <c r="J458" s="11"/>
      <c r="K458" s="10"/>
      <c r="L458" s="11"/>
      <c r="M458" s="11"/>
      <c r="N458" s="11"/>
      <c r="O458" s="11"/>
    </row>
    <row r="459" spans="5:15" ht="13.5" customHeight="1" x14ac:dyDescent="0.3">
      <c r="E459" s="16"/>
      <c r="H459" s="12"/>
      <c r="I459" s="8"/>
      <c r="J459" s="11"/>
      <c r="K459" s="10"/>
      <c r="L459" s="11"/>
      <c r="M459" s="11"/>
      <c r="N459" s="11"/>
      <c r="O459" s="11"/>
    </row>
    <row r="460" spans="5:15" ht="13.5" customHeight="1" x14ac:dyDescent="0.3">
      <c r="E460" s="16"/>
      <c r="H460" s="12"/>
      <c r="I460" s="8"/>
      <c r="J460" s="11"/>
      <c r="K460" s="10"/>
      <c r="L460" s="11"/>
      <c r="M460" s="11"/>
      <c r="N460" s="11"/>
      <c r="O460" s="11"/>
    </row>
    <row r="461" spans="5:15" ht="13.5" customHeight="1" x14ac:dyDescent="0.3">
      <c r="E461" s="16"/>
      <c r="H461" s="12"/>
      <c r="I461" s="8"/>
      <c r="J461" s="11"/>
      <c r="K461" s="10"/>
      <c r="L461" s="11"/>
      <c r="M461" s="11"/>
      <c r="N461" s="11"/>
      <c r="O461" s="11"/>
    </row>
    <row r="462" spans="5:15" ht="13.5" customHeight="1" x14ac:dyDescent="0.3">
      <c r="E462" s="16"/>
      <c r="H462" s="12"/>
      <c r="I462" s="8"/>
      <c r="J462" s="11"/>
      <c r="K462" s="10"/>
      <c r="L462" s="11"/>
      <c r="M462" s="11"/>
      <c r="N462" s="11"/>
      <c r="O462" s="11"/>
    </row>
    <row r="463" spans="5:15" ht="13.5" customHeight="1" x14ac:dyDescent="0.3">
      <c r="E463" s="16"/>
      <c r="H463" s="12"/>
      <c r="I463" s="8"/>
      <c r="J463" s="11"/>
      <c r="K463" s="10"/>
      <c r="L463" s="11"/>
      <c r="M463" s="11"/>
      <c r="N463" s="11"/>
      <c r="O463" s="11"/>
    </row>
    <row r="464" spans="5:15" ht="13.5" customHeight="1" x14ac:dyDescent="0.3">
      <c r="E464" s="16"/>
      <c r="H464" s="12"/>
      <c r="I464" s="8"/>
      <c r="J464" s="11"/>
      <c r="K464" s="10"/>
      <c r="L464" s="11"/>
      <c r="M464" s="11"/>
      <c r="N464" s="11"/>
      <c r="O464" s="11"/>
    </row>
    <row r="465" spans="5:15" ht="13.5" customHeight="1" x14ac:dyDescent="0.3">
      <c r="E465" s="16"/>
      <c r="H465" s="12"/>
      <c r="I465" s="8"/>
      <c r="J465" s="11"/>
      <c r="K465" s="10"/>
      <c r="L465" s="11"/>
      <c r="M465" s="11"/>
      <c r="N465" s="11"/>
      <c r="O465" s="11"/>
    </row>
    <row r="466" spans="5:15" ht="13.5" customHeight="1" x14ac:dyDescent="0.3">
      <c r="E466" s="16"/>
      <c r="H466" s="12"/>
      <c r="I466" s="8"/>
      <c r="J466" s="11"/>
      <c r="K466" s="10"/>
      <c r="L466" s="11"/>
      <c r="M466" s="11"/>
      <c r="N466" s="11"/>
      <c r="O466" s="11"/>
    </row>
    <row r="467" spans="5:15" ht="13.5" customHeight="1" x14ac:dyDescent="0.3">
      <c r="E467" s="16"/>
      <c r="H467" s="12"/>
      <c r="I467" s="8"/>
      <c r="J467" s="11"/>
      <c r="K467" s="10"/>
      <c r="L467" s="11"/>
      <c r="M467" s="11"/>
      <c r="N467" s="11"/>
      <c r="O467" s="11"/>
    </row>
    <row r="468" spans="5:15" ht="13.5" customHeight="1" x14ac:dyDescent="0.3">
      <c r="E468" s="16"/>
      <c r="H468" s="12"/>
      <c r="I468" s="8"/>
      <c r="J468" s="11"/>
      <c r="K468" s="10"/>
      <c r="L468" s="11"/>
      <c r="M468" s="11"/>
      <c r="N468" s="11"/>
      <c r="O468" s="11"/>
    </row>
    <row r="469" spans="5:15" ht="13.5" customHeight="1" x14ac:dyDescent="0.3">
      <c r="E469" s="16"/>
      <c r="H469" s="12"/>
      <c r="I469" s="8"/>
      <c r="J469" s="11"/>
      <c r="K469" s="10"/>
      <c r="L469" s="11"/>
      <c r="M469" s="11"/>
      <c r="N469" s="11"/>
      <c r="O469" s="11"/>
    </row>
    <row r="470" spans="5:15" ht="13.5" customHeight="1" x14ac:dyDescent="0.3">
      <c r="E470" s="16"/>
      <c r="H470" s="12"/>
      <c r="I470" s="8"/>
      <c r="J470" s="11"/>
      <c r="K470" s="10"/>
      <c r="L470" s="11"/>
      <c r="M470" s="11"/>
      <c r="N470" s="11"/>
      <c r="O470" s="11"/>
    </row>
    <row r="471" spans="5:15" ht="13.5" customHeight="1" x14ac:dyDescent="0.3">
      <c r="E471" s="16"/>
      <c r="H471" s="12"/>
      <c r="I471" s="8"/>
      <c r="J471" s="11"/>
      <c r="K471" s="10"/>
      <c r="L471" s="11"/>
      <c r="M471" s="11"/>
      <c r="N471" s="11"/>
      <c r="O471" s="11"/>
    </row>
    <row r="472" spans="5:15" ht="13.5" customHeight="1" x14ac:dyDescent="0.3">
      <c r="E472" s="16"/>
      <c r="H472" s="12"/>
      <c r="I472" s="8"/>
      <c r="J472" s="11"/>
      <c r="K472" s="10"/>
      <c r="L472" s="11"/>
      <c r="M472" s="11"/>
      <c r="N472" s="11"/>
      <c r="O472" s="11"/>
    </row>
    <row r="473" spans="5:15" ht="13.5" customHeight="1" x14ac:dyDescent="0.3">
      <c r="E473" s="16"/>
      <c r="H473" s="12"/>
      <c r="I473" s="8"/>
      <c r="J473" s="11"/>
      <c r="K473" s="10"/>
      <c r="L473" s="11"/>
      <c r="M473" s="11"/>
      <c r="N473" s="11"/>
      <c r="O473" s="11"/>
    </row>
    <row r="474" spans="5:15" ht="13.5" customHeight="1" x14ac:dyDescent="0.3">
      <c r="E474" s="16"/>
      <c r="H474" s="12"/>
      <c r="I474" s="8"/>
      <c r="J474" s="11"/>
      <c r="K474" s="10"/>
      <c r="L474" s="11"/>
      <c r="M474" s="11"/>
      <c r="N474" s="11"/>
      <c r="O474" s="11"/>
    </row>
    <row r="475" spans="5:15" ht="13.5" customHeight="1" x14ac:dyDescent="0.3">
      <c r="E475" s="16"/>
      <c r="H475" s="12"/>
      <c r="I475" s="8"/>
      <c r="J475" s="11"/>
      <c r="K475" s="10"/>
      <c r="L475" s="11"/>
      <c r="M475" s="11"/>
      <c r="N475" s="11"/>
      <c r="O475" s="11"/>
    </row>
    <row r="476" spans="5:15" ht="13.5" customHeight="1" x14ac:dyDescent="0.3">
      <c r="E476" s="16"/>
      <c r="H476" s="12"/>
      <c r="I476" s="8"/>
      <c r="J476" s="11"/>
      <c r="K476" s="10"/>
      <c r="L476" s="11"/>
      <c r="M476" s="11"/>
      <c r="N476" s="11"/>
      <c r="O476" s="11"/>
    </row>
    <row r="477" spans="5:15" ht="13.5" customHeight="1" x14ac:dyDescent="0.3">
      <c r="E477" s="16"/>
      <c r="H477" s="12"/>
      <c r="I477" s="8"/>
      <c r="J477" s="11"/>
      <c r="K477" s="10"/>
      <c r="L477" s="11"/>
      <c r="M477" s="11"/>
      <c r="N477" s="11"/>
      <c r="O477" s="11"/>
    </row>
    <row r="478" spans="5:15" ht="13.5" customHeight="1" x14ac:dyDescent="0.3">
      <c r="E478" s="16"/>
      <c r="H478" s="12"/>
      <c r="I478" s="8"/>
      <c r="J478" s="11"/>
      <c r="K478" s="10"/>
      <c r="L478" s="11"/>
      <c r="M478" s="11"/>
      <c r="N478" s="11"/>
      <c r="O478" s="11"/>
    </row>
    <row r="479" spans="5:15" ht="13.5" customHeight="1" x14ac:dyDescent="0.3">
      <c r="E479" s="16"/>
      <c r="H479" s="12"/>
      <c r="I479" s="8"/>
      <c r="J479" s="11"/>
      <c r="K479" s="10"/>
      <c r="L479" s="11"/>
      <c r="M479" s="11"/>
      <c r="N479" s="11"/>
      <c r="O479" s="11"/>
    </row>
    <row r="480" spans="5:15" ht="13.5" customHeight="1" x14ac:dyDescent="0.3">
      <c r="E480" s="16"/>
      <c r="H480" s="12"/>
      <c r="I480" s="8"/>
      <c r="J480" s="11"/>
      <c r="K480" s="10"/>
      <c r="L480" s="11"/>
      <c r="M480" s="11"/>
      <c r="N480" s="11"/>
      <c r="O480" s="11"/>
    </row>
    <row r="481" spans="5:15" ht="13.5" customHeight="1" x14ac:dyDescent="0.3">
      <c r="E481" s="16"/>
      <c r="H481" s="12"/>
      <c r="I481" s="8"/>
      <c r="J481" s="11"/>
      <c r="K481" s="10"/>
      <c r="L481" s="11"/>
      <c r="M481" s="11"/>
      <c r="N481" s="11"/>
      <c r="O481" s="11"/>
    </row>
    <row r="482" spans="5:15" ht="13.5" customHeight="1" x14ac:dyDescent="0.3">
      <c r="E482" s="16"/>
      <c r="H482" s="12"/>
      <c r="I482" s="8"/>
      <c r="J482" s="11"/>
      <c r="K482" s="10"/>
      <c r="L482" s="11"/>
      <c r="M482" s="11"/>
      <c r="N482" s="11"/>
      <c r="O482" s="11"/>
    </row>
    <row r="483" spans="5:15" ht="13.5" customHeight="1" x14ac:dyDescent="0.3">
      <c r="E483" s="16"/>
      <c r="H483" s="12"/>
      <c r="I483" s="8"/>
      <c r="J483" s="11"/>
      <c r="K483" s="10"/>
      <c r="L483" s="11"/>
      <c r="M483" s="11"/>
      <c r="N483" s="11"/>
      <c r="O483" s="11"/>
    </row>
    <row r="484" spans="5:15" ht="13.5" customHeight="1" x14ac:dyDescent="0.3">
      <c r="E484" s="16"/>
      <c r="H484" s="12"/>
      <c r="I484" s="8"/>
      <c r="J484" s="11"/>
      <c r="K484" s="10"/>
      <c r="L484" s="11"/>
      <c r="M484" s="11"/>
      <c r="N484" s="11"/>
      <c r="O484" s="11"/>
    </row>
    <row r="485" spans="5:15" ht="13.5" customHeight="1" x14ac:dyDescent="0.3">
      <c r="E485" s="16"/>
      <c r="H485" s="12"/>
      <c r="I485" s="8"/>
      <c r="J485" s="11"/>
      <c r="K485" s="10"/>
      <c r="L485" s="11"/>
      <c r="M485" s="11"/>
      <c r="N485" s="11"/>
      <c r="O485" s="11"/>
    </row>
    <row r="486" spans="5:15" ht="13.5" customHeight="1" x14ac:dyDescent="0.3">
      <c r="E486" s="16"/>
      <c r="H486" s="12"/>
      <c r="I486" s="8"/>
      <c r="J486" s="11"/>
      <c r="K486" s="10"/>
      <c r="L486" s="11"/>
      <c r="M486" s="11"/>
      <c r="N486" s="11"/>
      <c r="O486" s="11"/>
    </row>
    <row r="487" spans="5:15" ht="13.5" customHeight="1" x14ac:dyDescent="0.3">
      <c r="E487" s="16"/>
      <c r="H487" s="12"/>
      <c r="I487" s="8"/>
      <c r="J487" s="11"/>
      <c r="K487" s="10"/>
      <c r="L487" s="11"/>
      <c r="M487" s="11"/>
      <c r="N487" s="11"/>
      <c r="O487" s="11"/>
    </row>
    <row r="488" spans="5:15" ht="13.5" customHeight="1" x14ac:dyDescent="0.3">
      <c r="E488" s="16"/>
      <c r="H488" s="12"/>
      <c r="I488" s="8"/>
      <c r="J488" s="11"/>
      <c r="K488" s="10"/>
      <c r="L488" s="11"/>
      <c r="M488" s="11"/>
      <c r="N488" s="11"/>
      <c r="O488" s="11"/>
    </row>
    <row r="489" spans="5:15" ht="13.5" customHeight="1" x14ac:dyDescent="0.3">
      <c r="E489" s="16"/>
      <c r="H489" s="12"/>
      <c r="I489" s="8"/>
      <c r="J489" s="11"/>
      <c r="K489" s="10"/>
      <c r="L489" s="11"/>
      <c r="M489" s="11"/>
      <c r="N489" s="11"/>
      <c r="O489" s="11"/>
    </row>
    <row r="490" spans="5:15" ht="13.5" customHeight="1" x14ac:dyDescent="0.3">
      <c r="E490" s="16"/>
      <c r="H490" s="12"/>
      <c r="I490" s="8"/>
      <c r="J490" s="11"/>
      <c r="K490" s="10"/>
      <c r="L490" s="11"/>
      <c r="M490" s="11"/>
      <c r="N490" s="11"/>
      <c r="O490" s="11"/>
    </row>
    <row r="491" spans="5:15" ht="13.5" customHeight="1" x14ac:dyDescent="0.3">
      <c r="E491" s="16"/>
      <c r="H491" s="12"/>
      <c r="I491" s="8"/>
      <c r="J491" s="11"/>
      <c r="K491" s="10"/>
      <c r="L491" s="11"/>
      <c r="M491" s="11"/>
      <c r="N491" s="11"/>
      <c r="O491" s="11"/>
    </row>
    <row r="492" spans="5:15" ht="13.5" customHeight="1" x14ac:dyDescent="0.3">
      <c r="E492" s="16"/>
      <c r="H492" s="12"/>
      <c r="I492" s="8"/>
      <c r="J492" s="11"/>
      <c r="K492" s="10"/>
      <c r="L492" s="11"/>
      <c r="M492" s="11"/>
      <c r="N492" s="11"/>
      <c r="O492" s="11"/>
    </row>
    <row r="493" spans="5:15" ht="13.5" customHeight="1" x14ac:dyDescent="0.3">
      <c r="E493" s="16"/>
      <c r="H493" s="12"/>
      <c r="I493" s="8"/>
      <c r="J493" s="11"/>
      <c r="K493" s="10"/>
      <c r="L493" s="11"/>
      <c r="M493" s="11"/>
      <c r="N493" s="11"/>
      <c r="O493" s="11"/>
    </row>
    <row r="494" spans="5:15" ht="13.5" customHeight="1" x14ac:dyDescent="0.3">
      <c r="E494" s="16"/>
      <c r="H494" s="12"/>
      <c r="I494" s="8"/>
      <c r="J494" s="11"/>
      <c r="K494" s="10"/>
      <c r="L494" s="11"/>
      <c r="M494" s="11"/>
      <c r="N494" s="11"/>
      <c r="O494" s="11"/>
    </row>
    <row r="495" spans="5:15" ht="13.5" customHeight="1" x14ac:dyDescent="0.3">
      <c r="E495" s="16"/>
      <c r="H495" s="12"/>
      <c r="I495" s="8"/>
      <c r="J495" s="11"/>
      <c r="K495" s="10"/>
      <c r="L495" s="11"/>
      <c r="M495" s="11"/>
      <c r="N495" s="11"/>
      <c r="O495" s="11"/>
    </row>
    <row r="496" spans="5:15" ht="13.5" customHeight="1" x14ac:dyDescent="0.3">
      <c r="E496" s="16"/>
      <c r="H496" s="12"/>
      <c r="I496" s="8"/>
      <c r="J496" s="11"/>
      <c r="K496" s="10"/>
      <c r="L496" s="11"/>
      <c r="M496" s="11"/>
      <c r="N496" s="11"/>
      <c r="O496" s="11"/>
    </row>
    <row r="497" spans="5:15" ht="13.5" customHeight="1" x14ac:dyDescent="0.3">
      <c r="E497" s="16"/>
      <c r="H497" s="12"/>
      <c r="I497" s="8"/>
      <c r="J497" s="11"/>
      <c r="K497" s="10"/>
      <c r="L497" s="11"/>
      <c r="M497" s="11"/>
      <c r="N497" s="11"/>
      <c r="O497" s="11"/>
    </row>
    <row r="498" spans="5:15" ht="13.5" customHeight="1" x14ac:dyDescent="0.3">
      <c r="E498" s="16"/>
      <c r="H498" s="12"/>
      <c r="I498" s="8"/>
      <c r="J498" s="11"/>
      <c r="K498" s="10"/>
      <c r="L498" s="11"/>
      <c r="M498" s="11"/>
      <c r="N498" s="11"/>
      <c r="O498" s="11"/>
    </row>
    <row r="499" spans="5:15" ht="13.5" customHeight="1" x14ac:dyDescent="0.3">
      <c r="E499" s="16"/>
      <c r="H499" s="12"/>
      <c r="I499" s="8"/>
      <c r="J499" s="11"/>
      <c r="K499" s="10"/>
      <c r="L499" s="11"/>
      <c r="M499" s="11"/>
      <c r="N499" s="11"/>
      <c r="O499" s="11"/>
    </row>
    <row r="500" spans="5:15" ht="13.5" customHeight="1" x14ac:dyDescent="0.3">
      <c r="E500" s="16"/>
      <c r="H500" s="12"/>
      <c r="I500" s="8"/>
      <c r="J500" s="11"/>
      <c r="K500" s="10"/>
      <c r="L500" s="11"/>
      <c r="M500" s="11"/>
      <c r="N500" s="11"/>
      <c r="O500" s="11"/>
    </row>
    <row r="501" spans="5:15" ht="13.5" customHeight="1" x14ac:dyDescent="0.3">
      <c r="E501" s="16"/>
      <c r="H501" s="12"/>
      <c r="I501" s="8"/>
      <c r="J501" s="11"/>
      <c r="K501" s="10"/>
      <c r="L501" s="11"/>
      <c r="M501" s="11"/>
      <c r="N501" s="11"/>
      <c r="O501" s="11"/>
    </row>
    <row r="502" spans="5:15" ht="13.5" customHeight="1" x14ac:dyDescent="0.3">
      <c r="E502" s="16"/>
      <c r="H502" s="12"/>
      <c r="I502" s="8"/>
      <c r="J502" s="11"/>
      <c r="K502" s="10"/>
      <c r="L502" s="11"/>
      <c r="M502" s="11"/>
      <c r="N502" s="11"/>
      <c r="O502" s="11"/>
    </row>
    <row r="503" spans="5:15" ht="13.5" customHeight="1" x14ac:dyDescent="0.3">
      <c r="E503" s="16"/>
      <c r="H503" s="12"/>
      <c r="I503" s="8"/>
      <c r="J503" s="11"/>
      <c r="K503" s="10"/>
      <c r="L503" s="11"/>
      <c r="M503" s="11"/>
      <c r="N503" s="11"/>
      <c r="O503" s="11"/>
    </row>
    <row r="504" spans="5:15" ht="13.5" customHeight="1" x14ac:dyDescent="0.3">
      <c r="E504" s="16"/>
      <c r="H504" s="12"/>
      <c r="I504" s="8"/>
      <c r="J504" s="11"/>
      <c r="K504" s="10"/>
      <c r="L504" s="11"/>
      <c r="M504" s="11"/>
      <c r="N504" s="11"/>
      <c r="O504" s="11"/>
    </row>
    <row r="505" spans="5:15" ht="13.5" customHeight="1" x14ac:dyDescent="0.3">
      <c r="E505" s="16"/>
      <c r="H505" s="12"/>
      <c r="I505" s="8"/>
      <c r="J505" s="11"/>
      <c r="K505" s="10"/>
      <c r="L505" s="11"/>
      <c r="M505" s="11"/>
      <c r="N505" s="11"/>
      <c r="O505" s="11"/>
    </row>
    <row r="506" spans="5:15" ht="13.5" customHeight="1" x14ac:dyDescent="0.3">
      <c r="E506" s="16"/>
      <c r="H506" s="12"/>
      <c r="I506" s="8"/>
      <c r="J506" s="11"/>
      <c r="K506" s="10"/>
      <c r="L506" s="11"/>
      <c r="M506" s="11"/>
      <c r="N506" s="11"/>
      <c r="O506" s="11"/>
    </row>
    <row r="507" spans="5:15" ht="13.5" customHeight="1" x14ac:dyDescent="0.3">
      <c r="E507" s="16"/>
      <c r="H507" s="12"/>
      <c r="I507" s="8"/>
      <c r="J507" s="11"/>
      <c r="K507" s="10"/>
      <c r="L507" s="11"/>
      <c r="M507" s="11"/>
      <c r="N507" s="11"/>
      <c r="O507" s="11"/>
    </row>
    <row r="508" spans="5:15" ht="13.5" customHeight="1" x14ac:dyDescent="0.3">
      <c r="E508" s="16"/>
      <c r="H508" s="12"/>
      <c r="I508" s="8"/>
      <c r="J508" s="11"/>
      <c r="K508" s="10"/>
      <c r="L508" s="11"/>
      <c r="M508" s="11"/>
      <c r="N508" s="11"/>
      <c r="O508" s="11"/>
    </row>
    <row r="509" spans="5:15" ht="13.5" customHeight="1" x14ac:dyDescent="0.3">
      <c r="E509" s="16"/>
      <c r="H509" s="12"/>
      <c r="I509" s="8"/>
      <c r="J509" s="11"/>
      <c r="K509" s="10"/>
      <c r="L509" s="11"/>
      <c r="M509" s="11"/>
      <c r="N509" s="11"/>
      <c r="O509" s="11"/>
    </row>
    <row r="510" spans="5:15" ht="13.5" customHeight="1" x14ac:dyDescent="0.3">
      <c r="E510" s="16"/>
      <c r="H510" s="12"/>
      <c r="I510" s="8"/>
      <c r="J510" s="11"/>
      <c r="K510" s="10"/>
      <c r="L510" s="11"/>
      <c r="M510" s="11"/>
      <c r="N510" s="11"/>
      <c r="O510" s="11"/>
    </row>
    <row r="511" spans="5:15" ht="13.5" customHeight="1" x14ac:dyDescent="0.3">
      <c r="E511" s="16"/>
      <c r="H511" s="12"/>
      <c r="I511" s="8"/>
      <c r="J511" s="11"/>
      <c r="K511" s="10"/>
      <c r="L511" s="11"/>
      <c r="M511" s="11"/>
      <c r="N511" s="11"/>
      <c r="O511" s="11"/>
    </row>
    <row r="512" spans="5:15" ht="13.5" customHeight="1" x14ac:dyDescent="0.3">
      <c r="E512" s="16"/>
      <c r="H512" s="12"/>
      <c r="I512" s="8"/>
      <c r="J512" s="11"/>
      <c r="K512" s="10"/>
      <c r="L512" s="11"/>
      <c r="M512" s="11"/>
      <c r="N512" s="11"/>
      <c r="O512" s="11"/>
    </row>
    <row r="513" spans="5:15" ht="13.5" customHeight="1" x14ac:dyDescent="0.3">
      <c r="E513" s="16"/>
      <c r="H513" s="12"/>
      <c r="I513" s="8"/>
      <c r="J513" s="11"/>
      <c r="K513" s="10"/>
      <c r="L513" s="11"/>
      <c r="M513" s="11"/>
      <c r="N513" s="11"/>
      <c r="O513" s="11"/>
    </row>
    <row r="514" spans="5:15" ht="13.5" customHeight="1" x14ac:dyDescent="0.3">
      <c r="E514" s="16"/>
      <c r="H514" s="12"/>
      <c r="I514" s="8"/>
      <c r="J514" s="11"/>
      <c r="K514" s="10"/>
      <c r="L514" s="11"/>
      <c r="M514" s="11"/>
      <c r="N514" s="11"/>
      <c r="O514" s="11"/>
    </row>
    <row r="515" spans="5:15" ht="13.5" customHeight="1" x14ac:dyDescent="0.3">
      <c r="E515" s="16"/>
      <c r="H515" s="12"/>
      <c r="I515" s="8"/>
      <c r="J515" s="11"/>
      <c r="K515" s="10"/>
      <c r="L515" s="11"/>
      <c r="M515" s="11"/>
      <c r="N515" s="11"/>
      <c r="O515" s="11"/>
    </row>
    <row r="516" spans="5:15" ht="13.5" customHeight="1" x14ac:dyDescent="0.3">
      <c r="E516" s="16"/>
      <c r="H516" s="12"/>
      <c r="I516" s="8"/>
      <c r="J516" s="11"/>
      <c r="K516" s="10"/>
      <c r="L516" s="11"/>
      <c r="M516" s="11"/>
      <c r="N516" s="11"/>
      <c r="O516" s="11"/>
    </row>
    <row r="517" spans="5:15" ht="13.5" customHeight="1" x14ac:dyDescent="0.3">
      <c r="E517" s="16"/>
      <c r="H517" s="12"/>
      <c r="I517" s="8"/>
      <c r="J517" s="11"/>
      <c r="K517" s="10"/>
      <c r="L517" s="11"/>
      <c r="M517" s="11"/>
      <c r="N517" s="11"/>
      <c r="O517" s="11"/>
    </row>
    <row r="518" spans="5:15" ht="13.5" customHeight="1" x14ac:dyDescent="0.3">
      <c r="E518" s="16"/>
      <c r="H518" s="12"/>
      <c r="I518" s="8"/>
      <c r="J518" s="11"/>
      <c r="K518" s="10"/>
      <c r="L518" s="11"/>
      <c r="M518" s="11"/>
      <c r="N518" s="11"/>
      <c r="O518" s="11"/>
    </row>
    <row r="519" spans="5:15" ht="13.5" customHeight="1" x14ac:dyDescent="0.3">
      <c r="E519" s="16"/>
      <c r="H519" s="12"/>
      <c r="I519" s="8"/>
      <c r="J519" s="11"/>
      <c r="K519" s="10"/>
      <c r="L519" s="11"/>
      <c r="M519" s="11"/>
      <c r="N519" s="11"/>
      <c r="O519" s="11"/>
    </row>
    <row r="520" spans="5:15" ht="13.5" customHeight="1" x14ac:dyDescent="0.3">
      <c r="E520" s="16"/>
      <c r="H520" s="12"/>
      <c r="I520" s="8"/>
      <c r="J520" s="11"/>
      <c r="K520" s="10"/>
      <c r="L520" s="11"/>
      <c r="M520" s="11"/>
      <c r="N520" s="11"/>
      <c r="O520" s="11"/>
    </row>
    <row r="521" spans="5:15" ht="13.5" customHeight="1" x14ac:dyDescent="0.3">
      <c r="E521" s="16"/>
      <c r="H521" s="12"/>
      <c r="I521" s="8"/>
      <c r="J521" s="11"/>
      <c r="K521" s="10"/>
      <c r="L521" s="11"/>
      <c r="M521" s="11"/>
      <c r="N521" s="11"/>
      <c r="O521" s="11"/>
    </row>
    <row r="522" spans="5:15" ht="13.5" customHeight="1" x14ac:dyDescent="0.3">
      <c r="E522" s="16"/>
      <c r="H522" s="12"/>
      <c r="I522" s="8"/>
      <c r="J522" s="11"/>
      <c r="K522" s="10"/>
      <c r="L522" s="11"/>
      <c r="M522" s="11"/>
      <c r="N522" s="11"/>
      <c r="O522" s="11"/>
    </row>
    <row r="523" spans="5:15" ht="13.5" customHeight="1" x14ac:dyDescent="0.3">
      <c r="E523" s="16"/>
      <c r="H523" s="12"/>
      <c r="I523" s="8"/>
      <c r="J523" s="11"/>
      <c r="K523" s="10"/>
      <c r="L523" s="11"/>
      <c r="M523" s="11"/>
      <c r="N523" s="11"/>
      <c r="O523" s="11"/>
    </row>
    <row r="524" spans="5:15" ht="13.5" customHeight="1" x14ac:dyDescent="0.3">
      <c r="E524" s="16"/>
      <c r="H524" s="12"/>
      <c r="I524" s="8"/>
      <c r="J524" s="11"/>
      <c r="K524" s="10"/>
      <c r="L524" s="11"/>
      <c r="M524" s="11"/>
      <c r="N524" s="11"/>
      <c r="O524" s="11"/>
    </row>
    <row r="525" spans="5:15" ht="13.5" customHeight="1" x14ac:dyDescent="0.3">
      <c r="E525" s="16"/>
      <c r="H525" s="12"/>
      <c r="I525" s="8"/>
      <c r="J525" s="11"/>
      <c r="K525" s="10"/>
      <c r="L525" s="11"/>
      <c r="M525" s="11"/>
      <c r="N525" s="11"/>
      <c r="O525" s="11"/>
    </row>
    <row r="526" spans="5:15" ht="13.5" customHeight="1" x14ac:dyDescent="0.3">
      <c r="E526" s="16"/>
      <c r="H526" s="12"/>
      <c r="I526" s="8"/>
      <c r="J526" s="11"/>
      <c r="K526" s="10"/>
      <c r="L526" s="11"/>
      <c r="M526" s="11"/>
      <c r="N526" s="11"/>
      <c r="O526" s="11"/>
    </row>
    <row r="527" spans="5:15" ht="13.5" customHeight="1" x14ac:dyDescent="0.3">
      <c r="E527" s="16"/>
      <c r="H527" s="12"/>
      <c r="I527" s="8"/>
      <c r="J527" s="11"/>
      <c r="K527" s="10"/>
      <c r="L527" s="11"/>
      <c r="M527" s="11"/>
      <c r="N527" s="11"/>
      <c r="O527" s="11"/>
    </row>
    <row r="528" spans="5:15" ht="13.5" customHeight="1" x14ac:dyDescent="0.3">
      <c r="E528" s="16"/>
      <c r="H528" s="12"/>
      <c r="I528" s="8"/>
      <c r="J528" s="11"/>
      <c r="K528" s="10"/>
      <c r="L528" s="11"/>
      <c r="M528" s="11"/>
      <c r="N528" s="11"/>
      <c r="O528" s="11"/>
    </row>
    <row r="529" spans="5:15" ht="13.5" customHeight="1" x14ac:dyDescent="0.3">
      <c r="E529" s="16"/>
      <c r="H529" s="12"/>
      <c r="I529" s="8"/>
      <c r="J529" s="11"/>
      <c r="K529" s="10"/>
      <c r="L529" s="11"/>
      <c r="M529" s="11"/>
      <c r="N529" s="11"/>
      <c r="O529" s="11"/>
    </row>
    <row r="530" spans="5:15" ht="13.5" customHeight="1" x14ac:dyDescent="0.3">
      <c r="E530" s="16"/>
      <c r="H530" s="12"/>
      <c r="I530" s="8"/>
      <c r="J530" s="11"/>
      <c r="K530" s="10"/>
      <c r="L530" s="11"/>
      <c r="M530" s="11"/>
      <c r="N530" s="11"/>
      <c r="O530" s="11"/>
    </row>
    <row r="531" spans="5:15" ht="13.5" customHeight="1" x14ac:dyDescent="0.3">
      <c r="E531" s="16"/>
      <c r="H531" s="12"/>
      <c r="I531" s="8"/>
      <c r="J531" s="11"/>
      <c r="K531" s="10"/>
      <c r="L531" s="11"/>
      <c r="M531" s="11"/>
      <c r="N531" s="11"/>
      <c r="O531" s="11"/>
    </row>
    <row r="532" spans="5:15" ht="13.5" customHeight="1" x14ac:dyDescent="0.3">
      <c r="E532" s="16"/>
      <c r="H532" s="12"/>
      <c r="I532" s="8"/>
      <c r="J532" s="11"/>
      <c r="K532" s="10"/>
      <c r="L532" s="11"/>
      <c r="M532" s="11"/>
      <c r="N532" s="11"/>
      <c r="O532" s="11"/>
    </row>
    <row r="533" spans="5:15" ht="13.5" customHeight="1" x14ac:dyDescent="0.3">
      <c r="E533" s="16"/>
      <c r="H533" s="12"/>
      <c r="I533" s="8"/>
      <c r="J533" s="11"/>
      <c r="K533" s="10"/>
      <c r="L533" s="11"/>
      <c r="M533" s="11"/>
      <c r="N533" s="11"/>
      <c r="O533" s="11"/>
    </row>
    <row r="534" spans="5:15" ht="13.5" customHeight="1" x14ac:dyDescent="0.3">
      <c r="E534" s="16"/>
      <c r="H534" s="12"/>
      <c r="I534" s="8"/>
      <c r="J534" s="11"/>
      <c r="K534" s="10"/>
      <c r="L534" s="11"/>
      <c r="M534" s="11"/>
      <c r="N534" s="11"/>
      <c r="O534" s="11"/>
    </row>
    <row r="535" spans="5:15" ht="13.5" customHeight="1" x14ac:dyDescent="0.3">
      <c r="E535" s="16"/>
      <c r="H535" s="12"/>
      <c r="I535" s="8"/>
      <c r="J535" s="11"/>
      <c r="K535" s="10"/>
      <c r="L535" s="11"/>
      <c r="M535" s="11"/>
      <c r="N535" s="11"/>
      <c r="O535" s="11"/>
    </row>
    <row r="536" spans="5:15" ht="13.5" customHeight="1" x14ac:dyDescent="0.3">
      <c r="E536" s="16"/>
      <c r="H536" s="12"/>
      <c r="I536" s="8"/>
      <c r="J536" s="11"/>
      <c r="K536" s="10"/>
      <c r="L536" s="11"/>
      <c r="M536" s="11"/>
      <c r="N536" s="11"/>
      <c r="O536" s="11"/>
    </row>
    <row r="537" spans="5:15" ht="13.5" customHeight="1" x14ac:dyDescent="0.3">
      <c r="E537" s="16"/>
      <c r="H537" s="12"/>
      <c r="I537" s="8"/>
      <c r="J537" s="11"/>
      <c r="K537" s="10"/>
      <c r="L537" s="11"/>
      <c r="M537" s="11"/>
      <c r="N537" s="11"/>
      <c r="O537" s="11"/>
    </row>
    <row r="538" spans="5:15" ht="13.5" customHeight="1" x14ac:dyDescent="0.3">
      <c r="E538" s="16"/>
      <c r="H538" s="12"/>
      <c r="I538" s="8"/>
      <c r="J538" s="11"/>
      <c r="K538" s="10"/>
      <c r="L538" s="11"/>
      <c r="M538" s="11"/>
      <c r="N538" s="11"/>
      <c r="O538" s="11"/>
    </row>
    <row r="539" spans="5:15" ht="13.5" customHeight="1" x14ac:dyDescent="0.3">
      <c r="E539" s="16"/>
      <c r="H539" s="12"/>
      <c r="I539" s="8"/>
      <c r="J539" s="11"/>
      <c r="K539" s="10"/>
      <c r="L539" s="11"/>
      <c r="M539" s="11"/>
      <c r="N539" s="11"/>
      <c r="O539" s="11"/>
    </row>
    <row r="540" spans="5:15" ht="13.5" customHeight="1" x14ac:dyDescent="0.3">
      <c r="E540" s="16"/>
      <c r="H540" s="12"/>
      <c r="I540" s="8"/>
      <c r="J540" s="11"/>
      <c r="K540" s="10"/>
      <c r="L540" s="11"/>
      <c r="M540" s="11"/>
      <c r="N540" s="11"/>
      <c r="O540" s="11"/>
    </row>
    <row r="541" spans="5:15" ht="13.5" customHeight="1" x14ac:dyDescent="0.3">
      <c r="E541" s="16"/>
      <c r="H541" s="12"/>
      <c r="I541" s="8"/>
      <c r="J541" s="11"/>
      <c r="K541" s="10"/>
      <c r="L541" s="11"/>
      <c r="M541" s="11"/>
      <c r="N541" s="11"/>
      <c r="O541" s="11"/>
    </row>
    <row r="542" spans="5:15" ht="13.5" customHeight="1" x14ac:dyDescent="0.3">
      <c r="E542" s="16"/>
      <c r="H542" s="12"/>
      <c r="I542" s="8"/>
      <c r="J542" s="11"/>
      <c r="K542" s="10"/>
      <c r="L542" s="11"/>
      <c r="M542" s="11"/>
      <c r="N542" s="11"/>
      <c r="O542" s="11"/>
    </row>
    <row r="543" spans="5:15" ht="13.5" customHeight="1" x14ac:dyDescent="0.3">
      <c r="E543" s="16"/>
      <c r="H543" s="12"/>
      <c r="I543" s="8"/>
      <c r="J543" s="11"/>
      <c r="K543" s="10"/>
      <c r="L543" s="11"/>
      <c r="M543" s="11"/>
      <c r="N543" s="11"/>
      <c r="O543" s="11"/>
    </row>
    <row r="544" spans="5:15" ht="13.5" customHeight="1" x14ac:dyDescent="0.3">
      <c r="E544" s="16"/>
      <c r="H544" s="12"/>
      <c r="I544" s="8"/>
      <c r="J544" s="11"/>
      <c r="K544" s="10"/>
      <c r="L544" s="11"/>
      <c r="M544" s="11"/>
      <c r="N544" s="11"/>
      <c r="O544" s="11"/>
    </row>
    <row r="545" spans="5:15" ht="13.5" customHeight="1" x14ac:dyDescent="0.3">
      <c r="E545" s="16"/>
      <c r="H545" s="12"/>
      <c r="I545" s="8"/>
      <c r="J545" s="11"/>
      <c r="K545" s="10"/>
      <c r="L545" s="11"/>
      <c r="M545" s="11"/>
      <c r="N545" s="11"/>
      <c r="O545" s="11"/>
    </row>
    <row r="546" spans="5:15" ht="13.5" customHeight="1" x14ac:dyDescent="0.3">
      <c r="E546" s="16"/>
      <c r="H546" s="12"/>
      <c r="I546" s="8"/>
      <c r="J546" s="11"/>
      <c r="K546" s="10"/>
      <c r="L546" s="11"/>
      <c r="M546" s="11"/>
      <c r="N546" s="11"/>
      <c r="O546" s="11"/>
    </row>
    <row r="547" spans="5:15" ht="13.5" customHeight="1" x14ac:dyDescent="0.3">
      <c r="E547" s="16"/>
      <c r="H547" s="12"/>
      <c r="I547" s="8"/>
      <c r="J547" s="11"/>
      <c r="K547" s="10"/>
      <c r="L547" s="11"/>
      <c r="M547" s="11"/>
      <c r="N547" s="11"/>
      <c r="O547" s="11"/>
    </row>
    <row r="548" spans="5:15" ht="13.5" customHeight="1" x14ac:dyDescent="0.3">
      <c r="E548" s="16"/>
      <c r="H548" s="12"/>
      <c r="I548" s="8"/>
      <c r="J548" s="11"/>
      <c r="K548" s="10"/>
      <c r="L548" s="11"/>
      <c r="M548" s="11"/>
      <c r="N548" s="11"/>
      <c r="O548" s="11"/>
    </row>
    <row r="549" spans="5:15" ht="13.5" customHeight="1" x14ac:dyDescent="0.3">
      <c r="E549" s="16"/>
      <c r="H549" s="12"/>
      <c r="I549" s="8"/>
      <c r="J549" s="11"/>
      <c r="K549" s="10"/>
      <c r="L549" s="11"/>
      <c r="M549" s="11"/>
      <c r="N549" s="11"/>
      <c r="O549" s="11"/>
    </row>
    <row r="550" spans="5:15" ht="13.5" customHeight="1" x14ac:dyDescent="0.3">
      <c r="E550" s="16"/>
      <c r="H550" s="12"/>
      <c r="I550" s="8"/>
      <c r="J550" s="11"/>
      <c r="K550" s="10"/>
      <c r="L550" s="11"/>
      <c r="M550" s="11"/>
      <c r="N550" s="11"/>
      <c r="O550" s="11"/>
    </row>
    <row r="551" spans="5:15" ht="13.5" customHeight="1" x14ac:dyDescent="0.3">
      <c r="E551" s="16"/>
      <c r="H551" s="12"/>
      <c r="I551" s="8"/>
      <c r="J551" s="11"/>
      <c r="K551" s="10"/>
      <c r="L551" s="11"/>
      <c r="M551" s="11"/>
      <c r="N551" s="11"/>
      <c r="O551" s="11"/>
    </row>
    <row r="552" spans="5:15" ht="13.5" customHeight="1" x14ac:dyDescent="0.3">
      <c r="E552" s="16"/>
      <c r="H552" s="12"/>
      <c r="I552" s="8"/>
      <c r="J552" s="11"/>
      <c r="K552" s="10"/>
      <c r="L552" s="11"/>
      <c r="M552" s="11"/>
      <c r="N552" s="11"/>
      <c r="O552" s="11"/>
    </row>
    <row r="553" spans="5:15" ht="13.5" customHeight="1" x14ac:dyDescent="0.3">
      <c r="E553" s="16"/>
      <c r="H553" s="12"/>
      <c r="I553" s="8"/>
      <c r="J553" s="11"/>
      <c r="K553" s="10"/>
      <c r="L553" s="11"/>
      <c r="M553" s="11"/>
      <c r="N553" s="11"/>
      <c r="O553" s="11"/>
    </row>
    <row r="554" spans="5:15" ht="13.5" customHeight="1" x14ac:dyDescent="0.3">
      <c r="E554" s="16"/>
      <c r="H554" s="12"/>
      <c r="I554" s="8"/>
      <c r="J554" s="11"/>
      <c r="K554" s="10"/>
      <c r="L554" s="11"/>
      <c r="M554" s="11"/>
      <c r="N554" s="11"/>
      <c r="O554" s="11"/>
    </row>
    <row r="555" spans="5:15" ht="13.5" customHeight="1" x14ac:dyDescent="0.3">
      <c r="E555" s="16"/>
      <c r="H555" s="12"/>
      <c r="I555" s="8"/>
      <c r="J555" s="11"/>
      <c r="K555" s="10"/>
      <c r="L555" s="11"/>
      <c r="M555" s="11"/>
      <c r="N555" s="11"/>
      <c r="O555" s="11"/>
    </row>
    <row r="556" spans="5:15" ht="13.5" customHeight="1" x14ac:dyDescent="0.3">
      <c r="E556" s="16"/>
      <c r="H556" s="12"/>
      <c r="I556" s="8"/>
      <c r="J556" s="11"/>
      <c r="K556" s="10"/>
      <c r="L556" s="11"/>
      <c r="M556" s="11"/>
      <c r="N556" s="11"/>
      <c r="O556" s="11"/>
    </row>
    <row r="557" spans="5:15" ht="13.5" customHeight="1" x14ac:dyDescent="0.3">
      <c r="E557" s="16"/>
      <c r="H557" s="12"/>
      <c r="I557" s="8"/>
      <c r="J557" s="11"/>
      <c r="K557" s="10"/>
      <c r="L557" s="11"/>
      <c r="M557" s="11"/>
      <c r="N557" s="11"/>
      <c r="O557" s="11"/>
    </row>
    <row r="558" spans="5:15" ht="13.5" customHeight="1" x14ac:dyDescent="0.3">
      <c r="E558" s="16"/>
      <c r="H558" s="12"/>
      <c r="I558" s="8"/>
      <c r="J558" s="11"/>
      <c r="K558" s="10"/>
      <c r="L558" s="11"/>
      <c r="M558" s="11"/>
      <c r="N558" s="11"/>
      <c r="O558" s="11"/>
    </row>
    <row r="559" spans="5:15" ht="13.5" customHeight="1" x14ac:dyDescent="0.3">
      <c r="E559" s="16"/>
      <c r="H559" s="12"/>
      <c r="I559" s="8"/>
      <c r="J559" s="11"/>
      <c r="K559" s="10"/>
      <c r="L559" s="11"/>
      <c r="M559" s="11"/>
      <c r="N559" s="11"/>
      <c r="O559" s="11"/>
    </row>
    <row r="560" spans="5:15" ht="13.5" customHeight="1" x14ac:dyDescent="0.3">
      <c r="E560" s="16"/>
      <c r="H560" s="12"/>
      <c r="I560" s="8"/>
      <c r="J560" s="11"/>
      <c r="K560" s="10"/>
      <c r="L560" s="11"/>
      <c r="M560" s="11"/>
      <c r="N560" s="11"/>
      <c r="O560" s="11"/>
    </row>
    <row r="561" spans="5:15" ht="13.5" customHeight="1" x14ac:dyDescent="0.3">
      <c r="E561" s="16"/>
      <c r="H561" s="12"/>
      <c r="I561" s="8"/>
      <c r="J561" s="11"/>
      <c r="K561" s="10"/>
      <c r="L561" s="11"/>
      <c r="M561" s="11"/>
      <c r="N561" s="11"/>
      <c r="O561" s="11"/>
    </row>
    <row r="562" spans="5:15" ht="13.5" customHeight="1" x14ac:dyDescent="0.3">
      <c r="E562" s="16"/>
      <c r="H562" s="12"/>
      <c r="I562" s="8"/>
      <c r="J562" s="11"/>
      <c r="K562" s="10"/>
      <c r="L562" s="11"/>
      <c r="M562" s="11"/>
      <c r="N562" s="11"/>
      <c r="O562" s="11"/>
    </row>
    <row r="563" spans="5:15" ht="13.5" customHeight="1" x14ac:dyDescent="0.3">
      <c r="E563" s="16"/>
      <c r="H563" s="12"/>
      <c r="I563" s="8"/>
      <c r="J563" s="11"/>
      <c r="K563" s="10"/>
      <c r="L563" s="11"/>
      <c r="M563" s="11"/>
      <c r="N563" s="11"/>
      <c r="O563" s="11"/>
    </row>
    <row r="564" spans="5:15" ht="13.5" customHeight="1" x14ac:dyDescent="0.3">
      <c r="E564" s="16"/>
      <c r="H564" s="12"/>
      <c r="I564" s="8"/>
      <c r="J564" s="11"/>
      <c r="K564" s="10"/>
      <c r="L564" s="11"/>
      <c r="M564" s="11"/>
      <c r="N564" s="11"/>
      <c r="O564" s="11"/>
    </row>
    <row r="565" spans="5:15" ht="13.5" customHeight="1" x14ac:dyDescent="0.3">
      <c r="E565" s="16"/>
      <c r="H565" s="12"/>
      <c r="I565" s="8"/>
      <c r="J565" s="11"/>
      <c r="K565" s="10"/>
      <c r="L565" s="11"/>
      <c r="M565" s="11"/>
      <c r="N565" s="11"/>
      <c r="O565" s="11"/>
    </row>
    <row r="566" spans="5:15" ht="13.5" customHeight="1" x14ac:dyDescent="0.3">
      <c r="E566" s="16"/>
      <c r="H566" s="12"/>
      <c r="I566" s="8"/>
      <c r="J566" s="11"/>
      <c r="K566" s="10"/>
      <c r="L566" s="11"/>
      <c r="M566" s="11"/>
      <c r="N566" s="11"/>
      <c r="O566" s="11"/>
    </row>
    <row r="567" spans="5:15" ht="13.5" customHeight="1" x14ac:dyDescent="0.3">
      <c r="E567" s="16"/>
      <c r="H567" s="12"/>
      <c r="I567" s="8"/>
      <c r="J567" s="11"/>
      <c r="K567" s="10"/>
      <c r="L567" s="11"/>
      <c r="M567" s="11"/>
      <c r="N567" s="11"/>
      <c r="O567" s="11"/>
    </row>
    <row r="568" spans="5:15" ht="13.5" customHeight="1" x14ac:dyDescent="0.3">
      <c r="E568" s="16"/>
      <c r="H568" s="12"/>
      <c r="I568" s="8"/>
      <c r="J568" s="11"/>
      <c r="K568" s="10"/>
      <c r="L568" s="11"/>
      <c r="M568" s="11"/>
      <c r="N568" s="11"/>
      <c r="O568" s="11"/>
    </row>
    <row r="569" spans="5:15" ht="13.5" customHeight="1" x14ac:dyDescent="0.3">
      <c r="E569" s="16"/>
      <c r="H569" s="12"/>
      <c r="I569" s="8"/>
      <c r="J569" s="11"/>
      <c r="K569" s="10"/>
      <c r="L569" s="11"/>
      <c r="M569" s="11"/>
      <c r="N569" s="11"/>
      <c r="O569" s="11"/>
    </row>
    <row r="570" spans="5:15" ht="13.5" customHeight="1" x14ac:dyDescent="0.3">
      <c r="E570" s="16"/>
      <c r="H570" s="12"/>
      <c r="I570" s="8"/>
      <c r="J570" s="11"/>
      <c r="K570" s="10"/>
      <c r="L570" s="11"/>
      <c r="M570" s="11"/>
      <c r="N570" s="11"/>
      <c r="O570" s="11"/>
    </row>
    <row r="571" spans="5:15" ht="13.5" customHeight="1" x14ac:dyDescent="0.3">
      <c r="E571" s="16"/>
      <c r="H571" s="12"/>
      <c r="I571" s="8"/>
      <c r="J571" s="11"/>
      <c r="K571" s="10"/>
      <c r="L571" s="11"/>
      <c r="M571" s="11"/>
      <c r="N571" s="11"/>
      <c r="O571" s="11"/>
    </row>
    <row r="572" spans="5:15" ht="13.5" customHeight="1" x14ac:dyDescent="0.3">
      <c r="E572" s="16"/>
      <c r="H572" s="12"/>
      <c r="I572" s="8"/>
      <c r="J572" s="11"/>
      <c r="K572" s="10"/>
      <c r="L572" s="11"/>
      <c r="M572" s="11"/>
      <c r="N572" s="11"/>
      <c r="O572" s="11"/>
    </row>
    <row r="573" spans="5:15" ht="13.5" customHeight="1" x14ac:dyDescent="0.3">
      <c r="E573" s="16"/>
      <c r="H573" s="12"/>
      <c r="I573" s="8"/>
      <c r="J573" s="11"/>
      <c r="K573" s="10"/>
      <c r="L573" s="11"/>
      <c r="M573" s="11"/>
      <c r="N573" s="11"/>
      <c r="O573" s="11"/>
    </row>
    <row r="574" spans="5:15" ht="13.5" customHeight="1" x14ac:dyDescent="0.3">
      <c r="E574" s="16"/>
      <c r="H574" s="12"/>
      <c r="I574" s="8"/>
      <c r="J574" s="11"/>
      <c r="K574" s="10"/>
      <c r="L574" s="11"/>
      <c r="M574" s="11"/>
      <c r="N574" s="11"/>
      <c r="O574" s="11"/>
    </row>
    <row r="575" spans="5:15" ht="13.5" customHeight="1" x14ac:dyDescent="0.3">
      <c r="E575" s="16"/>
      <c r="H575" s="12"/>
      <c r="I575" s="8"/>
      <c r="J575" s="11"/>
      <c r="K575" s="10"/>
      <c r="L575" s="11"/>
      <c r="M575" s="11"/>
      <c r="N575" s="11"/>
      <c r="O575" s="11"/>
    </row>
    <row r="576" spans="5:15" ht="13.5" customHeight="1" x14ac:dyDescent="0.3">
      <c r="E576" s="16"/>
      <c r="H576" s="12"/>
      <c r="I576" s="8"/>
      <c r="J576" s="11"/>
      <c r="K576" s="10"/>
      <c r="L576" s="11"/>
      <c r="M576" s="11"/>
      <c r="N576" s="11"/>
      <c r="O576" s="11"/>
    </row>
    <row r="577" spans="5:15" ht="13.5" customHeight="1" x14ac:dyDescent="0.3">
      <c r="E577" s="16"/>
      <c r="H577" s="12"/>
      <c r="I577" s="8"/>
      <c r="J577" s="11"/>
      <c r="K577" s="10"/>
      <c r="L577" s="11"/>
      <c r="M577" s="11"/>
      <c r="N577" s="11"/>
      <c r="O577" s="11"/>
    </row>
    <row r="578" spans="5:15" ht="13.5" customHeight="1" x14ac:dyDescent="0.3">
      <c r="E578" s="16"/>
      <c r="H578" s="12"/>
      <c r="I578" s="8"/>
      <c r="J578" s="11"/>
      <c r="K578" s="10"/>
      <c r="L578" s="11"/>
      <c r="M578" s="11"/>
      <c r="N578" s="11"/>
      <c r="O578" s="11"/>
    </row>
    <row r="579" spans="5:15" ht="13.5" customHeight="1" x14ac:dyDescent="0.3">
      <c r="E579" s="16"/>
      <c r="H579" s="12"/>
      <c r="I579" s="8"/>
      <c r="J579" s="11"/>
      <c r="K579" s="10"/>
      <c r="L579" s="11"/>
      <c r="M579" s="11"/>
      <c r="N579" s="11"/>
      <c r="O579" s="11"/>
    </row>
    <row r="580" spans="5:15" ht="13.5" customHeight="1" x14ac:dyDescent="0.3">
      <c r="E580" s="16"/>
      <c r="H580" s="12"/>
      <c r="I580" s="8"/>
      <c r="J580" s="11"/>
      <c r="K580" s="10"/>
      <c r="L580" s="11"/>
      <c r="M580" s="11"/>
      <c r="N580" s="11"/>
      <c r="O580" s="11"/>
    </row>
    <row r="581" spans="5:15" ht="13.5" customHeight="1" x14ac:dyDescent="0.3">
      <c r="E581" s="16"/>
      <c r="H581" s="12"/>
      <c r="I581" s="8"/>
      <c r="J581" s="11"/>
      <c r="K581" s="10"/>
      <c r="L581" s="11"/>
      <c r="M581" s="11"/>
      <c r="N581" s="11"/>
      <c r="O581" s="11"/>
    </row>
    <row r="582" spans="5:15" ht="13.5" customHeight="1" x14ac:dyDescent="0.3">
      <c r="E582" s="16"/>
      <c r="H582" s="12"/>
      <c r="I582" s="8"/>
      <c r="J582" s="11"/>
      <c r="K582" s="10"/>
      <c r="L582" s="11"/>
      <c r="M582" s="11"/>
      <c r="N582" s="11"/>
      <c r="O582" s="11"/>
    </row>
    <row r="583" spans="5:15" ht="13.5" customHeight="1" x14ac:dyDescent="0.3">
      <c r="E583" s="16"/>
      <c r="H583" s="12"/>
      <c r="I583" s="8"/>
      <c r="J583" s="11"/>
      <c r="K583" s="10"/>
      <c r="L583" s="11"/>
      <c r="M583" s="11"/>
      <c r="N583" s="11"/>
      <c r="O583" s="11"/>
    </row>
    <row r="584" spans="5:15" ht="13.5" customHeight="1" x14ac:dyDescent="0.3">
      <c r="E584" s="16"/>
      <c r="H584" s="12"/>
      <c r="I584" s="8"/>
      <c r="J584" s="11"/>
      <c r="K584" s="10"/>
      <c r="L584" s="11"/>
      <c r="M584" s="11"/>
      <c r="N584" s="11"/>
      <c r="O584" s="11"/>
    </row>
    <row r="585" spans="5:15" ht="13.5" customHeight="1" x14ac:dyDescent="0.3">
      <c r="E585" s="16"/>
      <c r="H585" s="12"/>
      <c r="I585" s="8"/>
      <c r="J585" s="11"/>
      <c r="K585" s="10"/>
      <c r="L585" s="11"/>
      <c r="M585" s="11"/>
      <c r="N585" s="11"/>
      <c r="O585" s="11"/>
    </row>
    <row r="586" spans="5:15" ht="13.5" customHeight="1" x14ac:dyDescent="0.3">
      <c r="E586" s="16"/>
      <c r="H586" s="12"/>
      <c r="I586" s="8"/>
      <c r="J586" s="11"/>
      <c r="K586" s="10"/>
      <c r="L586" s="11"/>
      <c r="M586" s="11"/>
      <c r="N586" s="11"/>
      <c r="O586" s="11"/>
    </row>
    <row r="587" spans="5:15" ht="13.5" customHeight="1" x14ac:dyDescent="0.3">
      <c r="E587" s="16"/>
      <c r="H587" s="12"/>
      <c r="I587" s="8"/>
      <c r="J587" s="11"/>
      <c r="K587" s="10"/>
      <c r="L587" s="11"/>
      <c r="M587" s="11"/>
      <c r="N587" s="11"/>
      <c r="O587" s="11"/>
    </row>
    <row r="588" spans="5:15" ht="13.5" customHeight="1" x14ac:dyDescent="0.3">
      <c r="E588" s="16"/>
      <c r="H588" s="12"/>
      <c r="I588" s="8"/>
      <c r="J588" s="11"/>
      <c r="K588" s="10"/>
      <c r="L588" s="11"/>
      <c r="M588" s="11"/>
      <c r="N588" s="11"/>
      <c r="O588" s="11"/>
    </row>
    <row r="589" spans="5:15" ht="13.5" customHeight="1" x14ac:dyDescent="0.3">
      <c r="E589" s="16"/>
      <c r="H589" s="12"/>
      <c r="I589" s="8"/>
      <c r="J589" s="11"/>
      <c r="K589" s="10"/>
      <c r="L589" s="11"/>
      <c r="M589" s="11"/>
      <c r="N589" s="11"/>
      <c r="O589" s="11"/>
    </row>
    <row r="590" spans="5:15" ht="13.5" customHeight="1" x14ac:dyDescent="0.3">
      <c r="E590" s="16"/>
      <c r="H590" s="12"/>
      <c r="I590" s="8"/>
      <c r="J590" s="11"/>
      <c r="K590" s="10"/>
      <c r="L590" s="11"/>
      <c r="M590" s="11"/>
      <c r="N590" s="11"/>
      <c r="O590" s="11"/>
    </row>
    <row r="591" spans="5:15" ht="13.5" customHeight="1" x14ac:dyDescent="0.3">
      <c r="E591" s="16"/>
      <c r="H591" s="12"/>
      <c r="I591" s="8"/>
      <c r="J591" s="11"/>
      <c r="K591" s="10"/>
      <c r="L591" s="11"/>
      <c r="M591" s="11"/>
      <c r="N591" s="11"/>
      <c r="O591" s="11"/>
    </row>
    <row r="592" spans="5:15" ht="13.5" customHeight="1" x14ac:dyDescent="0.3">
      <c r="E592" s="16"/>
      <c r="H592" s="12"/>
      <c r="I592" s="8"/>
      <c r="J592" s="11"/>
      <c r="K592" s="10"/>
      <c r="L592" s="11"/>
      <c r="M592" s="11"/>
      <c r="N592" s="11"/>
      <c r="O592" s="11"/>
    </row>
    <row r="593" spans="5:15" ht="13.5" customHeight="1" x14ac:dyDescent="0.3">
      <c r="E593" s="16"/>
      <c r="H593" s="12"/>
      <c r="I593" s="8"/>
      <c r="J593" s="11"/>
      <c r="K593" s="10"/>
      <c r="L593" s="11"/>
      <c r="M593" s="11"/>
      <c r="N593" s="11"/>
      <c r="O593" s="11"/>
    </row>
    <row r="594" spans="5:15" ht="13.5" customHeight="1" x14ac:dyDescent="0.3">
      <c r="E594" s="16"/>
      <c r="H594" s="12"/>
      <c r="I594" s="8"/>
      <c r="J594" s="11"/>
      <c r="K594" s="10"/>
      <c r="L594" s="11"/>
      <c r="M594" s="11"/>
      <c r="N594" s="11"/>
      <c r="O594" s="11"/>
    </row>
    <row r="595" spans="5:15" ht="13.5" customHeight="1" x14ac:dyDescent="0.3">
      <c r="E595" s="16"/>
      <c r="H595" s="12"/>
      <c r="I595" s="8"/>
      <c r="J595" s="11"/>
      <c r="K595" s="10"/>
      <c r="L595" s="11"/>
      <c r="M595" s="11"/>
      <c r="N595" s="11"/>
      <c r="O595" s="11"/>
    </row>
    <row r="596" spans="5:15" ht="13.5" customHeight="1" x14ac:dyDescent="0.3">
      <c r="E596" s="16"/>
      <c r="H596" s="12"/>
      <c r="I596" s="8"/>
      <c r="J596" s="11"/>
      <c r="K596" s="10"/>
      <c r="L596" s="11"/>
      <c r="M596" s="11"/>
      <c r="N596" s="11"/>
      <c r="O596" s="11"/>
    </row>
    <row r="597" spans="5:15" ht="13.5" customHeight="1" x14ac:dyDescent="0.3">
      <c r="E597" s="16"/>
      <c r="H597" s="12"/>
      <c r="I597" s="8"/>
      <c r="J597" s="11"/>
      <c r="K597" s="10"/>
      <c r="L597" s="11"/>
      <c r="M597" s="11"/>
      <c r="N597" s="11"/>
      <c r="O597" s="11"/>
    </row>
    <row r="598" spans="5:15" ht="13.5" customHeight="1" x14ac:dyDescent="0.3">
      <c r="E598" s="16"/>
      <c r="H598" s="12"/>
      <c r="I598" s="8"/>
      <c r="J598" s="11"/>
      <c r="K598" s="10"/>
      <c r="L598" s="11"/>
      <c r="M598" s="11"/>
      <c r="N598" s="11"/>
      <c r="O598" s="11"/>
    </row>
    <row r="599" spans="5:15" ht="13.5" customHeight="1" x14ac:dyDescent="0.3">
      <c r="E599" s="16"/>
      <c r="H599" s="12"/>
      <c r="I599" s="8"/>
      <c r="J599" s="11"/>
      <c r="K599" s="10"/>
      <c r="L599" s="11"/>
      <c r="M599" s="11"/>
      <c r="N599" s="11"/>
      <c r="O599" s="11"/>
    </row>
    <row r="600" spans="5:15" ht="13.5" customHeight="1" x14ac:dyDescent="0.3">
      <c r="E600" s="16"/>
      <c r="H600" s="12"/>
      <c r="I600" s="8"/>
      <c r="J600" s="11"/>
      <c r="K600" s="10"/>
      <c r="L600" s="11"/>
      <c r="M600" s="11"/>
      <c r="N600" s="11"/>
      <c r="O600" s="11"/>
    </row>
    <row r="601" spans="5:15" ht="13.5" customHeight="1" x14ac:dyDescent="0.3">
      <c r="E601" s="16"/>
      <c r="H601" s="12"/>
      <c r="I601" s="8"/>
      <c r="J601" s="11"/>
      <c r="K601" s="10"/>
      <c r="L601" s="11"/>
      <c r="M601" s="11"/>
      <c r="N601" s="11"/>
      <c r="O601" s="11"/>
    </row>
    <row r="602" spans="5:15" ht="13.5" customHeight="1" x14ac:dyDescent="0.3">
      <c r="E602" s="16"/>
      <c r="H602" s="12"/>
      <c r="I602" s="8"/>
      <c r="J602" s="11"/>
      <c r="K602" s="10"/>
      <c r="L602" s="11"/>
      <c r="M602" s="11"/>
      <c r="N602" s="11"/>
      <c r="O602" s="11"/>
    </row>
    <row r="603" spans="5:15" ht="13.5" customHeight="1" x14ac:dyDescent="0.3">
      <c r="E603" s="16"/>
      <c r="H603" s="12"/>
      <c r="I603" s="8"/>
      <c r="J603" s="11"/>
      <c r="K603" s="10"/>
      <c r="L603" s="11"/>
      <c r="M603" s="11"/>
      <c r="N603" s="11"/>
      <c r="O603" s="11"/>
    </row>
    <row r="604" spans="5:15" ht="13.5" customHeight="1" x14ac:dyDescent="0.3">
      <c r="E604" s="16"/>
      <c r="H604" s="12"/>
      <c r="I604" s="8"/>
      <c r="J604" s="11"/>
      <c r="K604" s="10"/>
      <c r="L604" s="11"/>
      <c r="M604" s="11"/>
      <c r="N604" s="11"/>
      <c r="O604" s="11"/>
    </row>
    <row r="605" spans="5:15" ht="13.5" customHeight="1" x14ac:dyDescent="0.3">
      <c r="E605" s="16"/>
      <c r="H605" s="12"/>
      <c r="I605" s="8"/>
      <c r="J605" s="11"/>
      <c r="K605" s="10"/>
      <c r="L605" s="11"/>
      <c r="M605" s="11"/>
      <c r="N605" s="11"/>
      <c r="O605" s="11"/>
    </row>
    <row r="606" spans="5:15" ht="13.5" customHeight="1" x14ac:dyDescent="0.3">
      <c r="E606" s="16"/>
      <c r="H606" s="12"/>
      <c r="I606" s="8"/>
      <c r="J606" s="11"/>
      <c r="K606" s="10"/>
      <c r="L606" s="11"/>
      <c r="M606" s="11"/>
      <c r="N606" s="11"/>
      <c r="O606" s="11"/>
    </row>
    <row r="607" spans="5:15" ht="13.5" customHeight="1" x14ac:dyDescent="0.3">
      <c r="E607" s="16"/>
      <c r="H607" s="12"/>
      <c r="I607" s="8"/>
      <c r="J607" s="11"/>
      <c r="K607" s="10"/>
      <c r="L607" s="11"/>
      <c r="M607" s="11"/>
      <c r="N607" s="11"/>
      <c r="O607" s="11"/>
    </row>
    <row r="608" spans="5:15" ht="13.5" customHeight="1" x14ac:dyDescent="0.3">
      <c r="E608" s="16"/>
      <c r="H608" s="12"/>
      <c r="I608" s="8"/>
      <c r="J608" s="11"/>
      <c r="K608" s="10"/>
      <c r="L608" s="11"/>
      <c r="M608" s="11"/>
      <c r="N608" s="11"/>
      <c r="O608" s="11"/>
    </row>
    <row r="609" spans="5:15" ht="13.5" customHeight="1" x14ac:dyDescent="0.3">
      <c r="E609" s="16"/>
      <c r="H609" s="12"/>
      <c r="I609" s="8"/>
      <c r="J609" s="11"/>
      <c r="K609" s="10"/>
      <c r="L609" s="11"/>
      <c r="M609" s="11"/>
      <c r="N609" s="11"/>
      <c r="O609" s="11"/>
    </row>
    <row r="610" spans="5:15" ht="13.5" customHeight="1" x14ac:dyDescent="0.3">
      <c r="E610" s="16"/>
      <c r="H610" s="12"/>
      <c r="I610" s="8"/>
      <c r="J610" s="11"/>
      <c r="K610" s="10"/>
      <c r="L610" s="11"/>
      <c r="M610" s="11"/>
      <c r="N610" s="11"/>
      <c r="O610" s="11"/>
    </row>
    <row r="611" spans="5:15" ht="13.5" customHeight="1" x14ac:dyDescent="0.3">
      <c r="E611" s="16"/>
      <c r="H611" s="12"/>
      <c r="I611" s="8"/>
      <c r="J611" s="11"/>
      <c r="K611" s="10"/>
      <c r="L611" s="11"/>
      <c r="M611" s="11"/>
      <c r="N611" s="11"/>
      <c r="O611" s="11"/>
    </row>
    <row r="612" spans="5:15" ht="13.5" customHeight="1" x14ac:dyDescent="0.3">
      <c r="E612" s="16"/>
      <c r="H612" s="12"/>
      <c r="I612" s="8"/>
      <c r="J612" s="11"/>
      <c r="K612" s="10"/>
      <c r="L612" s="11"/>
      <c r="M612" s="11"/>
      <c r="N612" s="11"/>
      <c r="O612" s="11"/>
    </row>
    <row r="613" spans="5:15" ht="13.5" customHeight="1" x14ac:dyDescent="0.3">
      <c r="E613" s="16"/>
      <c r="H613" s="12"/>
      <c r="I613" s="8"/>
      <c r="J613" s="11"/>
      <c r="K613" s="10"/>
      <c r="L613" s="11"/>
      <c r="M613" s="11"/>
      <c r="N613" s="11"/>
      <c r="O613" s="11"/>
    </row>
    <row r="614" spans="5:15" ht="13.5" customHeight="1" x14ac:dyDescent="0.3">
      <c r="E614" s="16"/>
      <c r="H614" s="12"/>
      <c r="I614" s="8"/>
      <c r="J614" s="11"/>
      <c r="K614" s="10"/>
      <c r="L614" s="11"/>
      <c r="M614" s="11"/>
      <c r="N614" s="11"/>
      <c r="O614" s="11"/>
    </row>
    <row r="615" spans="5:15" ht="13.5" customHeight="1" x14ac:dyDescent="0.3">
      <c r="E615" s="16"/>
      <c r="H615" s="12"/>
      <c r="I615" s="8"/>
      <c r="J615" s="11"/>
      <c r="K615" s="10"/>
      <c r="L615" s="11"/>
      <c r="M615" s="11"/>
      <c r="N615" s="11"/>
      <c r="O615" s="11"/>
    </row>
    <row r="616" spans="5:15" ht="13.5" customHeight="1" x14ac:dyDescent="0.3">
      <c r="E616" s="16"/>
      <c r="H616" s="12"/>
      <c r="I616" s="8"/>
      <c r="J616" s="11"/>
      <c r="K616" s="10"/>
      <c r="L616" s="11"/>
      <c r="M616" s="11"/>
      <c r="N616" s="11"/>
      <c r="O616" s="11"/>
    </row>
    <row r="617" spans="5:15" ht="13.5" customHeight="1" x14ac:dyDescent="0.3">
      <c r="E617" s="16"/>
      <c r="H617" s="12"/>
      <c r="I617" s="8"/>
      <c r="J617" s="11"/>
      <c r="K617" s="10"/>
      <c r="L617" s="11"/>
      <c r="M617" s="11"/>
      <c r="N617" s="11"/>
      <c r="O617" s="11"/>
    </row>
    <row r="618" spans="5:15" ht="13.5" customHeight="1" x14ac:dyDescent="0.3">
      <c r="E618" s="16"/>
      <c r="H618" s="12"/>
      <c r="I618" s="8"/>
      <c r="J618" s="11"/>
      <c r="K618" s="10"/>
      <c r="L618" s="11"/>
      <c r="M618" s="11"/>
      <c r="N618" s="11"/>
      <c r="O618" s="11"/>
    </row>
    <row r="619" spans="5:15" ht="13.5" customHeight="1" x14ac:dyDescent="0.3">
      <c r="E619" s="16"/>
      <c r="H619" s="12"/>
      <c r="I619" s="8"/>
      <c r="J619" s="11"/>
      <c r="K619" s="10"/>
      <c r="L619" s="11"/>
      <c r="M619" s="11"/>
      <c r="N619" s="11"/>
      <c r="O619" s="11"/>
    </row>
    <row r="620" spans="5:15" ht="13.5" customHeight="1" x14ac:dyDescent="0.3">
      <c r="E620" s="16"/>
      <c r="H620" s="12"/>
      <c r="I620" s="8"/>
      <c r="J620" s="11"/>
      <c r="K620" s="10"/>
      <c r="L620" s="11"/>
      <c r="M620" s="11"/>
      <c r="N620" s="11"/>
      <c r="O620" s="11"/>
    </row>
    <row r="621" spans="5:15" ht="13.5" customHeight="1" x14ac:dyDescent="0.3">
      <c r="E621" s="16"/>
      <c r="H621" s="12"/>
      <c r="I621" s="8"/>
      <c r="J621" s="11"/>
      <c r="K621" s="10"/>
      <c r="L621" s="11"/>
      <c r="M621" s="11"/>
      <c r="N621" s="11"/>
      <c r="O621" s="11"/>
    </row>
    <row r="622" spans="5:15" ht="13.5" customHeight="1" x14ac:dyDescent="0.3">
      <c r="E622" s="16"/>
      <c r="H622" s="12"/>
      <c r="I622" s="8"/>
      <c r="J622" s="11"/>
      <c r="K622" s="10"/>
      <c r="L622" s="11"/>
      <c r="M622" s="11"/>
      <c r="N622" s="11"/>
      <c r="O622" s="11"/>
    </row>
    <row r="623" spans="5:15" ht="13.5" customHeight="1" x14ac:dyDescent="0.3">
      <c r="E623" s="16"/>
      <c r="H623" s="12"/>
      <c r="I623" s="8"/>
      <c r="J623" s="11"/>
      <c r="K623" s="10"/>
      <c r="L623" s="11"/>
      <c r="M623" s="11"/>
      <c r="N623" s="11"/>
      <c r="O623" s="11"/>
    </row>
    <row r="624" spans="5:15" ht="13.5" customHeight="1" x14ac:dyDescent="0.3">
      <c r="E624" s="16"/>
      <c r="H624" s="12"/>
      <c r="I624" s="8"/>
      <c r="J624" s="11"/>
      <c r="K624" s="10"/>
      <c r="L624" s="11"/>
      <c r="M624" s="11"/>
      <c r="N624" s="11"/>
      <c r="O624" s="11"/>
    </row>
    <row r="625" spans="5:15" ht="13.5" customHeight="1" x14ac:dyDescent="0.3">
      <c r="E625" s="16"/>
      <c r="H625" s="12"/>
      <c r="I625" s="8"/>
      <c r="J625" s="11"/>
      <c r="K625" s="10"/>
      <c r="L625" s="11"/>
      <c r="M625" s="11"/>
      <c r="N625" s="11"/>
      <c r="O625" s="11"/>
    </row>
    <row r="626" spans="5:15" ht="13.5" customHeight="1" x14ac:dyDescent="0.3">
      <c r="E626" s="16"/>
      <c r="H626" s="12"/>
      <c r="I626" s="8"/>
      <c r="J626" s="11"/>
      <c r="K626" s="10"/>
      <c r="L626" s="11"/>
      <c r="M626" s="11"/>
      <c r="N626" s="11"/>
      <c r="O626" s="11"/>
    </row>
    <row r="627" spans="5:15" ht="13.5" customHeight="1" x14ac:dyDescent="0.3">
      <c r="E627" s="16"/>
      <c r="H627" s="12"/>
      <c r="I627" s="8"/>
      <c r="J627" s="11"/>
      <c r="K627" s="10"/>
      <c r="L627" s="11"/>
      <c r="M627" s="11"/>
      <c r="N627" s="11"/>
      <c r="O627" s="11"/>
    </row>
    <row r="628" spans="5:15" ht="13.5" customHeight="1" x14ac:dyDescent="0.3">
      <c r="E628" s="16"/>
      <c r="H628" s="12"/>
      <c r="I628" s="8"/>
      <c r="J628" s="11"/>
      <c r="K628" s="10"/>
      <c r="L628" s="11"/>
      <c r="M628" s="11"/>
      <c r="N628" s="11"/>
      <c r="O628" s="11"/>
    </row>
    <row r="629" spans="5:15" ht="13.5" customHeight="1" x14ac:dyDescent="0.3">
      <c r="E629" s="16"/>
      <c r="H629" s="12"/>
      <c r="I629" s="8"/>
      <c r="J629" s="11"/>
      <c r="K629" s="10"/>
      <c r="L629" s="11"/>
      <c r="M629" s="11"/>
      <c r="N629" s="11"/>
      <c r="O629" s="11"/>
    </row>
    <row r="630" spans="5:15" ht="13.5" customHeight="1" x14ac:dyDescent="0.3">
      <c r="E630" s="16"/>
      <c r="H630" s="12"/>
      <c r="I630" s="8"/>
      <c r="J630" s="11"/>
      <c r="K630" s="10"/>
      <c r="L630" s="11"/>
      <c r="M630" s="11"/>
      <c r="N630" s="11"/>
      <c r="O630" s="11"/>
    </row>
    <row r="631" spans="5:15" ht="13.5" customHeight="1" x14ac:dyDescent="0.3">
      <c r="E631" s="16"/>
      <c r="H631" s="12"/>
      <c r="I631" s="8"/>
      <c r="J631" s="11"/>
      <c r="K631" s="10"/>
      <c r="L631" s="11"/>
      <c r="M631" s="11"/>
      <c r="N631" s="11"/>
      <c r="O631" s="11"/>
    </row>
    <row r="632" spans="5:15" ht="13.5" customHeight="1" x14ac:dyDescent="0.3">
      <c r="E632" s="16"/>
      <c r="H632" s="12"/>
      <c r="I632" s="8"/>
      <c r="J632" s="11"/>
      <c r="K632" s="10"/>
      <c r="L632" s="11"/>
      <c r="M632" s="11"/>
      <c r="N632" s="11"/>
      <c r="O632" s="11"/>
    </row>
    <row r="633" spans="5:15" ht="13.5" customHeight="1" x14ac:dyDescent="0.3">
      <c r="E633" s="16"/>
      <c r="H633" s="12"/>
      <c r="I633" s="8"/>
      <c r="J633" s="11"/>
      <c r="K633" s="10"/>
      <c r="L633" s="11"/>
      <c r="M633" s="11"/>
      <c r="N633" s="11"/>
      <c r="O633" s="11"/>
    </row>
    <row r="634" spans="5:15" ht="13.5" customHeight="1" x14ac:dyDescent="0.3">
      <c r="E634" s="16"/>
      <c r="H634" s="12"/>
      <c r="I634" s="8"/>
      <c r="J634" s="11"/>
      <c r="K634" s="10"/>
      <c r="L634" s="11"/>
      <c r="M634" s="11"/>
      <c r="N634" s="11"/>
      <c r="O634" s="11"/>
    </row>
    <row r="635" spans="5:15" ht="13.5" customHeight="1" x14ac:dyDescent="0.3">
      <c r="E635" s="16"/>
      <c r="H635" s="12"/>
      <c r="I635" s="8"/>
      <c r="J635" s="11"/>
      <c r="K635" s="10"/>
      <c r="L635" s="11"/>
      <c r="M635" s="11"/>
      <c r="N635" s="11"/>
      <c r="O635" s="11"/>
    </row>
    <row r="636" spans="5:15" ht="13.5" customHeight="1" x14ac:dyDescent="0.3">
      <c r="E636" s="16"/>
      <c r="H636" s="12"/>
      <c r="I636" s="8"/>
      <c r="J636" s="11"/>
      <c r="K636" s="10"/>
      <c r="L636" s="11"/>
      <c r="M636" s="11"/>
      <c r="N636" s="11"/>
      <c r="O636" s="11"/>
    </row>
    <row r="637" spans="5:15" ht="13.5" customHeight="1" x14ac:dyDescent="0.3">
      <c r="E637" s="16"/>
      <c r="H637" s="12"/>
      <c r="I637" s="8"/>
      <c r="J637" s="11"/>
      <c r="K637" s="10"/>
      <c r="L637" s="11"/>
      <c r="M637" s="11"/>
      <c r="N637" s="11"/>
      <c r="O637" s="11"/>
    </row>
    <row r="638" spans="5:15" ht="13.5" customHeight="1" x14ac:dyDescent="0.3">
      <c r="E638" s="16"/>
      <c r="H638" s="12"/>
      <c r="I638" s="8"/>
      <c r="J638" s="11"/>
      <c r="K638" s="10"/>
      <c r="L638" s="11"/>
      <c r="M638" s="11"/>
      <c r="N638" s="11"/>
      <c r="O638" s="11"/>
    </row>
    <row r="639" spans="5:15" ht="13.5" customHeight="1" x14ac:dyDescent="0.3">
      <c r="E639" s="16"/>
      <c r="H639" s="12"/>
      <c r="I639" s="8"/>
      <c r="J639" s="11"/>
      <c r="K639" s="10"/>
      <c r="L639" s="11"/>
      <c r="M639" s="11"/>
      <c r="N639" s="11"/>
      <c r="O639" s="11"/>
    </row>
    <row r="640" spans="5:15" ht="13.5" customHeight="1" x14ac:dyDescent="0.3">
      <c r="E640" s="16"/>
      <c r="H640" s="12"/>
      <c r="I640" s="8"/>
      <c r="J640" s="11"/>
      <c r="K640" s="10"/>
      <c r="L640" s="11"/>
      <c r="M640" s="11"/>
      <c r="N640" s="11"/>
      <c r="O640" s="11"/>
    </row>
    <row r="641" spans="5:15" ht="13.5" customHeight="1" x14ac:dyDescent="0.3">
      <c r="E641" s="16"/>
      <c r="H641" s="12"/>
      <c r="I641" s="8"/>
      <c r="J641" s="11"/>
      <c r="K641" s="10"/>
      <c r="L641" s="11"/>
      <c r="M641" s="11"/>
      <c r="N641" s="11"/>
      <c r="O641" s="11"/>
    </row>
    <row r="642" spans="5:15" ht="13.5" customHeight="1" x14ac:dyDescent="0.3">
      <c r="E642" s="16"/>
      <c r="H642" s="12"/>
      <c r="I642" s="8"/>
      <c r="J642" s="11"/>
      <c r="K642" s="10"/>
      <c r="L642" s="11"/>
      <c r="M642" s="11"/>
      <c r="N642" s="11"/>
      <c r="O642" s="11"/>
    </row>
    <row r="643" spans="5:15" ht="13.5" customHeight="1" x14ac:dyDescent="0.3">
      <c r="E643" s="16"/>
      <c r="H643" s="12"/>
      <c r="I643" s="8"/>
      <c r="J643" s="11"/>
      <c r="K643" s="10"/>
      <c r="L643" s="11"/>
      <c r="M643" s="11"/>
      <c r="N643" s="11"/>
      <c r="O643" s="11"/>
    </row>
    <row r="644" spans="5:15" ht="13.5" customHeight="1" x14ac:dyDescent="0.3">
      <c r="E644" s="16"/>
      <c r="H644" s="12"/>
      <c r="I644" s="8"/>
      <c r="J644" s="11"/>
      <c r="K644" s="10"/>
      <c r="L644" s="11"/>
      <c r="M644" s="11"/>
      <c r="N644" s="11"/>
      <c r="O644" s="11"/>
    </row>
    <row r="645" spans="5:15" ht="13.5" customHeight="1" x14ac:dyDescent="0.3">
      <c r="E645" s="16"/>
      <c r="H645" s="12"/>
      <c r="I645" s="8"/>
      <c r="J645" s="11"/>
      <c r="K645" s="10"/>
      <c r="L645" s="11"/>
      <c r="M645" s="11"/>
      <c r="N645" s="11"/>
      <c r="O645" s="11"/>
    </row>
    <row r="646" spans="5:15" ht="13.5" customHeight="1" x14ac:dyDescent="0.3">
      <c r="E646" s="16"/>
      <c r="H646" s="12"/>
      <c r="I646" s="8"/>
      <c r="J646" s="11"/>
      <c r="K646" s="10"/>
      <c r="L646" s="11"/>
      <c r="M646" s="11"/>
      <c r="N646" s="11"/>
      <c r="O646" s="11"/>
    </row>
    <row r="647" spans="5:15" ht="13.5" customHeight="1" x14ac:dyDescent="0.3">
      <c r="E647" s="16"/>
      <c r="H647" s="12"/>
      <c r="I647" s="8"/>
      <c r="J647" s="11"/>
      <c r="K647" s="10"/>
      <c r="L647" s="11"/>
      <c r="M647" s="11"/>
      <c r="N647" s="11"/>
      <c r="O647" s="11"/>
    </row>
    <row r="648" spans="5:15" ht="13.5" customHeight="1" x14ac:dyDescent="0.3">
      <c r="E648" s="16"/>
      <c r="H648" s="12"/>
      <c r="I648" s="8"/>
      <c r="J648" s="11"/>
      <c r="K648" s="10"/>
      <c r="L648" s="11"/>
      <c r="M648" s="11"/>
      <c r="N648" s="11"/>
      <c r="O648" s="11"/>
    </row>
    <row r="649" spans="5:15" ht="13.5" customHeight="1" x14ac:dyDescent="0.3">
      <c r="E649" s="16"/>
      <c r="H649" s="12"/>
      <c r="I649" s="8"/>
      <c r="J649" s="11"/>
      <c r="K649" s="10"/>
      <c r="L649" s="11"/>
      <c r="M649" s="11"/>
      <c r="N649" s="11"/>
      <c r="O649" s="11"/>
    </row>
    <row r="650" spans="5:15" ht="13.5" customHeight="1" x14ac:dyDescent="0.3">
      <c r="E650" s="16"/>
      <c r="H650" s="12"/>
      <c r="I650" s="8"/>
      <c r="J650" s="11"/>
      <c r="K650" s="10"/>
      <c r="L650" s="11"/>
      <c r="M650" s="11"/>
      <c r="N650" s="11"/>
      <c r="O650" s="11"/>
    </row>
    <row r="651" spans="5:15" ht="13.5" customHeight="1" x14ac:dyDescent="0.3">
      <c r="E651" s="16"/>
      <c r="H651" s="12"/>
      <c r="I651" s="8"/>
      <c r="J651" s="11"/>
      <c r="K651" s="10"/>
      <c r="L651" s="11"/>
      <c r="M651" s="11"/>
      <c r="N651" s="11"/>
      <c r="O651" s="11"/>
    </row>
    <row r="652" spans="5:15" ht="13.5" customHeight="1" x14ac:dyDescent="0.3">
      <c r="E652" s="16"/>
      <c r="H652" s="12"/>
      <c r="I652" s="8"/>
      <c r="J652" s="11"/>
      <c r="K652" s="10"/>
      <c r="L652" s="11"/>
      <c r="M652" s="11"/>
      <c r="N652" s="11"/>
      <c r="O652" s="11"/>
    </row>
    <row r="653" spans="5:15" ht="13.5" customHeight="1" x14ac:dyDescent="0.3">
      <c r="E653" s="16"/>
      <c r="H653" s="12"/>
      <c r="I653" s="8"/>
      <c r="J653" s="11"/>
      <c r="K653" s="10"/>
      <c r="L653" s="11"/>
      <c r="M653" s="11"/>
      <c r="N653" s="11"/>
      <c r="O653" s="11"/>
    </row>
    <row r="654" spans="5:15" ht="13.5" customHeight="1" x14ac:dyDescent="0.3">
      <c r="E654" s="16"/>
      <c r="H654" s="12"/>
      <c r="I654" s="8"/>
      <c r="J654" s="11"/>
      <c r="K654" s="10"/>
      <c r="L654" s="11"/>
      <c r="M654" s="11"/>
      <c r="N654" s="11"/>
      <c r="O654" s="11"/>
    </row>
    <row r="655" spans="5:15" ht="13.5" customHeight="1" x14ac:dyDescent="0.3">
      <c r="E655" s="16"/>
      <c r="H655" s="12"/>
      <c r="I655" s="8"/>
      <c r="J655" s="11"/>
      <c r="K655" s="10"/>
      <c r="L655" s="11"/>
      <c r="M655" s="11"/>
      <c r="N655" s="11"/>
      <c r="O655" s="11"/>
    </row>
    <row r="656" spans="5:15" ht="13.5" customHeight="1" x14ac:dyDescent="0.3">
      <c r="E656" s="16"/>
      <c r="H656" s="12"/>
      <c r="I656" s="8"/>
      <c r="J656" s="11"/>
      <c r="K656" s="10"/>
      <c r="L656" s="11"/>
      <c r="M656" s="11"/>
      <c r="N656" s="11"/>
      <c r="O656" s="11"/>
    </row>
    <row r="657" spans="5:15" ht="13.5" customHeight="1" x14ac:dyDescent="0.3">
      <c r="E657" s="16"/>
      <c r="H657" s="12"/>
      <c r="I657" s="8"/>
      <c r="J657" s="11"/>
      <c r="K657" s="10"/>
      <c r="L657" s="11"/>
      <c r="M657" s="11"/>
      <c r="N657" s="11"/>
      <c r="O657" s="11"/>
    </row>
    <row r="658" spans="5:15" ht="13.5" customHeight="1" x14ac:dyDescent="0.3">
      <c r="E658" s="16"/>
      <c r="H658" s="12"/>
      <c r="I658" s="8"/>
      <c r="J658" s="11"/>
      <c r="K658" s="10"/>
      <c r="L658" s="11"/>
      <c r="M658" s="11"/>
      <c r="N658" s="11"/>
      <c r="O658" s="11"/>
    </row>
    <row r="659" spans="5:15" ht="13.5" customHeight="1" x14ac:dyDescent="0.3">
      <c r="E659" s="16"/>
      <c r="H659" s="12"/>
      <c r="I659" s="8"/>
      <c r="J659" s="11"/>
      <c r="K659" s="10"/>
      <c r="L659" s="11"/>
      <c r="M659" s="11"/>
      <c r="N659" s="11"/>
      <c r="O659" s="11"/>
    </row>
    <row r="660" spans="5:15" ht="13.5" customHeight="1" x14ac:dyDescent="0.3">
      <c r="E660" s="16"/>
      <c r="H660" s="12"/>
      <c r="I660" s="8"/>
      <c r="J660" s="11"/>
      <c r="K660" s="10"/>
      <c r="L660" s="11"/>
      <c r="M660" s="11"/>
      <c r="N660" s="11"/>
      <c r="O660" s="11"/>
    </row>
    <row r="661" spans="5:15" ht="13.5" customHeight="1" x14ac:dyDescent="0.3">
      <c r="E661" s="16"/>
      <c r="H661" s="12"/>
      <c r="I661" s="8"/>
      <c r="J661" s="11"/>
      <c r="K661" s="10"/>
      <c r="L661" s="11"/>
      <c r="M661" s="11"/>
      <c r="N661" s="11"/>
      <c r="O661" s="11"/>
    </row>
    <row r="662" spans="5:15" ht="13.5" customHeight="1" x14ac:dyDescent="0.3">
      <c r="E662" s="16"/>
      <c r="H662" s="12"/>
      <c r="I662" s="8"/>
      <c r="J662" s="11"/>
      <c r="K662" s="10"/>
      <c r="L662" s="11"/>
      <c r="M662" s="11"/>
      <c r="N662" s="11"/>
      <c r="O662" s="11"/>
    </row>
    <row r="663" spans="5:15" ht="13.5" customHeight="1" x14ac:dyDescent="0.3">
      <c r="E663" s="16"/>
      <c r="H663" s="12"/>
      <c r="I663" s="8"/>
      <c r="J663" s="11"/>
      <c r="K663" s="10"/>
      <c r="L663" s="11"/>
      <c r="M663" s="11"/>
      <c r="N663" s="11"/>
      <c r="O663" s="11"/>
    </row>
    <row r="664" spans="5:15" ht="13.5" customHeight="1" x14ac:dyDescent="0.3">
      <c r="E664" s="16"/>
      <c r="H664" s="12"/>
      <c r="I664" s="8"/>
      <c r="J664" s="11"/>
      <c r="K664" s="10"/>
      <c r="L664" s="11"/>
      <c r="M664" s="11"/>
      <c r="N664" s="11"/>
      <c r="O664" s="11"/>
    </row>
    <row r="665" spans="5:15" ht="13.5" customHeight="1" x14ac:dyDescent="0.3">
      <c r="E665" s="16"/>
      <c r="H665" s="12"/>
      <c r="I665" s="8"/>
      <c r="J665" s="11"/>
      <c r="K665" s="10"/>
      <c r="L665" s="11"/>
      <c r="M665" s="11"/>
      <c r="N665" s="11"/>
      <c r="O665" s="11"/>
    </row>
    <row r="666" spans="5:15" ht="13.5" customHeight="1" x14ac:dyDescent="0.3">
      <c r="E666" s="16"/>
      <c r="H666" s="12"/>
      <c r="I666" s="8"/>
      <c r="J666" s="11"/>
      <c r="K666" s="10"/>
      <c r="L666" s="11"/>
      <c r="M666" s="11"/>
      <c r="N666" s="11"/>
      <c r="O666" s="11"/>
    </row>
    <row r="667" spans="5:15" ht="13.5" customHeight="1" x14ac:dyDescent="0.3">
      <c r="E667" s="16"/>
      <c r="H667" s="12"/>
      <c r="I667" s="8"/>
      <c r="J667" s="11"/>
      <c r="K667" s="10"/>
      <c r="L667" s="11"/>
      <c r="M667" s="11"/>
      <c r="N667" s="11"/>
      <c r="O667" s="11"/>
    </row>
    <row r="668" spans="5:15" ht="13.5" customHeight="1" x14ac:dyDescent="0.3">
      <c r="E668" s="16"/>
      <c r="H668" s="12"/>
      <c r="I668" s="8"/>
      <c r="J668" s="11"/>
      <c r="K668" s="10"/>
      <c r="L668" s="11"/>
      <c r="M668" s="11"/>
      <c r="N668" s="11"/>
      <c r="O668" s="11"/>
    </row>
    <row r="669" spans="5:15" ht="13.5" customHeight="1" x14ac:dyDescent="0.3">
      <c r="E669" s="16"/>
      <c r="H669" s="12"/>
      <c r="I669" s="8"/>
      <c r="J669" s="11"/>
      <c r="K669" s="10"/>
      <c r="L669" s="11"/>
      <c r="M669" s="11"/>
      <c r="N669" s="11"/>
      <c r="O669" s="11"/>
    </row>
    <row r="670" spans="5:15" ht="13.5" customHeight="1" x14ac:dyDescent="0.3">
      <c r="E670" s="16"/>
      <c r="H670" s="12"/>
      <c r="I670" s="8"/>
      <c r="J670" s="11"/>
      <c r="K670" s="10"/>
      <c r="L670" s="11"/>
      <c r="M670" s="11"/>
      <c r="N670" s="11"/>
      <c r="O670" s="11"/>
    </row>
    <row r="671" spans="5:15" ht="13.5" customHeight="1" x14ac:dyDescent="0.3">
      <c r="E671" s="16"/>
      <c r="H671" s="12"/>
      <c r="I671" s="8"/>
      <c r="J671" s="11"/>
      <c r="K671" s="10"/>
      <c r="L671" s="11"/>
      <c r="M671" s="11"/>
      <c r="N671" s="11"/>
      <c r="O671" s="11"/>
    </row>
    <row r="672" spans="5:15" ht="13.5" customHeight="1" x14ac:dyDescent="0.3">
      <c r="E672" s="16"/>
      <c r="H672" s="12"/>
      <c r="I672" s="8"/>
      <c r="J672" s="11"/>
      <c r="K672" s="10"/>
      <c r="L672" s="11"/>
      <c r="M672" s="11"/>
      <c r="N672" s="11"/>
      <c r="O672" s="11"/>
    </row>
    <row r="673" spans="5:15" ht="13.5" customHeight="1" x14ac:dyDescent="0.3">
      <c r="E673" s="16"/>
      <c r="H673" s="12"/>
      <c r="I673" s="8"/>
      <c r="J673" s="11"/>
      <c r="K673" s="10"/>
      <c r="L673" s="11"/>
      <c r="M673" s="11"/>
      <c r="N673" s="11"/>
      <c r="O673" s="11"/>
    </row>
    <row r="674" spans="5:15" ht="13.5" customHeight="1" x14ac:dyDescent="0.3">
      <c r="E674" s="16"/>
      <c r="H674" s="12"/>
      <c r="I674" s="8"/>
      <c r="J674" s="11"/>
      <c r="K674" s="10"/>
      <c r="L674" s="11"/>
      <c r="M674" s="11"/>
      <c r="N674" s="11"/>
      <c r="O674" s="11"/>
    </row>
    <row r="675" spans="5:15" ht="13.5" customHeight="1" x14ac:dyDescent="0.3">
      <c r="E675" s="16"/>
      <c r="H675" s="12"/>
      <c r="I675" s="8"/>
      <c r="J675" s="11"/>
      <c r="K675" s="10"/>
      <c r="L675" s="11"/>
      <c r="M675" s="11"/>
      <c r="N675" s="11"/>
      <c r="O675" s="11"/>
    </row>
    <row r="676" spans="5:15" ht="13.5" customHeight="1" x14ac:dyDescent="0.3">
      <c r="E676" s="16"/>
      <c r="H676" s="12"/>
      <c r="I676" s="8"/>
      <c r="J676" s="11"/>
      <c r="K676" s="10"/>
      <c r="L676" s="11"/>
      <c r="M676" s="11"/>
      <c r="N676" s="11"/>
      <c r="O676" s="11"/>
    </row>
    <row r="677" spans="5:15" ht="13.5" customHeight="1" x14ac:dyDescent="0.3">
      <c r="E677" s="16"/>
      <c r="H677" s="12"/>
      <c r="I677" s="8"/>
      <c r="J677" s="11"/>
      <c r="K677" s="10"/>
      <c r="L677" s="11"/>
      <c r="M677" s="11"/>
      <c r="N677" s="11"/>
      <c r="O677" s="11"/>
    </row>
    <row r="678" spans="5:15" ht="13.5" customHeight="1" x14ac:dyDescent="0.3">
      <c r="E678" s="16"/>
      <c r="H678" s="12"/>
      <c r="I678" s="8"/>
      <c r="J678" s="11"/>
      <c r="K678" s="10"/>
      <c r="L678" s="11"/>
      <c r="M678" s="11"/>
      <c r="N678" s="11"/>
      <c r="O678" s="11"/>
    </row>
    <row r="679" spans="5:15" ht="13.5" customHeight="1" x14ac:dyDescent="0.3">
      <c r="E679" s="16"/>
      <c r="H679" s="12"/>
      <c r="I679" s="8"/>
      <c r="J679" s="11"/>
      <c r="K679" s="10"/>
      <c r="L679" s="11"/>
      <c r="M679" s="11"/>
      <c r="N679" s="11"/>
      <c r="O679" s="11"/>
    </row>
    <row r="680" spans="5:15" ht="13.5" customHeight="1" x14ac:dyDescent="0.3">
      <c r="E680" s="16"/>
      <c r="H680" s="12"/>
      <c r="I680" s="8"/>
      <c r="J680" s="11"/>
      <c r="K680" s="10"/>
      <c r="L680" s="11"/>
      <c r="M680" s="11"/>
      <c r="N680" s="11"/>
      <c r="O680" s="11"/>
    </row>
    <row r="681" spans="5:15" ht="13.5" customHeight="1" x14ac:dyDescent="0.3">
      <c r="E681" s="16"/>
      <c r="H681" s="12"/>
      <c r="I681" s="8"/>
      <c r="J681" s="11"/>
      <c r="K681" s="10"/>
      <c r="L681" s="11"/>
      <c r="M681" s="11"/>
      <c r="N681" s="11"/>
      <c r="O681" s="11"/>
    </row>
    <row r="682" spans="5:15" ht="13.5" customHeight="1" x14ac:dyDescent="0.3">
      <c r="E682" s="16"/>
      <c r="H682" s="12"/>
      <c r="I682" s="8"/>
      <c r="J682" s="11"/>
      <c r="K682" s="10"/>
      <c r="L682" s="11"/>
      <c r="M682" s="11"/>
      <c r="N682" s="11"/>
      <c r="O682" s="11"/>
    </row>
    <row r="683" spans="5:15" ht="13.5" customHeight="1" x14ac:dyDescent="0.3">
      <c r="E683" s="16"/>
      <c r="H683" s="12"/>
      <c r="I683" s="8"/>
      <c r="J683" s="11"/>
      <c r="K683" s="10"/>
      <c r="L683" s="11"/>
      <c r="M683" s="11"/>
      <c r="N683" s="11"/>
      <c r="O683" s="11"/>
    </row>
    <row r="684" spans="5:15" ht="13.5" customHeight="1" x14ac:dyDescent="0.3">
      <c r="E684" s="16"/>
      <c r="H684" s="12"/>
      <c r="I684" s="8"/>
      <c r="J684" s="11"/>
      <c r="K684" s="10"/>
      <c r="L684" s="11"/>
      <c r="M684" s="11"/>
      <c r="N684" s="11"/>
      <c r="O684" s="11"/>
    </row>
    <row r="685" spans="5:15" ht="13.5" customHeight="1" x14ac:dyDescent="0.3">
      <c r="E685" s="16"/>
      <c r="H685" s="12"/>
      <c r="I685" s="8"/>
      <c r="J685" s="11"/>
      <c r="K685" s="10"/>
      <c r="L685" s="11"/>
      <c r="M685" s="11"/>
      <c r="N685" s="11"/>
      <c r="O685" s="11"/>
    </row>
    <row r="686" spans="5:15" ht="13.5" customHeight="1" x14ac:dyDescent="0.3">
      <c r="E686" s="16"/>
      <c r="H686" s="12"/>
      <c r="I686" s="8"/>
      <c r="J686" s="11"/>
      <c r="K686" s="10"/>
      <c r="L686" s="11"/>
      <c r="M686" s="11"/>
      <c r="N686" s="11"/>
      <c r="O686" s="11"/>
    </row>
    <row r="687" spans="5:15" ht="13.5" customHeight="1" x14ac:dyDescent="0.3">
      <c r="E687" s="16"/>
      <c r="H687" s="12"/>
      <c r="I687" s="8"/>
      <c r="J687" s="11"/>
      <c r="K687" s="10"/>
      <c r="L687" s="11"/>
      <c r="M687" s="11"/>
      <c r="N687" s="11"/>
      <c r="O687" s="11"/>
    </row>
    <row r="688" spans="5:15" ht="13.5" customHeight="1" x14ac:dyDescent="0.3">
      <c r="E688" s="16"/>
      <c r="H688" s="12"/>
      <c r="I688" s="8"/>
      <c r="J688" s="11"/>
      <c r="K688" s="10"/>
      <c r="L688" s="11"/>
      <c r="M688" s="11"/>
      <c r="N688" s="11"/>
      <c r="O688" s="11"/>
    </row>
    <row r="689" spans="5:15" ht="13.5" customHeight="1" x14ac:dyDescent="0.3">
      <c r="E689" s="16"/>
      <c r="H689" s="12"/>
      <c r="I689" s="8"/>
      <c r="J689" s="11"/>
      <c r="K689" s="10"/>
      <c r="L689" s="11"/>
      <c r="M689" s="11"/>
      <c r="N689" s="11"/>
      <c r="O689" s="11"/>
    </row>
    <row r="690" spans="5:15" ht="13.5" customHeight="1" x14ac:dyDescent="0.3">
      <c r="E690" s="16"/>
      <c r="H690" s="12"/>
      <c r="I690" s="8"/>
      <c r="J690" s="11"/>
      <c r="K690" s="10"/>
      <c r="L690" s="11"/>
      <c r="M690" s="11"/>
      <c r="N690" s="11"/>
      <c r="O690" s="11"/>
    </row>
    <row r="691" spans="5:15" ht="13.5" customHeight="1" x14ac:dyDescent="0.3">
      <c r="E691" s="16"/>
      <c r="H691" s="12"/>
      <c r="I691" s="8"/>
      <c r="J691" s="11"/>
      <c r="K691" s="10"/>
      <c r="L691" s="11"/>
      <c r="M691" s="11"/>
      <c r="N691" s="11"/>
      <c r="O691" s="11"/>
    </row>
    <row r="692" spans="5:15" ht="13.5" customHeight="1" x14ac:dyDescent="0.3">
      <c r="E692" s="16"/>
      <c r="H692" s="12"/>
      <c r="I692" s="8"/>
      <c r="J692" s="11"/>
      <c r="K692" s="10"/>
      <c r="L692" s="11"/>
      <c r="M692" s="11"/>
      <c r="N692" s="11"/>
      <c r="O692" s="11"/>
    </row>
    <row r="693" spans="5:15" ht="13.5" customHeight="1" x14ac:dyDescent="0.3">
      <c r="E693" s="16"/>
      <c r="H693" s="12"/>
      <c r="I693" s="8"/>
      <c r="J693" s="11"/>
      <c r="K693" s="10"/>
      <c r="L693" s="11"/>
      <c r="M693" s="11"/>
      <c r="N693" s="11"/>
      <c r="O693" s="11"/>
    </row>
    <row r="694" spans="5:15" ht="13.5" customHeight="1" x14ac:dyDescent="0.3">
      <c r="E694" s="16"/>
      <c r="H694" s="12"/>
      <c r="I694" s="8"/>
      <c r="J694" s="11"/>
      <c r="K694" s="10"/>
      <c r="L694" s="11"/>
      <c r="M694" s="11"/>
      <c r="N694" s="11"/>
      <c r="O694" s="11"/>
    </row>
    <row r="695" spans="5:15" ht="13.5" customHeight="1" x14ac:dyDescent="0.3">
      <c r="E695" s="16"/>
      <c r="H695" s="12"/>
      <c r="I695" s="8"/>
      <c r="J695" s="11"/>
      <c r="K695" s="10"/>
      <c r="L695" s="11"/>
      <c r="M695" s="11"/>
      <c r="N695" s="11"/>
      <c r="O695" s="11"/>
    </row>
    <row r="696" spans="5:15" ht="13.5" customHeight="1" x14ac:dyDescent="0.3">
      <c r="E696" s="16"/>
      <c r="H696" s="12"/>
      <c r="I696" s="8"/>
      <c r="J696" s="11"/>
      <c r="K696" s="10"/>
      <c r="L696" s="11"/>
      <c r="M696" s="11"/>
      <c r="N696" s="11"/>
      <c r="O696" s="11"/>
    </row>
    <row r="697" spans="5:15" ht="13.5" customHeight="1" x14ac:dyDescent="0.3">
      <c r="E697" s="16"/>
      <c r="H697" s="12"/>
      <c r="I697" s="8"/>
      <c r="J697" s="11"/>
      <c r="K697" s="10"/>
      <c r="L697" s="11"/>
      <c r="M697" s="11"/>
      <c r="N697" s="11"/>
      <c r="O697" s="11"/>
    </row>
    <row r="698" spans="5:15" ht="13.5" customHeight="1" x14ac:dyDescent="0.3">
      <c r="E698" s="16"/>
      <c r="H698" s="12"/>
      <c r="I698" s="8"/>
      <c r="J698" s="11"/>
      <c r="K698" s="10"/>
      <c r="L698" s="11"/>
      <c r="M698" s="11"/>
      <c r="N698" s="11"/>
      <c r="O698" s="11"/>
    </row>
    <row r="699" spans="5:15" ht="13.5" customHeight="1" x14ac:dyDescent="0.3">
      <c r="E699" s="16"/>
      <c r="H699" s="12"/>
      <c r="I699" s="8"/>
      <c r="J699" s="11"/>
      <c r="K699" s="10"/>
      <c r="L699" s="11"/>
      <c r="M699" s="11"/>
      <c r="N699" s="11"/>
      <c r="O699" s="11"/>
    </row>
    <row r="700" spans="5:15" ht="13.5" customHeight="1" x14ac:dyDescent="0.3">
      <c r="E700" s="16"/>
      <c r="H700" s="12"/>
      <c r="I700" s="8"/>
      <c r="J700" s="11"/>
      <c r="K700" s="10"/>
      <c r="L700" s="11"/>
      <c r="M700" s="11"/>
      <c r="N700" s="11"/>
      <c r="O700" s="11"/>
    </row>
    <row r="701" spans="5:15" ht="13.5" customHeight="1" x14ac:dyDescent="0.3">
      <c r="E701" s="16"/>
      <c r="H701" s="12"/>
      <c r="I701" s="8"/>
      <c r="J701" s="11"/>
      <c r="K701" s="10"/>
      <c r="L701" s="11"/>
      <c r="M701" s="11"/>
      <c r="N701" s="11"/>
      <c r="O701" s="11"/>
    </row>
    <row r="702" spans="5:15" ht="13.5" customHeight="1" x14ac:dyDescent="0.3">
      <c r="E702" s="16"/>
      <c r="H702" s="12"/>
      <c r="I702" s="8"/>
      <c r="J702" s="11"/>
      <c r="K702" s="10"/>
      <c r="L702" s="11"/>
      <c r="M702" s="11"/>
      <c r="N702" s="11"/>
      <c r="O702" s="11"/>
    </row>
    <row r="703" spans="5:15" ht="13.5" customHeight="1" x14ac:dyDescent="0.3">
      <c r="E703" s="16"/>
      <c r="H703" s="12"/>
      <c r="I703" s="8"/>
      <c r="J703" s="11"/>
      <c r="K703" s="10"/>
      <c r="L703" s="11"/>
      <c r="M703" s="11"/>
      <c r="N703" s="11"/>
      <c r="O703" s="11"/>
    </row>
    <row r="704" spans="5:15" ht="13.5" customHeight="1" x14ac:dyDescent="0.3">
      <c r="E704" s="16"/>
      <c r="H704" s="12"/>
      <c r="I704" s="8"/>
      <c r="J704" s="11"/>
      <c r="K704" s="10"/>
      <c r="L704" s="11"/>
      <c r="M704" s="11"/>
      <c r="N704" s="11"/>
      <c r="O704" s="11"/>
    </row>
    <row r="705" spans="5:15" ht="13.5" customHeight="1" x14ac:dyDescent="0.3">
      <c r="E705" s="16"/>
      <c r="H705" s="12"/>
      <c r="I705" s="8"/>
      <c r="J705" s="11"/>
      <c r="K705" s="10"/>
      <c r="L705" s="11"/>
      <c r="M705" s="11"/>
      <c r="N705" s="11"/>
      <c r="O705" s="11"/>
    </row>
    <row r="706" spans="5:15" ht="13.5" customHeight="1" x14ac:dyDescent="0.3">
      <c r="E706" s="16"/>
      <c r="H706" s="12"/>
      <c r="I706" s="8"/>
      <c r="J706" s="11"/>
      <c r="K706" s="10"/>
      <c r="L706" s="11"/>
      <c r="M706" s="11"/>
      <c r="N706" s="11"/>
      <c r="O706" s="11"/>
    </row>
    <row r="707" spans="5:15" ht="13.5" customHeight="1" x14ac:dyDescent="0.3">
      <c r="E707" s="16"/>
      <c r="H707" s="12"/>
      <c r="I707" s="8"/>
      <c r="J707" s="11"/>
      <c r="K707" s="10"/>
      <c r="L707" s="11"/>
      <c r="M707" s="11"/>
      <c r="N707" s="11"/>
      <c r="O707" s="11"/>
    </row>
    <row r="708" spans="5:15" ht="13.5" customHeight="1" x14ac:dyDescent="0.3">
      <c r="E708" s="16"/>
      <c r="H708" s="12"/>
      <c r="I708" s="8"/>
      <c r="J708" s="11"/>
      <c r="K708" s="10"/>
      <c r="L708" s="11"/>
      <c r="M708" s="11"/>
      <c r="N708" s="11"/>
      <c r="O708" s="11"/>
    </row>
    <row r="709" spans="5:15" ht="13.5" customHeight="1" x14ac:dyDescent="0.3">
      <c r="E709" s="16"/>
      <c r="H709" s="12"/>
      <c r="I709" s="8"/>
      <c r="J709" s="11"/>
      <c r="K709" s="10"/>
      <c r="L709" s="11"/>
      <c r="M709" s="11"/>
      <c r="N709" s="11"/>
      <c r="O709" s="11"/>
    </row>
    <row r="710" spans="5:15" ht="13.5" customHeight="1" x14ac:dyDescent="0.3">
      <c r="E710" s="16"/>
      <c r="H710" s="12"/>
      <c r="I710" s="8"/>
      <c r="J710" s="11"/>
      <c r="K710" s="10"/>
      <c r="L710" s="11"/>
      <c r="M710" s="11"/>
      <c r="N710" s="11"/>
      <c r="O710" s="11"/>
    </row>
    <row r="711" spans="5:15" ht="13.5" customHeight="1" x14ac:dyDescent="0.3">
      <c r="E711" s="16"/>
      <c r="H711" s="12"/>
      <c r="I711" s="8"/>
      <c r="J711" s="11"/>
      <c r="K711" s="10"/>
      <c r="L711" s="11"/>
      <c r="M711" s="11"/>
      <c r="N711" s="11"/>
      <c r="O711" s="11"/>
    </row>
    <row r="712" spans="5:15" ht="13.5" customHeight="1" x14ac:dyDescent="0.3">
      <c r="E712" s="16"/>
      <c r="H712" s="12"/>
      <c r="I712" s="8"/>
      <c r="J712" s="11"/>
      <c r="K712" s="10"/>
      <c r="L712" s="11"/>
      <c r="M712" s="11"/>
      <c r="N712" s="11"/>
      <c r="O712" s="11"/>
    </row>
    <row r="713" spans="5:15" ht="13.5" customHeight="1" x14ac:dyDescent="0.3">
      <c r="E713" s="16"/>
      <c r="H713" s="12"/>
      <c r="I713" s="8"/>
      <c r="J713" s="11"/>
      <c r="K713" s="10"/>
      <c r="L713" s="11"/>
      <c r="M713" s="11"/>
      <c r="N713" s="11"/>
      <c r="O713" s="11"/>
    </row>
    <row r="714" spans="5:15" ht="13.5" customHeight="1" x14ac:dyDescent="0.3">
      <c r="E714" s="16"/>
      <c r="H714" s="12"/>
      <c r="I714" s="8"/>
      <c r="J714" s="11"/>
      <c r="K714" s="10"/>
      <c r="L714" s="11"/>
      <c r="M714" s="11"/>
      <c r="N714" s="11"/>
      <c r="O714" s="11"/>
    </row>
    <row r="715" spans="5:15" ht="13.5" customHeight="1" x14ac:dyDescent="0.3">
      <c r="E715" s="16"/>
      <c r="H715" s="12"/>
      <c r="I715" s="8"/>
      <c r="J715" s="11"/>
      <c r="K715" s="10"/>
      <c r="L715" s="11"/>
      <c r="M715" s="11"/>
      <c r="N715" s="11"/>
      <c r="O715" s="11"/>
    </row>
    <row r="716" spans="5:15" ht="13.5" customHeight="1" x14ac:dyDescent="0.3">
      <c r="E716" s="16"/>
      <c r="H716" s="12"/>
      <c r="I716" s="8"/>
      <c r="J716" s="11"/>
      <c r="K716" s="10"/>
      <c r="L716" s="11"/>
      <c r="M716" s="11"/>
      <c r="N716" s="11"/>
      <c r="O716" s="11"/>
    </row>
    <row r="717" spans="5:15" ht="13.5" customHeight="1" x14ac:dyDescent="0.3">
      <c r="E717" s="16"/>
      <c r="H717" s="12"/>
      <c r="I717" s="8"/>
      <c r="J717" s="11"/>
      <c r="K717" s="10"/>
      <c r="L717" s="11"/>
      <c r="M717" s="11"/>
      <c r="N717" s="11"/>
      <c r="O717" s="11"/>
    </row>
    <row r="718" spans="5:15" ht="13.5" customHeight="1" x14ac:dyDescent="0.3">
      <c r="E718" s="16"/>
      <c r="H718" s="12"/>
      <c r="I718" s="8"/>
      <c r="J718" s="11"/>
      <c r="K718" s="10"/>
      <c r="L718" s="11"/>
      <c r="M718" s="11"/>
      <c r="N718" s="11"/>
      <c r="O718" s="11"/>
    </row>
    <row r="719" spans="5:15" ht="13.5" customHeight="1" x14ac:dyDescent="0.3">
      <c r="E719" s="16"/>
      <c r="H719" s="12"/>
      <c r="I719" s="8"/>
      <c r="J719" s="11"/>
      <c r="K719" s="10"/>
      <c r="L719" s="11"/>
      <c r="M719" s="11"/>
      <c r="N719" s="11"/>
      <c r="O719" s="11"/>
    </row>
    <row r="720" spans="5:15" ht="13.5" customHeight="1" x14ac:dyDescent="0.3">
      <c r="E720" s="16"/>
      <c r="H720" s="12"/>
      <c r="I720" s="8"/>
      <c r="J720" s="11"/>
      <c r="K720" s="10"/>
      <c r="L720" s="11"/>
      <c r="M720" s="11"/>
      <c r="N720" s="11"/>
      <c r="O720" s="11"/>
    </row>
    <row r="721" spans="5:15" ht="13.5" customHeight="1" x14ac:dyDescent="0.3">
      <c r="E721" s="16"/>
      <c r="H721" s="12"/>
      <c r="I721" s="8"/>
      <c r="J721" s="11"/>
      <c r="K721" s="10"/>
      <c r="L721" s="11"/>
      <c r="M721" s="11"/>
      <c r="N721" s="11"/>
      <c r="O721" s="11"/>
    </row>
    <row r="722" spans="5:15" ht="13.5" customHeight="1" x14ac:dyDescent="0.3">
      <c r="E722" s="16"/>
      <c r="H722" s="12"/>
      <c r="I722" s="8"/>
      <c r="J722" s="11"/>
      <c r="K722" s="10"/>
      <c r="L722" s="11"/>
      <c r="M722" s="11"/>
      <c r="N722" s="11"/>
      <c r="O722" s="11"/>
    </row>
    <row r="723" spans="5:15" ht="13.5" customHeight="1" x14ac:dyDescent="0.3">
      <c r="E723" s="16"/>
      <c r="H723" s="12"/>
      <c r="I723" s="8"/>
      <c r="J723" s="11"/>
      <c r="K723" s="10"/>
      <c r="L723" s="11"/>
      <c r="M723" s="11"/>
      <c r="N723" s="11"/>
      <c r="O723" s="11"/>
    </row>
    <row r="724" spans="5:15" ht="13.5" customHeight="1" x14ac:dyDescent="0.3">
      <c r="E724" s="16"/>
      <c r="H724" s="12"/>
      <c r="I724" s="8"/>
      <c r="J724" s="11"/>
      <c r="K724" s="10"/>
      <c r="L724" s="11"/>
      <c r="M724" s="11"/>
      <c r="N724" s="11"/>
      <c r="O724" s="11"/>
    </row>
    <row r="725" spans="5:15" ht="13.5" customHeight="1" x14ac:dyDescent="0.3">
      <c r="E725" s="16"/>
      <c r="H725" s="12"/>
      <c r="I725" s="8"/>
      <c r="J725" s="11"/>
      <c r="K725" s="10"/>
      <c r="L725" s="11"/>
      <c r="M725" s="11"/>
      <c r="N725" s="11"/>
      <c r="O725" s="11"/>
    </row>
    <row r="726" spans="5:15" ht="13.5" customHeight="1" x14ac:dyDescent="0.3">
      <c r="E726" s="16"/>
      <c r="H726" s="12"/>
      <c r="I726" s="8"/>
      <c r="J726" s="11"/>
      <c r="K726" s="10"/>
      <c r="L726" s="11"/>
      <c r="M726" s="11"/>
      <c r="N726" s="11"/>
      <c r="O726" s="11"/>
    </row>
    <row r="727" spans="5:15" ht="13.5" customHeight="1" x14ac:dyDescent="0.3">
      <c r="E727" s="16"/>
      <c r="H727" s="12"/>
      <c r="I727" s="8"/>
      <c r="J727" s="11"/>
      <c r="K727" s="10"/>
      <c r="L727" s="11"/>
      <c r="M727" s="11"/>
      <c r="N727" s="11"/>
      <c r="O727" s="11"/>
    </row>
    <row r="728" spans="5:15" ht="13.5" customHeight="1" x14ac:dyDescent="0.3">
      <c r="E728" s="16"/>
      <c r="H728" s="12"/>
      <c r="I728" s="8"/>
      <c r="J728" s="11"/>
      <c r="K728" s="10"/>
      <c r="L728" s="11"/>
      <c r="M728" s="11"/>
      <c r="N728" s="11"/>
      <c r="O728" s="11"/>
    </row>
    <row r="729" spans="5:15" ht="13.5" customHeight="1" x14ac:dyDescent="0.3">
      <c r="E729" s="16"/>
      <c r="H729" s="12"/>
      <c r="I729" s="8"/>
      <c r="J729" s="11"/>
      <c r="K729" s="10"/>
      <c r="L729" s="11"/>
      <c r="M729" s="11"/>
      <c r="N729" s="11"/>
      <c r="O729" s="11"/>
    </row>
    <row r="730" spans="5:15" ht="13.5" customHeight="1" x14ac:dyDescent="0.3">
      <c r="E730" s="16"/>
      <c r="H730" s="12"/>
      <c r="I730" s="8"/>
      <c r="J730" s="11"/>
      <c r="K730" s="10"/>
      <c r="L730" s="11"/>
      <c r="M730" s="11"/>
      <c r="N730" s="11"/>
      <c r="O730" s="11"/>
    </row>
    <row r="731" spans="5:15" ht="13.5" customHeight="1" x14ac:dyDescent="0.3">
      <c r="E731" s="16"/>
      <c r="H731" s="12"/>
      <c r="I731" s="8"/>
      <c r="J731" s="11"/>
      <c r="K731" s="10"/>
      <c r="L731" s="11"/>
      <c r="M731" s="11"/>
      <c r="N731" s="11"/>
      <c r="O731" s="11"/>
    </row>
    <row r="732" spans="5:15" ht="13.5" customHeight="1" x14ac:dyDescent="0.3">
      <c r="E732" s="16"/>
      <c r="H732" s="12"/>
      <c r="I732" s="8"/>
      <c r="J732" s="11"/>
      <c r="K732" s="10"/>
      <c r="L732" s="11"/>
      <c r="M732" s="11"/>
      <c r="N732" s="11"/>
      <c r="O732" s="11"/>
    </row>
    <row r="733" spans="5:15" ht="13.5" customHeight="1" x14ac:dyDescent="0.3">
      <c r="E733" s="16"/>
      <c r="H733" s="12"/>
      <c r="I733" s="8"/>
      <c r="J733" s="11"/>
      <c r="K733" s="10"/>
      <c r="L733" s="11"/>
      <c r="M733" s="11"/>
      <c r="N733" s="11"/>
      <c r="O733" s="11"/>
    </row>
    <row r="734" spans="5:15" ht="13.5" customHeight="1" x14ac:dyDescent="0.3">
      <c r="E734" s="16"/>
      <c r="H734" s="12"/>
      <c r="I734" s="8"/>
      <c r="J734" s="11"/>
      <c r="K734" s="10"/>
      <c r="L734" s="11"/>
      <c r="M734" s="11"/>
      <c r="N734" s="11"/>
      <c r="O734" s="11"/>
    </row>
    <row r="735" spans="5:15" ht="13.5" customHeight="1" x14ac:dyDescent="0.3">
      <c r="E735" s="16"/>
      <c r="H735" s="12"/>
      <c r="I735" s="8"/>
      <c r="J735" s="11"/>
      <c r="K735" s="10"/>
      <c r="L735" s="11"/>
      <c r="M735" s="11"/>
      <c r="N735" s="11"/>
      <c r="O735" s="11"/>
    </row>
    <row r="736" spans="5:15" ht="13.5" customHeight="1" x14ac:dyDescent="0.3">
      <c r="E736" s="16"/>
      <c r="H736" s="12"/>
      <c r="I736" s="8"/>
      <c r="J736" s="11"/>
      <c r="K736" s="10"/>
      <c r="L736" s="11"/>
      <c r="M736" s="11"/>
      <c r="N736" s="11"/>
      <c r="O736" s="11"/>
    </row>
    <row r="737" spans="5:15" ht="13.5" customHeight="1" x14ac:dyDescent="0.3">
      <c r="E737" s="16"/>
      <c r="H737" s="12"/>
      <c r="I737" s="8"/>
      <c r="J737" s="11"/>
      <c r="K737" s="10"/>
      <c r="L737" s="11"/>
      <c r="M737" s="11"/>
      <c r="N737" s="11"/>
      <c r="O737" s="11"/>
    </row>
    <row r="738" spans="5:15" ht="13.5" customHeight="1" x14ac:dyDescent="0.3">
      <c r="E738" s="16"/>
      <c r="H738" s="12"/>
      <c r="I738" s="8"/>
      <c r="J738" s="11"/>
      <c r="K738" s="10"/>
      <c r="L738" s="11"/>
      <c r="M738" s="11"/>
      <c r="N738" s="11"/>
      <c r="O738" s="11"/>
    </row>
    <row r="739" spans="5:15" ht="13.5" customHeight="1" x14ac:dyDescent="0.3">
      <c r="E739" s="16"/>
      <c r="H739" s="12"/>
      <c r="I739" s="8"/>
      <c r="J739" s="11"/>
      <c r="K739" s="10"/>
      <c r="L739" s="11"/>
      <c r="M739" s="11"/>
      <c r="N739" s="11"/>
      <c r="O739" s="11"/>
    </row>
    <row r="740" spans="5:15" ht="13.5" customHeight="1" x14ac:dyDescent="0.3">
      <c r="E740" s="16"/>
      <c r="H740" s="12"/>
      <c r="I740" s="8"/>
      <c r="J740" s="11"/>
      <c r="K740" s="10"/>
      <c r="L740" s="11"/>
      <c r="M740" s="11"/>
      <c r="N740" s="11"/>
      <c r="O740" s="11"/>
    </row>
    <row r="741" spans="5:15" ht="13.5" customHeight="1" x14ac:dyDescent="0.3">
      <c r="E741" s="16"/>
      <c r="H741" s="12"/>
      <c r="I741" s="8"/>
      <c r="J741" s="11"/>
      <c r="K741" s="10"/>
      <c r="L741" s="11"/>
      <c r="M741" s="11"/>
      <c r="N741" s="11"/>
      <c r="O741" s="11"/>
    </row>
    <row r="742" spans="5:15" ht="13.5" customHeight="1" x14ac:dyDescent="0.3">
      <c r="E742" s="16"/>
      <c r="H742" s="12"/>
      <c r="I742" s="8"/>
      <c r="J742" s="11"/>
      <c r="K742" s="10"/>
      <c r="L742" s="11"/>
      <c r="M742" s="11"/>
      <c r="N742" s="11"/>
      <c r="O742" s="11"/>
    </row>
    <row r="743" spans="5:15" ht="13.5" customHeight="1" x14ac:dyDescent="0.3">
      <c r="E743" s="16"/>
      <c r="H743" s="12"/>
      <c r="I743" s="8"/>
      <c r="J743" s="11"/>
      <c r="K743" s="10"/>
      <c r="L743" s="11"/>
      <c r="M743" s="11"/>
      <c r="N743" s="11"/>
      <c r="O743" s="11"/>
    </row>
    <row r="744" spans="5:15" ht="13.5" customHeight="1" x14ac:dyDescent="0.3">
      <c r="E744" s="16"/>
      <c r="H744" s="12"/>
      <c r="I744" s="8"/>
      <c r="J744" s="11"/>
      <c r="K744" s="10"/>
      <c r="L744" s="11"/>
      <c r="M744" s="11"/>
      <c r="N744" s="11"/>
      <c r="O744" s="11"/>
    </row>
    <row r="745" spans="5:15" ht="13.5" customHeight="1" x14ac:dyDescent="0.3">
      <c r="E745" s="16"/>
      <c r="H745" s="12"/>
      <c r="I745" s="8"/>
      <c r="J745" s="11"/>
      <c r="K745" s="10"/>
      <c r="L745" s="11"/>
      <c r="M745" s="11"/>
      <c r="N745" s="11"/>
      <c r="O745" s="11"/>
    </row>
    <row r="746" spans="5:15" ht="13.5" customHeight="1" x14ac:dyDescent="0.3">
      <c r="E746" s="16"/>
      <c r="H746" s="12"/>
      <c r="I746" s="8"/>
      <c r="J746" s="11"/>
      <c r="K746" s="10"/>
      <c r="L746" s="11"/>
      <c r="M746" s="11"/>
      <c r="N746" s="11"/>
      <c r="O746" s="11"/>
    </row>
    <row r="747" spans="5:15" ht="13.5" customHeight="1" x14ac:dyDescent="0.3">
      <c r="E747" s="16"/>
      <c r="H747" s="12"/>
      <c r="I747" s="8"/>
      <c r="J747" s="11"/>
      <c r="K747" s="10"/>
      <c r="L747" s="11"/>
      <c r="M747" s="11"/>
      <c r="N747" s="11"/>
      <c r="O747" s="11"/>
    </row>
    <row r="748" spans="5:15" ht="13.5" customHeight="1" x14ac:dyDescent="0.3">
      <c r="E748" s="16"/>
      <c r="H748" s="12"/>
      <c r="I748" s="8"/>
      <c r="J748" s="11"/>
      <c r="K748" s="10"/>
      <c r="L748" s="11"/>
      <c r="M748" s="11"/>
      <c r="N748" s="11"/>
      <c r="O748" s="11"/>
    </row>
    <row r="749" spans="5:15" ht="13.5" customHeight="1" x14ac:dyDescent="0.3">
      <c r="E749" s="16"/>
      <c r="H749" s="12"/>
      <c r="I749" s="8"/>
      <c r="J749" s="11"/>
      <c r="K749" s="10"/>
      <c r="L749" s="11"/>
      <c r="M749" s="11"/>
      <c r="N749" s="11"/>
      <c r="O749" s="11"/>
    </row>
    <row r="750" spans="5:15" ht="13.5" customHeight="1" x14ac:dyDescent="0.3">
      <c r="E750" s="16"/>
      <c r="H750" s="12"/>
      <c r="I750" s="8"/>
      <c r="J750" s="11"/>
      <c r="K750" s="10"/>
      <c r="L750" s="11"/>
      <c r="M750" s="11"/>
      <c r="N750" s="11"/>
      <c r="O750" s="11"/>
    </row>
    <row r="751" spans="5:15" ht="13.5" customHeight="1" x14ac:dyDescent="0.3">
      <c r="E751" s="16"/>
      <c r="H751" s="12"/>
      <c r="I751" s="8"/>
      <c r="J751" s="11"/>
      <c r="K751" s="10"/>
      <c r="L751" s="11"/>
      <c r="M751" s="11"/>
      <c r="N751" s="11"/>
      <c r="O751" s="11"/>
    </row>
    <row r="752" spans="5:15" ht="13.5" customHeight="1" x14ac:dyDescent="0.3">
      <c r="E752" s="16"/>
      <c r="H752" s="12"/>
      <c r="I752" s="8"/>
      <c r="J752" s="11"/>
      <c r="K752" s="10"/>
      <c r="L752" s="11"/>
      <c r="M752" s="11"/>
      <c r="N752" s="11"/>
      <c r="O752" s="11"/>
    </row>
    <row r="753" spans="5:15" ht="13.5" customHeight="1" x14ac:dyDescent="0.3">
      <c r="E753" s="16"/>
      <c r="H753" s="12"/>
      <c r="I753" s="8"/>
      <c r="J753" s="11"/>
      <c r="K753" s="10"/>
      <c r="L753" s="11"/>
      <c r="M753" s="11"/>
      <c r="N753" s="11"/>
      <c r="O753" s="11"/>
    </row>
    <row r="754" spans="5:15" ht="13.5" customHeight="1" x14ac:dyDescent="0.3">
      <c r="E754" s="16"/>
      <c r="H754" s="12"/>
      <c r="I754" s="8"/>
      <c r="J754" s="11"/>
      <c r="K754" s="10"/>
      <c r="L754" s="11"/>
      <c r="M754" s="11"/>
      <c r="N754" s="11"/>
      <c r="O754" s="11"/>
    </row>
    <row r="755" spans="5:15" ht="13.5" customHeight="1" x14ac:dyDescent="0.3">
      <c r="E755" s="16"/>
      <c r="H755" s="12"/>
      <c r="I755" s="8"/>
      <c r="J755" s="11"/>
      <c r="K755" s="10"/>
      <c r="L755" s="11"/>
      <c r="M755" s="11"/>
      <c r="N755" s="11"/>
      <c r="O755" s="11"/>
    </row>
    <row r="756" spans="5:15" ht="13.5" customHeight="1" x14ac:dyDescent="0.3">
      <c r="E756" s="16"/>
      <c r="H756" s="12"/>
      <c r="I756" s="8"/>
      <c r="J756" s="11"/>
      <c r="K756" s="10"/>
      <c r="L756" s="11"/>
      <c r="M756" s="11"/>
      <c r="N756" s="11"/>
      <c r="O756" s="11"/>
    </row>
    <row r="757" spans="5:15" ht="13.5" customHeight="1" x14ac:dyDescent="0.3">
      <c r="E757" s="16"/>
      <c r="H757" s="12"/>
      <c r="I757" s="8"/>
      <c r="J757" s="11"/>
      <c r="K757" s="10"/>
      <c r="L757" s="11"/>
      <c r="M757" s="11"/>
      <c r="N757" s="11"/>
      <c r="O757" s="11"/>
    </row>
    <row r="758" spans="5:15" ht="13.5" customHeight="1" x14ac:dyDescent="0.3">
      <c r="E758" s="16"/>
      <c r="H758" s="12"/>
      <c r="I758" s="8"/>
      <c r="J758" s="11"/>
      <c r="K758" s="10"/>
      <c r="L758" s="11"/>
      <c r="M758" s="11"/>
      <c r="N758" s="11"/>
      <c r="O758" s="11"/>
    </row>
    <row r="759" spans="5:15" ht="13.5" customHeight="1" x14ac:dyDescent="0.3">
      <c r="E759" s="16"/>
      <c r="H759" s="12"/>
      <c r="I759" s="8"/>
      <c r="J759" s="11"/>
      <c r="K759" s="10"/>
      <c r="L759" s="11"/>
      <c r="M759" s="11"/>
      <c r="N759" s="11"/>
      <c r="O759" s="11"/>
    </row>
    <row r="760" spans="5:15" ht="13.5" customHeight="1" x14ac:dyDescent="0.3">
      <c r="E760" s="16"/>
      <c r="H760" s="12"/>
      <c r="I760" s="8"/>
      <c r="J760" s="11"/>
      <c r="K760" s="10"/>
      <c r="L760" s="11"/>
      <c r="M760" s="11"/>
      <c r="N760" s="11"/>
      <c r="O760" s="11"/>
    </row>
    <row r="761" spans="5:15" ht="13.5" customHeight="1" x14ac:dyDescent="0.3">
      <c r="E761" s="16"/>
      <c r="H761" s="12"/>
      <c r="I761" s="8"/>
      <c r="J761" s="11"/>
      <c r="K761" s="10"/>
      <c r="L761" s="11"/>
      <c r="M761" s="11"/>
      <c r="N761" s="11"/>
      <c r="O761" s="11"/>
    </row>
    <row r="762" spans="5:15" ht="13.5" customHeight="1" x14ac:dyDescent="0.3">
      <c r="E762" s="16"/>
      <c r="H762" s="12"/>
      <c r="I762" s="8"/>
      <c r="J762" s="11"/>
      <c r="K762" s="10"/>
      <c r="L762" s="11"/>
      <c r="M762" s="11"/>
      <c r="N762" s="11"/>
      <c r="O762" s="11"/>
    </row>
    <row r="763" spans="5:15" ht="13.5" customHeight="1" x14ac:dyDescent="0.3">
      <c r="E763" s="16"/>
      <c r="H763" s="12"/>
      <c r="I763" s="8"/>
      <c r="J763" s="11"/>
      <c r="K763" s="10"/>
      <c r="L763" s="11"/>
      <c r="M763" s="11"/>
      <c r="N763" s="11"/>
      <c r="O763" s="11"/>
    </row>
    <row r="764" spans="5:15" ht="13.5" customHeight="1" x14ac:dyDescent="0.3">
      <c r="E764" s="16"/>
      <c r="H764" s="12"/>
      <c r="I764" s="8"/>
      <c r="J764" s="11"/>
      <c r="K764" s="10"/>
      <c r="L764" s="11"/>
      <c r="M764" s="11"/>
      <c r="N764" s="11"/>
      <c r="O764" s="11"/>
    </row>
    <row r="765" spans="5:15" ht="13.5" customHeight="1" x14ac:dyDescent="0.3">
      <c r="E765" s="16"/>
      <c r="H765" s="12"/>
      <c r="I765" s="8"/>
      <c r="J765" s="11"/>
      <c r="K765" s="10"/>
      <c r="L765" s="11"/>
      <c r="M765" s="11"/>
      <c r="N765" s="11"/>
      <c r="O765" s="11"/>
    </row>
    <row r="766" spans="5:15" ht="13.5" customHeight="1" x14ac:dyDescent="0.3">
      <c r="E766" s="16"/>
      <c r="H766" s="12"/>
      <c r="I766" s="8"/>
      <c r="J766" s="11"/>
      <c r="K766" s="10"/>
      <c r="L766" s="11"/>
      <c r="M766" s="11"/>
      <c r="N766" s="11"/>
      <c r="O766" s="11"/>
    </row>
    <row r="767" spans="5:15" ht="13.5" customHeight="1" x14ac:dyDescent="0.3">
      <c r="E767" s="16"/>
      <c r="H767" s="12"/>
      <c r="I767" s="8"/>
      <c r="J767" s="11"/>
      <c r="K767" s="10"/>
      <c r="L767" s="11"/>
      <c r="M767" s="11"/>
      <c r="N767" s="11"/>
      <c r="O767" s="11"/>
    </row>
    <row r="768" spans="5:15" ht="13.5" customHeight="1" x14ac:dyDescent="0.3">
      <c r="E768" s="16"/>
      <c r="H768" s="12"/>
      <c r="I768" s="8"/>
      <c r="J768" s="11"/>
      <c r="K768" s="10"/>
      <c r="L768" s="11"/>
      <c r="M768" s="11"/>
      <c r="N768" s="11"/>
      <c r="O768" s="11"/>
    </row>
    <row r="769" spans="5:15" ht="13.5" customHeight="1" x14ac:dyDescent="0.3">
      <c r="E769" s="16"/>
      <c r="H769" s="12"/>
      <c r="I769" s="8"/>
      <c r="J769" s="11"/>
      <c r="K769" s="10"/>
      <c r="L769" s="11"/>
      <c r="M769" s="11"/>
      <c r="N769" s="11"/>
      <c r="O769" s="11"/>
    </row>
    <row r="770" spans="5:15" ht="13.5" customHeight="1" x14ac:dyDescent="0.3">
      <c r="E770" s="16"/>
      <c r="H770" s="12"/>
      <c r="I770" s="8"/>
      <c r="J770" s="11"/>
      <c r="K770" s="10"/>
      <c r="L770" s="11"/>
      <c r="M770" s="11"/>
      <c r="N770" s="11"/>
      <c r="O770" s="11"/>
    </row>
    <row r="771" spans="5:15" ht="13.5" customHeight="1" x14ac:dyDescent="0.3">
      <c r="E771" s="16"/>
      <c r="H771" s="12"/>
      <c r="I771" s="8"/>
      <c r="J771" s="11"/>
      <c r="K771" s="10"/>
      <c r="L771" s="11"/>
      <c r="M771" s="11"/>
      <c r="N771" s="11"/>
      <c r="O771" s="11"/>
    </row>
    <row r="772" spans="5:15" ht="13.5" customHeight="1" x14ac:dyDescent="0.3">
      <c r="E772" s="16"/>
      <c r="H772" s="12"/>
      <c r="I772" s="8"/>
      <c r="J772" s="11"/>
      <c r="K772" s="10"/>
      <c r="L772" s="11"/>
      <c r="M772" s="11"/>
      <c r="N772" s="11"/>
      <c r="O772" s="11"/>
    </row>
    <row r="773" spans="5:15" ht="13.5" customHeight="1" x14ac:dyDescent="0.3">
      <c r="E773" s="16"/>
      <c r="H773" s="12"/>
      <c r="I773" s="8"/>
      <c r="J773" s="11"/>
      <c r="K773" s="10"/>
      <c r="L773" s="11"/>
      <c r="M773" s="11"/>
      <c r="N773" s="11"/>
      <c r="O773" s="11"/>
    </row>
    <row r="774" spans="5:15" ht="13.5" customHeight="1" x14ac:dyDescent="0.3">
      <c r="E774" s="16"/>
      <c r="H774" s="12"/>
      <c r="I774" s="8"/>
      <c r="J774" s="11"/>
      <c r="K774" s="10"/>
      <c r="L774" s="11"/>
      <c r="M774" s="11"/>
      <c r="N774" s="11"/>
      <c r="O774" s="11"/>
    </row>
    <row r="775" spans="5:15" ht="13.5" customHeight="1" x14ac:dyDescent="0.3">
      <c r="E775" s="16"/>
      <c r="H775" s="12"/>
      <c r="I775" s="8"/>
      <c r="J775" s="11"/>
      <c r="K775" s="10"/>
      <c r="L775" s="11"/>
      <c r="M775" s="11"/>
      <c r="N775" s="11"/>
      <c r="O775" s="11"/>
    </row>
    <row r="776" spans="5:15" ht="13.5" customHeight="1" x14ac:dyDescent="0.3">
      <c r="E776" s="16"/>
      <c r="H776" s="12"/>
      <c r="I776" s="8"/>
      <c r="J776" s="11"/>
      <c r="K776" s="10"/>
      <c r="L776" s="11"/>
      <c r="M776" s="11"/>
      <c r="N776" s="11"/>
      <c r="O776" s="11"/>
    </row>
    <row r="777" spans="5:15" ht="13.5" customHeight="1" x14ac:dyDescent="0.3">
      <c r="E777" s="16"/>
      <c r="H777" s="12"/>
      <c r="I777" s="8"/>
      <c r="J777" s="11"/>
      <c r="K777" s="10"/>
      <c r="L777" s="11"/>
      <c r="M777" s="11"/>
      <c r="N777" s="11"/>
      <c r="O777" s="11"/>
    </row>
    <row r="778" spans="5:15" ht="13.5" customHeight="1" x14ac:dyDescent="0.3">
      <c r="E778" s="16"/>
      <c r="H778" s="12"/>
      <c r="I778" s="8"/>
      <c r="J778" s="11"/>
      <c r="K778" s="10"/>
      <c r="L778" s="11"/>
      <c r="M778" s="11"/>
      <c r="N778" s="11"/>
      <c r="O778" s="11"/>
    </row>
    <row r="779" spans="5:15" ht="13.5" customHeight="1" x14ac:dyDescent="0.3">
      <c r="E779" s="16"/>
      <c r="H779" s="12"/>
      <c r="I779" s="8"/>
      <c r="J779" s="11"/>
      <c r="K779" s="10"/>
      <c r="L779" s="11"/>
      <c r="M779" s="11"/>
      <c r="N779" s="11"/>
      <c r="O779" s="11"/>
    </row>
    <row r="780" spans="5:15" ht="13.5" customHeight="1" x14ac:dyDescent="0.3">
      <c r="E780" s="16"/>
      <c r="H780" s="12"/>
      <c r="I780" s="8"/>
      <c r="J780" s="11"/>
      <c r="K780" s="10"/>
      <c r="L780" s="11"/>
      <c r="M780" s="11"/>
      <c r="N780" s="11"/>
      <c r="O780" s="11"/>
    </row>
    <row r="781" spans="5:15" ht="13.5" customHeight="1" x14ac:dyDescent="0.3">
      <c r="E781" s="16"/>
      <c r="H781" s="12"/>
      <c r="I781" s="8"/>
      <c r="J781" s="11"/>
      <c r="K781" s="10"/>
      <c r="L781" s="11"/>
      <c r="M781" s="11"/>
      <c r="N781" s="11"/>
      <c r="O781" s="11"/>
    </row>
    <row r="782" spans="5:15" ht="13.5" customHeight="1" x14ac:dyDescent="0.3">
      <c r="E782" s="16"/>
      <c r="H782" s="12"/>
      <c r="I782" s="8"/>
      <c r="J782" s="11"/>
      <c r="K782" s="10"/>
      <c r="L782" s="11"/>
      <c r="M782" s="11"/>
      <c r="N782" s="11"/>
      <c r="O782" s="11"/>
    </row>
    <row r="783" spans="5:15" ht="13.5" customHeight="1" x14ac:dyDescent="0.3">
      <c r="E783" s="16"/>
      <c r="H783" s="12"/>
      <c r="I783" s="8"/>
      <c r="J783" s="11"/>
      <c r="K783" s="10"/>
      <c r="L783" s="11"/>
      <c r="M783" s="11"/>
      <c r="N783" s="11"/>
      <c r="O783" s="11"/>
    </row>
    <row r="784" spans="5:15" ht="13.5" customHeight="1" x14ac:dyDescent="0.3">
      <c r="E784" s="16"/>
      <c r="H784" s="12"/>
      <c r="I784" s="8"/>
      <c r="J784" s="11"/>
      <c r="K784" s="10"/>
      <c r="L784" s="11"/>
      <c r="M784" s="11"/>
      <c r="N784" s="11"/>
      <c r="O784" s="11"/>
    </row>
    <row r="785" spans="5:15" ht="13.5" customHeight="1" x14ac:dyDescent="0.3">
      <c r="E785" s="16"/>
      <c r="H785" s="12"/>
      <c r="I785" s="8"/>
      <c r="J785" s="11"/>
      <c r="K785" s="10"/>
      <c r="L785" s="11"/>
      <c r="M785" s="11"/>
      <c r="N785" s="11"/>
      <c r="O785" s="11"/>
    </row>
    <row r="786" spans="5:15" ht="13.5" customHeight="1" x14ac:dyDescent="0.3">
      <c r="E786" s="16"/>
      <c r="H786" s="12"/>
      <c r="I786" s="8"/>
      <c r="J786" s="11"/>
      <c r="K786" s="10"/>
      <c r="L786" s="11"/>
      <c r="M786" s="11"/>
      <c r="N786" s="11"/>
      <c r="O786" s="11"/>
    </row>
    <row r="787" spans="5:15" ht="13.5" customHeight="1" x14ac:dyDescent="0.3">
      <c r="E787" s="16"/>
      <c r="H787" s="12"/>
      <c r="I787" s="8"/>
      <c r="J787" s="11"/>
      <c r="K787" s="10"/>
      <c r="L787" s="11"/>
      <c r="M787" s="11"/>
      <c r="N787" s="11"/>
      <c r="O787" s="11"/>
    </row>
    <row r="788" spans="5:15" ht="13.5" customHeight="1" x14ac:dyDescent="0.3">
      <c r="E788" s="16"/>
      <c r="H788" s="12"/>
      <c r="I788" s="8"/>
      <c r="J788" s="11"/>
      <c r="K788" s="10"/>
      <c r="L788" s="11"/>
      <c r="M788" s="11"/>
      <c r="N788" s="11"/>
      <c r="O788" s="11"/>
    </row>
    <row r="789" spans="5:15" ht="13.5" customHeight="1" x14ac:dyDescent="0.3">
      <c r="E789" s="16"/>
      <c r="H789" s="12"/>
      <c r="I789" s="8"/>
      <c r="J789" s="11"/>
      <c r="K789" s="10"/>
      <c r="L789" s="11"/>
      <c r="M789" s="11"/>
      <c r="N789" s="11"/>
      <c r="O789" s="11"/>
    </row>
    <row r="790" spans="5:15" ht="13.5" customHeight="1" x14ac:dyDescent="0.3">
      <c r="E790" s="16"/>
      <c r="H790" s="12"/>
      <c r="I790" s="8"/>
      <c r="J790" s="11"/>
      <c r="K790" s="10"/>
      <c r="L790" s="11"/>
      <c r="M790" s="11"/>
      <c r="N790" s="11"/>
      <c r="O790" s="11"/>
    </row>
    <row r="791" spans="5:15" ht="13.5" customHeight="1" x14ac:dyDescent="0.3">
      <c r="E791" s="16"/>
      <c r="H791" s="12"/>
      <c r="I791" s="8"/>
      <c r="J791" s="11"/>
      <c r="K791" s="10"/>
      <c r="L791" s="11"/>
      <c r="M791" s="11"/>
      <c r="N791" s="11"/>
      <c r="O791" s="11"/>
    </row>
    <row r="792" spans="5:15" ht="13.5" customHeight="1" x14ac:dyDescent="0.3">
      <c r="E792" s="16"/>
      <c r="H792" s="12"/>
      <c r="I792" s="8"/>
      <c r="J792" s="11"/>
      <c r="K792" s="10"/>
      <c r="L792" s="11"/>
      <c r="M792" s="11"/>
      <c r="N792" s="11"/>
      <c r="O792" s="11"/>
    </row>
    <row r="793" spans="5:15" ht="13.5" customHeight="1" x14ac:dyDescent="0.3">
      <c r="E793" s="16"/>
      <c r="H793" s="12"/>
      <c r="I793" s="8"/>
      <c r="J793" s="11"/>
      <c r="K793" s="10"/>
      <c r="L793" s="11"/>
      <c r="M793" s="11"/>
      <c r="N793" s="11"/>
      <c r="O793" s="11"/>
    </row>
    <row r="794" spans="5:15" ht="13.5" customHeight="1" x14ac:dyDescent="0.3">
      <c r="E794" s="16"/>
      <c r="H794" s="12"/>
      <c r="I794" s="8"/>
      <c r="J794" s="11"/>
      <c r="K794" s="10"/>
      <c r="L794" s="11"/>
      <c r="M794" s="11"/>
      <c r="N794" s="11"/>
      <c r="O794" s="11"/>
    </row>
    <row r="795" spans="5:15" ht="13.5" customHeight="1" x14ac:dyDescent="0.3">
      <c r="E795" s="16"/>
      <c r="H795" s="12"/>
      <c r="I795" s="8"/>
      <c r="J795" s="11"/>
      <c r="K795" s="10"/>
      <c r="L795" s="11"/>
      <c r="M795" s="11"/>
      <c r="N795" s="11"/>
      <c r="O795" s="11"/>
    </row>
    <row r="796" spans="5:15" ht="13.5" customHeight="1" x14ac:dyDescent="0.3">
      <c r="E796" s="16"/>
      <c r="H796" s="12"/>
      <c r="I796" s="8"/>
      <c r="J796" s="11"/>
      <c r="K796" s="10"/>
      <c r="L796" s="11"/>
      <c r="M796" s="11"/>
      <c r="N796" s="11"/>
      <c r="O796" s="11"/>
    </row>
    <row r="797" spans="5:15" ht="13.5" customHeight="1" x14ac:dyDescent="0.3">
      <c r="E797" s="16"/>
      <c r="H797" s="12"/>
      <c r="I797" s="8"/>
      <c r="J797" s="11"/>
      <c r="K797" s="10"/>
      <c r="L797" s="11"/>
      <c r="M797" s="11"/>
      <c r="N797" s="11"/>
      <c r="O797" s="11"/>
    </row>
    <row r="798" spans="5:15" ht="13.5" customHeight="1" x14ac:dyDescent="0.3">
      <c r="E798" s="16"/>
      <c r="H798" s="12"/>
      <c r="I798" s="8"/>
      <c r="J798" s="11"/>
      <c r="K798" s="10"/>
      <c r="L798" s="11"/>
      <c r="M798" s="11"/>
      <c r="N798" s="11"/>
      <c r="O798" s="11"/>
    </row>
    <row r="799" spans="5:15" ht="13.5" customHeight="1" x14ac:dyDescent="0.3">
      <c r="E799" s="16"/>
      <c r="H799" s="12"/>
      <c r="I799" s="8"/>
      <c r="J799" s="11"/>
      <c r="K799" s="10"/>
      <c r="L799" s="11"/>
      <c r="M799" s="11"/>
      <c r="N799" s="11"/>
      <c r="O799" s="11"/>
    </row>
    <row r="800" spans="5:15" ht="13.5" customHeight="1" x14ac:dyDescent="0.3">
      <c r="E800" s="16"/>
      <c r="H800" s="12"/>
      <c r="I800" s="8"/>
      <c r="J800" s="11"/>
      <c r="K800" s="10"/>
      <c r="L800" s="11"/>
      <c r="M800" s="11"/>
      <c r="N800" s="11"/>
      <c r="O800" s="11"/>
    </row>
    <row r="801" spans="5:15" ht="13.5" customHeight="1" x14ac:dyDescent="0.3">
      <c r="E801" s="16"/>
      <c r="H801" s="12"/>
      <c r="I801" s="8"/>
      <c r="J801" s="11"/>
      <c r="K801" s="10"/>
      <c r="L801" s="11"/>
      <c r="M801" s="11"/>
      <c r="N801" s="11"/>
      <c r="O801" s="11"/>
    </row>
    <row r="802" spans="5:15" ht="13.5" customHeight="1" x14ac:dyDescent="0.3">
      <c r="E802" s="16"/>
      <c r="H802" s="12"/>
      <c r="I802" s="8"/>
      <c r="J802" s="11"/>
      <c r="K802" s="10"/>
      <c r="L802" s="11"/>
      <c r="M802" s="11"/>
      <c r="N802" s="11"/>
      <c r="O802" s="11"/>
    </row>
    <row r="803" spans="5:15" ht="13.5" customHeight="1" x14ac:dyDescent="0.3">
      <c r="E803" s="16"/>
      <c r="H803" s="12"/>
      <c r="I803" s="8"/>
      <c r="J803" s="11"/>
      <c r="K803" s="10"/>
      <c r="L803" s="11"/>
      <c r="M803" s="11"/>
      <c r="N803" s="11"/>
      <c r="O803" s="11"/>
    </row>
    <row r="804" spans="5:15" ht="13.5" customHeight="1" x14ac:dyDescent="0.3">
      <c r="E804" s="16"/>
      <c r="H804" s="12"/>
      <c r="I804" s="8"/>
      <c r="J804" s="11"/>
      <c r="K804" s="10"/>
      <c r="L804" s="11"/>
      <c r="M804" s="11"/>
      <c r="N804" s="11"/>
      <c r="O804" s="11"/>
    </row>
    <row r="805" spans="5:15" ht="13.5" customHeight="1" x14ac:dyDescent="0.3">
      <c r="E805" s="16"/>
      <c r="H805" s="12"/>
      <c r="I805" s="8"/>
      <c r="J805" s="11"/>
      <c r="K805" s="10"/>
      <c r="L805" s="11"/>
      <c r="M805" s="11"/>
      <c r="N805" s="11"/>
      <c r="O805" s="11"/>
    </row>
    <row r="806" spans="5:15" ht="13.5" customHeight="1" x14ac:dyDescent="0.3">
      <c r="E806" s="16"/>
      <c r="H806" s="12"/>
      <c r="I806" s="8"/>
      <c r="J806" s="11"/>
      <c r="K806" s="10"/>
      <c r="L806" s="11"/>
      <c r="M806" s="11"/>
      <c r="N806" s="11"/>
      <c r="O806" s="11"/>
    </row>
    <row r="807" spans="5:15" ht="13.5" customHeight="1" x14ac:dyDescent="0.3">
      <c r="E807" s="16"/>
      <c r="H807" s="12"/>
      <c r="I807" s="8"/>
      <c r="J807" s="11"/>
      <c r="K807" s="10"/>
      <c r="L807" s="11"/>
      <c r="M807" s="11"/>
      <c r="N807" s="11"/>
      <c r="O807" s="11"/>
    </row>
    <row r="808" spans="5:15" ht="13.5" customHeight="1" x14ac:dyDescent="0.3">
      <c r="E808" s="16"/>
      <c r="H808" s="12"/>
      <c r="I808" s="8"/>
      <c r="J808" s="11"/>
      <c r="K808" s="10"/>
      <c r="L808" s="11"/>
      <c r="M808" s="11"/>
      <c r="N808" s="11"/>
      <c r="O808" s="11"/>
    </row>
    <row r="809" spans="5:15" ht="13.5" customHeight="1" x14ac:dyDescent="0.3">
      <c r="E809" s="16"/>
      <c r="H809" s="12"/>
      <c r="I809" s="8"/>
      <c r="J809" s="11"/>
      <c r="K809" s="10"/>
      <c r="L809" s="11"/>
      <c r="M809" s="11"/>
      <c r="N809" s="11"/>
      <c r="O809" s="11"/>
    </row>
    <row r="810" spans="5:15" ht="13.5" customHeight="1" x14ac:dyDescent="0.3">
      <c r="E810" s="16"/>
      <c r="H810" s="12"/>
      <c r="I810" s="8"/>
      <c r="J810" s="11"/>
      <c r="K810" s="10"/>
      <c r="L810" s="11"/>
      <c r="M810" s="11"/>
      <c r="N810" s="11"/>
      <c r="O810" s="11"/>
    </row>
    <row r="811" spans="5:15" ht="13.5" customHeight="1" x14ac:dyDescent="0.3">
      <c r="E811" s="16"/>
      <c r="H811" s="12"/>
      <c r="I811" s="8"/>
      <c r="J811" s="11"/>
      <c r="K811" s="10"/>
      <c r="L811" s="11"/>
      <c r="M811" s="11"/>
      <c r="N811" s="11"/>
      <c r="O811" s="11"/>
    </row>
    <row r="812" spans="5:15" ht="13.5" customHeight="1" x14ac:dyDescent="0.3">
      <c r="E812" s="16"/>
      <c r="H812" s="12"/>
      <c r="I812" s="8"/>
      <c r="J812" s="11"/>
      <c r="K812" s="10"/>
      <c r="L812" s="11"/>
      <c r="M812" s="11"/>
      <c r="N812" s="11"/>
      <c r="O812" s="11"/>
    </row>
    <row r="813" spans="5:15" ht="13.5" customHeight="1" x14ac:dyDescent="0.3">
      <c r="E813" s="16"/>
      <c r="H813" s="12"/>
      <c r="I813" s="8"/>
      <c r="J813" s="11"/>
      <c r="K813" s="10"/>
      <c r="L813" s="11"/>
      <c r="M813" s="11"/>
      <c r="N813" s="11"/>
      <c r="O813" s="11"/>
    </row>
    <row r="814" spans="5:15" ht="13.5" customHeight="1" x14ac:dyDescent="0.3">
      <c r="E814" s="16"/>
      <c r="H814" s="12"/>
      <c r="I814" s="8"/>
      <c r="J814" s="11"/>
      <c r="K814" s="10"/>
      <c r="L814" s="11"/>
      <c r="M814" s="11"/>
      <c r="N814" s="11"/>
      <c r="O814" s="11"/>
    </row>
    <row r="815" spans="5:15" ht="13.5" customHeight="1" x14ac:dyDescent="0.3">
      <c r="E815" s="16"/>
      <c r="H815" s="12"/>
      <c r="I815" s="8"/>
      <c r="J815" s="11"/>
      <c r="K815" s="10"/>
      <c r="L815" s="11"/>
      <c r="M815" s="11"/>
      <c r="N815" s="11"/>
      <c r="O815" s="11"/>
    </row>
    <row r="816" spans="5:15" ht="13.5" customHeight="1" x14ac:dyDescent="0.3">
      <c r="E816" s="16"/>
      <c r="H816" s="12"/>
      <c r="I816" s="8"/>
      <c r="J816" s="11"/>
      <c r="K816" s="10"/>
      <c r="L816" s="11"/>
      <c r="M816" s="11"/>
      <c r="N816" s="11"/>
      <c r="O816" s="11"/>
    </row>
    <row r="817" spans="5:15" ht="13.5" customHeight="1" x14ac:dyDescent="0.3">
      <c r="E817" s="16"/>
      <c r="H817" s="12"/>
      <c r="I817" s="8"/>
      <c r="J817" s="11"/>
      <c r="K817" s="10"/>
      <c r="L817" s="11"/>
      <c r="M817" s="11"/>
      <c r="N817" s="11"/>
      <c r="O817" s="11"/>
    </row>
    <row r="818" spans="5:15" ht="13.5" customHeight="1" x14ac:dyDescent="0.3">
      <c r="E818" s="16"/>
      <c r="H818" s="12"/>
      <c r="I818" s="8"/>
      <c r="J818" s="11"/>
      <c r="K818" s="10"/>
      <c r="L818" s="11"/>
      <c r="M818" s="11"/>
      <c r="N818" s="11"/>
      <c r="O818" s="11"/>
    </row>
    <row r="819" spans="5:15" ht="13.5" customHeight="1" x14ac:dyDescent="0.3">
      <c r="E819" s="16"/>
      <c r="H819" s="12"/>
      <c r="I819" s="8"/>
      <c r="J819" s="11"/>
      <c r="K819" s="10"/>
      <c r="L819" s="11"/>
      <c r="M819" s="11"/>
      <c r="N819" s="11"/>
      <c r="O819" s="11"/>
    </row>
    <row r="820" spans="5:15" ht="13.5" customHeight="1" x14ac:dyDescent="0.3">
      <c r="E820" s="16"/>
      <c r="H820" s="12"/>
      <c r="I820" s="8"/>
      <c r="J820" s="11"/>
      <c r="K820" s="10"/>
      <c r="L820" s="11"/>
      <c r="M820" s="11"/>
      <c r="N820" s="11"/>
      <c r="O820" s="11"/>
    </row>
    <row r="821" spans="5:15" ht="13.5" customHeight="1" x14ac:dyDescent="0.3">
      <c r="E821" s="16"/>
      <c r="H821" s="12"/>
      <c r="I821" s="8"/>
      <c r="J821" s="11"/>
      <c r="K821" s="10"/>
      <c r="L821" s="11"/>
      <c r="M821" s="11"/>
      <c r="N821" s="11"/>
      <c r="O821" s="11"/>
    </row>
    <row r="822" spans="5:15" ht="13.5" customHeight="1" x14ac:dyDescent="0.3">
      <c r="E822" s="16"/>
      <c r="H822" s="12"/>
      <c r="I822" s="8"/>
      <c r="J822" s="11"/>
      <c r="K822" s="10"/>
      <c r="L822" s="11"/>
      <c r="M822" s="11"/>
      <c r="N822" s="11"/>
      <c r="O822" s="11"/>
    </row>
    <row r="823" spans="5:15" ht="13.5" customHeight="1" x14ac:dyDescent="0.3">
      <c r="E823" s="16"/>
      <c r="H823" s="12"/>
      <c r="I823" s="8"/>
      <c r="J823" s="11"/>
      <c r="K823" s="10"/>
      <c r="L823" s="11"/>
      <c r="M823" s="11"/>
      <c r="N823" s="11"/>
      <c r="O823" s="11"/>
    </row>
    <row r="824" spans="5:15" ht="13.5" customHeight="1" x14ac:dyDescent="0.3">
      <c r="E824" s="16"/>
      <c r="H824" s="12"/>
      <c r="I824" s="8"/>
      <c r="J824" s="11"/>
      <c r="K824" s="10"/>
      <c r="L824" s="11"/>
      <c r="M824" s="11"/>
      <c r="N824" s="11"/>
      <c r="O824" s="11"/>
    </row>
    <row r="825" spans="5:15" ht="13.5" customHeight="1" x14ac:dyDescent="0.3">
      <c r="E825" s="16"/>
      <c r="H825" s="12"/>
      <c r="I825" s="8"/>
      <c r="J825" s="11"/>
      <c r="K825" s="10"/>
      <c r="L825" s="11"/>
      <c r="M825" s="11"/>
      <c r="N825" s="11"/>
      <c r="O825" s="11"/>
    </row>
    <row r="826" spans="5:15" ht="13.5" customHeight="1" x14ac:dyDescent="0.3">
      <c r="E826" s="16"/>
      <c r="H826" s="12"/>
      <c r="I826" s="8"/>
      <c r="J826" s="11"/>
      <c r="K826" s="10"/>
      <c r="L826" s="11"/>
      <c r="M826" s="11"/>
      <c r="N826" s="11"/>
      <c r="O826" s="11"/>
    </row>
    <row r="827" spans="5:15" ht="13.5" customHeight="1" x14ac:dyDescent="0.3">
      <c r="E827" s="16"/>
      <c r="H827" s="12"/>
      <c r="I827" s="8"/>
      <c r="J827" s="11"/>
      <c r="K827" s="10"/>
      <c r="L827" s="11"/>
      <c r="M827" s="11"/>
      <c r="N827" s="11"/>
      <c r="O827" s="11"/>
    </row>
    <row r="828" spans="5:15" ht="13.5" customHeight="1" x14ac:dyDescent="0.3">
      <c r="E828" s="16"/>
      <c r="H828" s="12"/>
      <c r="I828" s="8"/>
      <c r="J828" s="11"/>
      <c r="K828" s="10"/>
      <c r="L828" s="11"/>
      <c r="M828" s="11"/>
      <c r="N828" s="11"/>
      <c r="O828" s="11"/>
    </row>
    <row r="829" spans="5:15" ht="13.5" customHeight="1" x14ac:dyDescent="0.3">
      <c r="E829" s="16"/>
      <c r="H829" s="12"/>
      <c r="I829" s="8"/>
      <c r="J829" s="11"/>
      <c r="K829" s="10"/>
      <c r="L829" s="11"/>
      <c r="M829" s="11"/>
      <c r="N829" s="11"/>
      <c r="O829" s="11"/>
    </row>
    <row r="830" spans="5:15" ht="13.5" customHeight="1" x14ac:dyDescent="0.3">
      <c r="E830" s="16"/>
      <c r="H830" s="12"/>
      <c r="I830" s="8"/>
      <c r="J830" s="11"/>
      <c r="K830" s="10"/>
      <c r="L830" s="11"/>
      <c r="M830" s="11"/>
      <c r="N830" s="11"/>
      <c r="O830" s="11"/>
    </row>
    <row r="831" spans="5:15" ht="13.5" customHeight="1" x14ac:dyDescent="0.3">
      <c r="E831" s="16"/>
      <c r="H831" s="12"/>
      <c r="I831" s="8"/>
      <c r="J831" s="11"/>
      <c r="K831" s="10"/>
      <c r="L831" s="11"/>
      <c r="M831" s="11"/>
      <c r="N831" s="11"/>
      <c r="O831" s="11"/>
    </row>
    <row r="832" spans="5:15" ht="13.5" customHeight="1" x14ac:dyDescent="0.3">
      <c r="E832" s="16"/>
      <c r="H832" s="12"/>
      <c r="I832" s="8"/>
      <c r="J832" s="11"/>
      <c r="K832" s="10"/>
      <c r="L832" s="11"/>
      <c r="M832" s="11"/>
      <c r="N832" s="11"/>
      <c r="O832" s="11"/>
    </row>
    <row r="833" spans="5:15" ht="13.5" customHeight="1" x14ac:dyDescent="0.3">
      <c r="E833" s="16"/>
      <c r="H833" s="12"/>
      <c r="I833" s="8"/>
      <c r="J833" s="11"/>
      <c r="K833" s="10"/>
      <c r="L833" s="11"/>
      <c r="M833" s="11"/>
      <c r="N833" s="11"/>
      <c r="O833" s="11"/>
    </row>
    <row r="834" spans="5:15" ht="13.5" customHeight="1" x14ac:dyDescent="0.3">
      <c r="E834" s="16"/>
      <c r="H834" s="12"/>
      <c r="I834" s="8"/>
      <c r="J834" s="11"/>
      <c r="K834" s="10"/>
      <c r="L834" s="11"/>
      <c r="M834" s="11"/>
      <c r="N834" s="11"/>
      <c r="O834" s="11"/>
    </row>
    <row r="835" spans="5:15" ht="13.5" customHeight="1" x14ac:dyDescent="0.3">
      <c r="E835" s="16"/>
      <c r="H835" s="12"/>
      <c r="I835" s="8"/>
      <c r="J835" s="11"/>
      <c r="K835" s="10"/>
      <c r="L835" s="11"/>
      <c r="M835" s="11"/>
      <c r="N835" s="11"/>
      <c r="O835" s="11"/>
    </row>
    <row r="836" spans="5:15" ht="13.5" customHeight="1" x14ac:dyDescent="0.3">
      <c r="E836" s="16"/>
      <c r="H836" s="12"/>
      <c r="I836" s="8"/>
      <c r="J836" s="11"/>
      <c r="K836" s="10"/>
      <c r="L836" s="11"/>
      <c r="M836" s="11"/>
      <c r="N836" s="11"/>
      <c r="O836" s="11"/>
    </row>
    <row r="837" spans="5:15" ht="13.5" customHeight="1" x14ac:dyDescent="0.3">
      <c r="E837" s="16"/>
      <c r="H837" s="12"/>
      <c r="I837" s="8"/>
      <c r="J837" s="11"/>
      <c r="K837" s="10"/>
      <c r="L837" s="11"/>
      <c r="M837" s="11"/>
      <c r="N837" s="11"/>
      <c r="O837" s="11"/>
    </row>
    <row r="838" spans="5:15" ht="13.5" customHeight="1" x14ac:dyDescent="0.3">
      <c r="E838" s="16"/>
      <c r="H838" s="12"/>
      <c r="I838" s="8"/>
      <c r="J838" s="11"/>
      <c r="K838" s="10"/>
      <c r="L838" s="11"/>
      <c r="M838" s="11"/>
      <c r="N838" s="11"/>
      <c r="O838" s="11"/>
    </row>
    <row r="839" spans="5:15" ht="13.5" customHeight="1" x14ac:dyDescent="0.3">
      <c r="E839" s="16"/>
      <c r="H839" s="12"/>
      <c r="I839" s="8"/>
      <c r="J839" s="11"/>
      <c r="K839" s="10"/>
      <c r="L839" s="11"/>
      <c r="M839" s="11"/>
      <c r="N839" s="11"/>
      <c r="O839" s="11"/>
    </row>
    <row r="840" spans="5:15" ht="13.5" customHeight="1" x14ac:dyDescent="0.3">
      <c r="E840" s="16"/>
      <c r="H840" s="12"/>
      <c r="I840" s="8"/>
      <c r="J840" s="11"/>
      <c r="K840" s="10"/>
      <c r="L840" s="11"/>
      <c r="M840" s="11"/>
      <c r="N840" s="11"/>
      <c r="O840" s="11"/>
    </row>
    <row r="841" spans="5:15" ht="13.5" customHeight="1" x14ac:dyDescent="0.3">
      <c r="E841" s="16"/>
      <c r="H841" s="12"/>
      <c r="I841" s="8"/>
      <c r="J841" s="11"/>
      <c r="K841" s="10"/>
      <c r="L841" s="11"/>
      <c r="M841" s="11"/>
      <c r="N841" s="11"/>
      <c r="O841" s="11"/>
    </row>
    <row r="842" spans="5:15" ht="13.5" customHeight="1" x14ac:dyDescent="0.3">
      <c r="E842" s="16"/>
      <c r="H842" s="12"/>
      <c r="I842" s="8"/>
      <c r="J842" s="11"/>
      <c r="K842" s="10"/>
      <c r="L842" s="11"/>
      <c r="M842" s="11"/>
      <c r="N842" s="11"/>
      <c r="O842" s="11"/>
    </row>
    <row r="843" spans="5:15" ht="13.5" customHeight="1" x14ac:dyDescent="0.3">
      <c r="E843" s="16"/>
      <c r="H843" s="12"/>
      <c r="I843" s="8"/>
      <c r="J843" s="11"/>
      <c r="K843" s="10"/>
      <c r="L843" s="11"/>
      <c r="M843" s="11"/>
      <c r="N843" s="11"/>
      <c r="O843" s="11"/>
    </row>
    <row r="844" spans="5:15" ht="13.5" customHeight="1" x14ac:dyDescent="0.3">
      <c r="E844" s="16"/>
      <c r="H844" s="12"/>
      <c r="I844" s="8"/>
      <c r="J844" s="11"/>
      <c r="K844" s="10"/>
      <c r="L844" s="11"/>
      <c r="M844" s="11"/>
      <c r="N844" s="11"/>
      <c r="O844" s="11"/>
    </row>
    <row r="845" spans="5:15" ht="13.5" customHeight="1" x14ac:dyDescent="0.3">
      <c r="E845" s="16"/>
      <c r="H845" s="12"/>
      <c r="I845" s="8"/>
      <c r="J845" s="11"/>
      <c r="K845" s="10"/>
      <c r="L845" s="11"/>
      <c r="M845" s="11"/>
      <c r="N845" s="11"/>
      <c r="O845" s="11"/>
    </row>
    <row r="846" spans="5:15" ht="13.5" customHeight="1" x14ac:dyDescent="0.3">
      <c r="E846" s="16"/>
      <c r="H846" s="12"/>
      <c r="I846" s="8"/>
      <c r="J846" s="11"/>
      <c r="K846" s="10"/>
      <c r="L846" s="11"/>
      <c r="M846" s="11"/>
      <c r="N846" s="11"/>
      <c r="O846" s="11"/>
    </row>
    <row r="847" spans="5:15" ht="13.5" customHeight="1" x14ac:dyDescent="0.3">
      <c r="E847" s="16"/>
      <c r="H847" s="12"/>
      <c r="I847" s="8"/>
      <c r="J847" s="11"/>
      <c r="K847" s="10"/>
      <c r="L847" s="11"/>
      <c r="M847" s="11"/>
      <c r="N847" s="11"/>
      <c r="O847" s="11"/>
    </row>
    <row r="848" spans="5:15" ht="13.5" customHeight="1" x14ac:dyDescent="0.3">
      <c r="E848" s="16"/>
      <c r="H848" s="12"/>
      <c r="I848" s="8"/>
      <c r="J848" s="11"/>
      <c r="K848" s="10"/>
      <c r="L848" s="11"/>
      <c r="M848" s="11"/>
      <c r="N848" s="11"/>
      <c r="O848" s="11"/>
    </row>
    <row r="849" spans="5:15" ht="13.5" customHeight="1" x14ac:dyDescent="0.3">
      <c r="E849" s="16"/>
      <c r="H849" s="12"/>
      <c r="I849" s="8"/>
      <c r="J849" s="11"/>
      <c r="K849" s="10"/>
      <c r="L849" s="11"/>
      <c r="M849" s="11"/>
      <c r="N849" s="11"/>
      <c r="O849" s="11"/>
    </row>
    <row r="850" spans="5:15" ht="13.5" customHeight="1" x14ac:dyDescent="0.3">
      <c r="E850" s="16"/>
      <c r="H850" s="12"/>
      <c r="I850" s="8"/>
      <c r="J850" s="11"/>
      <c r="K850" s="10"/>
      <c r="L850" s="11"/>
      <c r="M850" s="11"/>
      <c r="N850" s="11"/>
      <c r="O850" s="11"/>
    </row>
    <row r="851" spans="5:15" ht="13.5" customHeight="1" x14ac:dyDescent="0.3">
      <c r="E851" s="16"/>
      <c r="H851" s="12"/>
      <c r="I851" s="8"/>
      <c r="J851" s="11"/>
      <c r="K851" s="10"/>
      <c r="L851" s="11"/>
      <c r="M851" s="11"/>
      <c r="N851" s="11"/>
      <c r="O851" s="11"/>
    </row>
    <row r="852" spans="5:15" ht="13.5" customHeight="1" x14ac:dyDescent="0.3">
      <c r="E852" s="16"/>
      <c r="H852" s="12"/>
      <c r="I852" s="8"/>
      <c r="J852" s="11"/>
      <c r="K852" s="10"/>
      <c r="L852" s="11"/>
      <c r="M852" s="11"/>
      <c r="N852" s="11"/>
      <c r="O852" s="11"/>
    </row>
    <row r="853" spans="5:15" ht="13.5" customHeight="1" x14ac:dyDescent="0.3">
      <c r="E853" s="16"/>
      <c r="H853" s="12"/>
      <c r="I853" s="8"/>
      <c r="J853" s="11"/>
      <c r="K853" s="10"/>
      <c r="L853" s="11"/>
      <c r="M853" s="11"/>
      <c r="N853" s="11"/>
      <c r="O853" s="11"/>
    </row>
    <row r="854" spans="5:15" ht="13.5" customHeight="1" x14ac:dyDescent="0.3">
      <c r="E854" s="16"/>
      <c r="H854" s="12"/>
      <c r="I854" s="8"/>
      <c r="J854" s="11"/>
      <c r="K854" s="10"/>
      <c r="L854" s="11"/>
      <c r="M854" s="11"/>
      <c r="N854" s="11"/>
      <c r="O854" s="11"/>
    </row>
    <row r="855" spans="5:15" ht="13.5" customHeight="1" x14ac:dyDescent="0.3">
      <c r="E855" s="16"/>
      <c r="H855" s="12"/>
      <c r="I855" s="8"/>
      <c r="J855" s="11"/>
      <c r="K855" s="10"/>
      <c r="L855" s="11"/>
      <c r="M855" s="11"/>
      <c r="N855" s="11"/>
      <c r="O855" s="11"/>
    </row>
    <row r="856" spans="5:15" ht="13.5" customHeight="1" x14ac:dyDescent="0.3">
      <c r="E856" s="16"/>
      <c r="H856" s="12"/>
      <c r="I856" s="8"/>
      <c r="J856" s="11"/>
      <c r="K856" s="10"/>
      <c r="L856" s="11"/>
      <c r="M856" s="11"/>
      <c r="N856" s="11"/>
      <c r="O856" s="11"/>
    </row>
    <row r="857" spans="5:15" ht="13.5" customHeight="1" x14ac:dyDescent="0.3">
      <c r="E857" s="16"/>
      <c r="H857" s="12"/>
      <c r="I857" s="8"/>
      <c r="J857" s="11"/>
      <c r="K857" s="10"/>
      <c r="L857" s="11"/>
      <c r="M857" s="11"/>
      <c r="N857" s="11"/>
      <c r="O857" s="11"/>
    </row>
    <row r="858" spans="5:15" ht="13.5" customHeight="1" x14ac:dyDescent="0.3">
      <c r="E858" s="16"/>
      <c r="H858" s="12"/>
      <c r="I858" s="8"/>
      <c r="J858" s="11"/>
      <c r="K858" s="10"/>
      <c r="L858" s="11"/>
      <c r="M858" s="11"/>
      <c r="N858" s="11"/>
      <c r="O858" s="11"/>
    </row>
    <row r="859" spans="5:15" ht="13.5" customHeight="1" x14ac:dyDescent="0.3">
      <c r="E859" s="16"/>
      <c r="H859" s="12"/>
      <c r="I859" s="8"/>
      <c r="J859" s="11"/>
      <c r="K859" s="10"/>
      <c r="L859" s="11"/>
      <c r="M859" s="11"/>
      <c r="N859" s="11"/>
      <c r="O859" s="11"/>
    </row>
    <row r="860" spans="5:15" ht="13.5" customHeight="1" x14ac:dyDescent="0.3">
      <c r="E860" s="16"/>
      <c r="H860" s="12"/>
      <c r="I860" s="8"/>
      <c r="J860" s="11"/>
      <c r="K860" s="10"/>
      <c r="L860" s="11"/>
      <c r="M860" s="11"/>
      <c r="N860" s="11"/>
      <c r="O860" s="11"/>
    </row>
    <row r="861" spans="5:15" ht="13.5" customHeight="1" x14ac:dyDescent="0.3">
      <c r="E861" s="16"/>
      <c r="H861" s="12"/>
      <c r="I861" s="8"/>
      <c r="J861" s="11"/>
      <c r="K861" s="10"/>
      <c r="L861" s="11"/>
      <c r="M861" s="11"/>
      <c r="N861" s="11"/>
      <c r="O861" s="11"/>
    </row>
    <row r="862" spans="5:15" ht="13.5" customHeight="1" x14ac:dyDescent="0.3">
      <c r="E862" s="16"/>
      <c r="H862" s="12"/>
      <c r="I862" s="8"/>
      <c r="J862" s="11"/>
      <c r="K862" s="10"/>
      <c r="L862" s="11"/>
      <c r="M862" s="11"/>
      <c r="N862" s="11"/>
      <c r="O862" s="11"/>
    </row>
    <row r="863" spans="5:15" ht="13.5" customHeight="1" x14ac:dyDescent="0.3">
      <c r="E863" s="16"/>
      <c r="H863" s="12"/>
      <c r="I863" s="8"/>
      <c r="J863" s="11"/>
      <c r="K863" s="10"/>
      <c r="L863" s="11"/>
      <c r="M863" s="11"/>
      <c r="N863" s="11"/>
      <c r="O863" s="11"/>
    </row>
    <row r="864" spans="5:15" ht="13.5" customHeight="1" x14ac:dyDescent="0.3">
      <c r="E864" s="16"/>
      <c r="H864" s="12"/>
      <c r="I864" s="8"/>
      <c r="J864" s="11"/>
      <c r="K864" s="10"/>
      <c r="L864" s="11"/>
      <c r="M864" s="11"/>
      <c r="N864" s="11"/>
      <c r="O864" s="11"/>
    </row>
    <row r="865" spans="5:15" ht="13.5" customHeight="1" x14ac:dyDescent="0.3">
      <c r="E865" s="16"/>
      <c r="H865" s="12"/>
      <c r="I865" s="8"/>
      <c r="J865" s="11"/>
      <c r="K865" s="10"/>
      <c r="L865" s="11"/>
      <c r="M865" s="11"/>
      <c r="N865" s="11"/>
      <c r="O865" s="11"/>
    </row>
    <row r="866" spans="5:15" ht="13.5" customHeight="1" x14ac:dyDescent="0.3">
      <c r="E866" s="16"/>
      <c r="H866" s="12"/>
      <c r="I866" s="8"/>
      <c r="J866" s="11"/>
      <c r="K866" s="10"/>
      <c r="L866" s="11"/>
      <c r="M866" s="11"/>
      <c r="N866" s="11"/>
      <c r="O866" s="11"/>
    </row>
    <row r="867" spans="5:15" ht="13.5" customHeight="1" x14ac:dyDescent="0.3">
      <c r="E867" s="16"/>
      <c r="H867" s="12"/>
      <c r="I867" s="8"/>
      <c r="J867" s="11"/>
      <c r="K867" s="10"/>
      <c r="L867" s="11"/>
      <c r="M867" s="11"/>
      <c r="N867" s="11"/>
      <c r="O867" s="11"/>
    </row>
    <row r="868" spans="5:15" ht="13.5" customHeight="1" x14ac:dyDescent="0.3">
      <c r="E868" s="16"/>
      <c r="H868" s="12"/>
      <c r="I868" s="8"/>
      <c r="J868" s="11"/>
      <c r="K868" s="10"/>
      <c r="L868" s="11"/>
      <c r="M868" s="11"/>
      <c r="N868" s="11"/>
      <c r="O868" s="11"/>
    </row>
    <row r="869" spans="5:15" ht="13.5" customHeight="1" x14ac:dyDescent="0.3">
      <c r="E869" s="16"/>
      <c r="H869" s="12"/>
      <c r="I869" s="8"/>
      <c r="J869" s="11"/>
      <c r="K869" s="10"/>
      <c r="L869" s="11"/>
      <c r="M869" s="11"/>
      <c r="N869" s="11"/>
      <c r="O869" s="11"/>
    </row>
    <row r="870" spans="5:15" ht="13.5" customHeight="1" x14ac:dyDescent="0.3">
      <c r="E870" s="16"/>
      <c r="H870" s="12"/>
      <c r="I870" s="8"/>
      <c r="J870" s="11"/>
      <c r="K870" s="10"/>
      <c r="L870" s="11"/>
      <c r="M870" s="11"/>
      <c r="N870" s="11"/>
      <c r="O870" s="11"/>
    </row>
    <row r="871" spans="5:15" ht="13.5" customHeight="1" x14ac:dyDescent="0.3">
      <c r="E871" s="16"/>
      <c r="H871" s="12"/>
      <c r="I871" s="8"/>
      <c r="J871" s="11"/>
      <c r="K871" s="10"/>
      <c r="L871" s="11"/>
      <c r="M871" s="11"/>
      <c r="N871" s="11"/>
      <c r="O871" s="11"/>
    </row>
    <row r="872" spans="5:15" ht="13.5" customHeight="1" x14ac:dyDescent="0.3">
      <c r="E872" s="16"/>
      <c r="H872" s="12"/>
      <c r="I872" s="8"/>
      <c r="J872" s="11"/>
      <c r="K872" s="10"/>
      <c r="L872" s="11"/>
      <c r="M872" s="11"/>
      <c r="N872" s="11"/>
      <c r="O872" s="11"/>
    </row>
    <row r="873" spans="5:15" ht="13.5" customHeight="1" x14ac:dyDescent="0.3">
      <c r="E873" s="16"/>
      <c r="H873" s="12"/>
      <c r="I873" s="8"/>
      <c r="J873" s="11"/>
      <c r="K873" s="10"/>
      <c r="L873" s="11"/>
      <c r="M873" s="11"/>
      <c r="N873" s="11"/>
      <c r="O873" s="11"/>
    </row>
    <row r="874" spans="5:15" ht="13.5" customHeight="1" x14ac:dyDescent="0.3">
      <c r="E874" s="16"/>
      <c r="H874" s="12"/>
      <c r="I874" s="8"/>
      <c r="J874" s="11"/>
      <c r="K874" s="10"/>
      <c r="L874" s="11"/>
      <c r="M874" s="11"/>
      <c r="N874" s="11"/>
      <c r="O874" s="11"/>
    </row>
    <row r="875" spans="5:15" ht="13.5" customHeight="1" x14ac:dyDescent="0.3">
      <c r="E875" s="16"/>
      <c r="H875" s="12"/>
      <c r="I875" s="8"/>
      <c r="J875" s="11"/>
      <c r="K875" s="10"/>
      <c r="L875" s="11"/>
      <c r="M875" s="11"/>
      <c r="N875" s="11"/>
      <c r="O875" s="11"/>
    </row>
    <row r="876" spans="5:15" ht="13.5" customHeight="1" x14ac:dyDescent="0.3">
      <c r="E876" s="16"/>
      <c r="H876" s="12"/>
      <c r="I876" s="8"/>
      <c r="J876" s="11"/>
      <c r="K876" s="10"/>
      <c r="L876" s="11"/>
      <c r="M876" s="11"/>
      <c r="N876" s="11"/>
      <c r="O876" s="11"/>
    </row>
    <row r="877" spans="5:15" ht="13.5" customHeight="1" x14ac:dyDescent="0.3">
      <c r="E877" s="16"/>
      <c r="H877" s="12"/>
      <c r="I877" s="8"/>
      <c r="J877" s="11"/>
      <c r="K877" s="10"/>
      <c r="L877" s="11"/>
      <c r="M877" s="11"/>
      <c r="N877" s="11"/>
      <c r="O877" s="11"/>
    </row>
    <row r="878" spans="5:15" ht="13.5" customHeight="1" x14ac:dyDescent="0.3">
      <c r="E878" s="16"/>
      <c r="H878" s="12"/>
      <c r="I878" s="8"/>
      <c r="J878" s="11"/>
      <c r="K878" s="10"/>
      <c r="L878" s="11"/>
      <c r="M878" s="11"/>
      <c r="N878" s="11"/>
      <c r="O878" s="11"/>
    </row>
    <row r="879" spans="5:15" ht="13.5" customHeight="1" x14ac:dyDescent="0.3">
      <c r="E879" s="16"/>
      <c r="H879" s="12"/>
      <c r="I879" s="8"/>
      <c r="J879" s="11"/>
      <c r="K879" s="10"/>
      <c r="L879" s="11"/>
      <c r="M879" s="11"/>
      <c r="N879" s="11"/>
      <c r="O879" s="11"/>
    </row>
    <row r="880" spans="5:15" ht="13.5" customHeight="1" x14ac:dyDescent="0.3">
      <c r="E880" s="16"/>
      <c r="H880" s="12"/>
      <c r="I880" s="8"/>
      <c r="J880" s="11"/>
      <c r="K880" s="10"/>
      <c r="L880" s="11"/>
      <c r="M880" s="11"/>
      <c r="N880" s="11"/>
      <c r="O880" s="11"/>
    </row>
    <row r="881" spans="5:15" ht="13.5" customHeight="1" x14ac:dyDescent="0.3">
      <c r="E881" s="16"/>
      <c r="H881" s="12"/>
      <c r="I881" s="8"/>
      <c r="J881" s="11"/>
      <c r="K881" s="10"/>
      <c r="L881" s="11"/>
      <c r="M881" s="11"/>
      <c r="N881" s="11"/>
      <c r="O881" s="11"/>
    </row>
    <row r="882" spans="5:15" ht="13.5" customHeight="1" x14ac:dyDescent="0.3">
      <c r="E882" s="16"/>
      <c r="H882" s="12"/>
      <c r="I882" s="8"/>
      <c r="J882" s="11"/>
      <c r="K882" s="10"/>
      <c r="L882" s="11"/>
      <c r="M882" s="11"/>
      <c r="N882" s="11"/>
      <c r="O882" s="11"/>
    </row>
    <row r="883" spans="5:15" ht="13.5" customHeight="1" x14ac:dyDescent="0.3">
      <c r="E883" s="16"/>
      <c r="H883" s="12"/>
      <c r="I883" s="8"/>
      <c r="J883" s="11"/>
      <c r="K883" s="10"/>
      <c r="L883" s="11"/>
      <c r="M883" s="11"/>
      <c r="N883" s="11"/>
      <c r="O883" s="11"/>
    </row>
    <row r="884" spans="5:15" ht="13.5" customHeight="1" x14ac:dyDescent="0.3">
      <c r="E884" s="16"/>
      <c r="H884" s="12"/>
      <c r="I884" s="8"/>
      <c r="J884" s="11"/>
      <c r="K884" s="10"/>
      <c r="L884" s="11"/>
      <c r="M884" s="11"/>
      <c r="N884" s="11"/>
      <c r="O884" s="11"/>
    </row>
    <row r="885" spans="5:15" ht="13.5" customHeight="1" x14ac:dyDescent="0.3">
      <c r="E885" s="16"/>
      <c r="H885" s="12"/>
      <c r="I885" s="8"/>
      <c r="J885" s="11"/>
      <c r="K885" s="10"/>
      <c r="L885" s="11"/>
      <c r="M885" s="11"/>
      <c r="N885" s="11"/>
      <c r="O885" s="11"/>
    </row>
    <row r="886" spans="5:15" ht="13.5" customHeight="1" x14ac:dyDescent="0.3">
      <c r="E886" s="16"/>
      <c r="H886" s="12"/>
      <c r="I886" s="8"/>
      <c r="J886" s="11"/>
      <c r="K886" s="10"/>
      <c r="L886" s="11"/>
      <c r="M886" s="11"/>
      <c r="N886" s="11"/>
      <c r="O886" s="11"/>
    </row>
    <row r="887" spans="5:15" ht="13.5" customHeight="1" x14ac:dyDescent="0.3">
      <c r="E887" s="16"/>
      <c r="H887" s="12"/>
      <c r="I887" s="8"/>
      <c r="J887" s="11"/>
      <c r="K887" s="10"/>
      <c r="L887" s="11"/>
      <c r="M887" s="11"/>
      <c r="N887" s="11"/>
      <c r="O887" s="11"/>
    </row>
    <row r="888" spans="5:15" ht="13.5" customHeight="1" x14ac:dyDescent="0.3">
      <c r="E888" s="16"/>
      <c r="H888" s="12"/>
      <c r="I888" s="8"/>
      <c r="J888" s="11"/>
      <c r="K888" s="10"/>
      <c r="L888" s="11"/>
      <c r="M888" s="11"/>
      <c r="N888" s="11"/>
      <c r="O888" s="11"/>
    </row>
    <row r="889" spans="5:15" ht="13.5" customHeight="1" x14ac:dyDescent="0.3">
      <c r="E889" s="16"/>
      <c r="H889" s="12"/>
      <c r="I889" s="8"/>
      <c r="J889" s="11"/>
      <c r="K889" s="10"/>
      <c r="L889" s="11"/>
      <c r="M889" s="11"/>
      <c r="N889" s="11"/>
      <c r="O889" s="11"/>
    </row>
    <row r="890" spans="5:15" ht="13.5" customHeight="1" x14ac:dyDescent="0.3">
      <c r="E890" s="16"/>
      <c r="H890" s="12"/>
      <c r="I890" s="8"/>
      <c r="J890" s="11"/>
      <c r="K890" s="10"/>
      <c r="L890" s="11"/>
      <c r="M890" s="11"/>
      <c r="N890" s="11"/>
      <c r="O890" s="11"/>
    </row>
    <row r="891" spans="5:15" ht="13.5" customHeight="1" x14ac:dyDescent="0.3">
      <c r="E891" s="16"/>
      <c r="H891" s="12"/>
      <c r="I891" s="8"/>
      <c r="J891" s="11"/>
      <c r="K891" s="10"/>
      <c r="L891" s="11"/>
      <c r="M891" s="11"/>
      <c r="N891" s="11"/>
      <c r="O891" s="11"/>
    </row>
    <row r="892" spans="5:15" ht="13.5" customHeight="1" x14ac:dyDescent="0.3">
      <c r="E892" s="16"/>
      <c r="H892" s="12"/>
      <c r="I892" s="8"/>
      <c r="J892" s="11"/>
      <c r="K892" s="10"/>
      <c r="L892" s="11"/>
      <c r="M892" s="11"/>
      <c r="N892" s="11"/>
      <c r="O892" s="11"/>
    </row>
    <row r="893" spans="5:15" ht="13.5" customHeight="1" x14ac:dyDescent="0.3">
      <c r="E893" s="16"/>
      <c r="H893" s="12"/>
      <c r="I893" s="8"/>
      <c r="J893" s="11"/>
      <c r="K893" s="10"/>
      <c r="L893" s="11"/>
      <c r="M893" s="11"/>
      <c r="N893" s="11"/>
      <c r="O893" s="11"/>
    </row>
    <row r="894" spans="5:15" ht="13.5" customHeight="1" x14ac:dyDescent="0.3">
      <c r="E894" s="16"/>
      <c r="H894" s="12"/>
      <c r="I894" s="8"/>
      <c r="J894" s="11"/>
      <c r="K894" s="10"/>
      <c r="L894" s="11"/>
      <c r="M894" s="11"/>
      <c r="N894" s="11"/>
      <c r="O894" s="11"/>
    </row>
    <row r="895" spans="5:15" ht="13.5" customHeight="1" x14ac:dyDescent="0.3">
      <c r="E895" s="16"/>
      <c r="H895" s="12"/>
      <c r="I895" s="8"/>
      <c r="J895" s="11"/>
      <c r="K895" s="10"/>
      <c r="L895" s="11"/>
      <c r="M895" s="11"/>
      <c r="N895" s="11"/>
      <c r="O895" s="11"/>
    </row>
    <row r="896" spans="5:15" ht="13.5" customHeight="1" x14ac:dyDescent="0.3">
      <c r="E896" s="16"/>
      <c r="H896" s="12"/>
      <c r="I896" s="8"/>
      <c r="J896" s="11"/>
      <c r="K896" s="10"/>
      <c r="L896" s="11"/>
      <c r="M896" s="11"/>
      <c r="N896" s="11"/>
      <c r="O896" s="11"/>
    </row>
    <row r="897" spans="5:15" ht="13.5" customHeight="1" x14ac:dyDescent="0.3">
      <c r="E897" s="16"/>
      <c r="H897" s="12"/>
      <c r="I897" s="8"/>
      <c r="J897" s="11"/>
      <c r="K897" s="10"/>
      <c r="L897" s="11"/>
      <c r="M897" s="11"/>
      <c r="N897" s="11"/>
      <c r="O897" s="11"/>
    </row>
    <row r="898" spans="5:15" ht="13.5" customHeight="1" x14ac:dyDescent="0.3">
      <c r="E898" s="16"/>
      <c r="H898" s="12"/>
      <c r="I898" s="8"/>
      <c r="J898" s="11"/>
      <c r="K898" s="10"/>
      <c r="L898" s="11"/>
      <c r="M898" s="11"/>
      <c r="N898" s="11"/>
      <c r="O898" s="11"/>
    </row>
    <row r="899" spans="5:15" ht="13.5" customHeight="1" x14ac:dyDescent="0.3">
      <c r="E899" s="16"/>
      <c r="H899" s="12"/>
      <c r="I899" s="8"/>
      <c r="J899" s="11"/>
      <c r="K899" s="10"/>
      <c r="L899" s="11"/>
      <c r="M899" s="11"/>
      <c r="N899" s="11"/>
      <c r="O899" s="11"/>
    </row>
    <row r="900" spans="5:15" ht="13.5" customHeight="1" x14ac:dyDescent="0.3">
      <c r="E900" s="16"/>
      <c r="H900" s="12"/>
      <c r="I900" s="8"/>
      <c r="J900" s="11"/>
      <c r="K900" s="10"/>
      <c r="L900" s="11"/>
      <c r="M900" s="11"/>
      <c r="N900" s="11"/>
      <c r="O900" s="11"/>
    </row>
    <row r="901" spans="5:15" ht="13.5" customHeight="1" x14ac:dyDescent="0.3">
      <c r="E901" s="16"/>
      <c r="H901" s="12"/>
      <c r="I901" s="8"/>
      <c r="J901" s="11"/>
      <c r="K901" s="10"/>
      <c r="L901" s="11"/>
      <c r="M901" s="11"/>
      <c r="N901" s="11"/>
      <c r="O901" s="11"/>
    </row>
    <row r="902" spans="5:15" ht="13.5" customHeight="1" x14ac:dyDescent="0.3">
      <c r="E902" s="16"/>
      <c r="H902" s="12"/>
      <c r="I902" s="8"/>
      <c r="J902" s="11"/>
      <c r="K902" s="10"/>
      <c r="L902" s="11"/>
      <c r="M902" s="11"/>
      <c r="N902" s="11"/>
      <c r="O902" s="11"/>
    </row>
    <row r="903" spans="5:15" ht="13.5" customHeight="1" x14ac:dyDescent="0.3">
      <c r="E903" s="16"/>
      <c r="H903" s="12"/>
      <c r="I903" s="8"/>
      <c r="J903" s="11"/>
      <c r="K903" s="10"/>
      <c r="L903" s="11"/>
      <c r="M903" s="11"/>
      <c r="N903" s="11"/>
      <c r="O903" s="11"/>
    </row>
    <row r="904" spans="5:15" ht="13.5" customHeight="1" x14ac:dyDescent="0.3">
      <c r="E904" s="16"/>
      <c r="H904" s="12"/>
      <c r="I904" s="8"/>
      <c r="J904" s="11"/>
      <c r="K904" s="10"/>
      <c r="L904" s="11"/>
      <c r="M904" s="11"/>
      <c r="N904" s="11"/>
      <c r="O904" s="11"/>
    </row>
    <row r="905" spans="5:15" ht="13.5" customHeight="1" x14ac:dyDescent="0.3">
      <c r="E905" s="16"/>
      <c r="H905" s="12"/>
      <c r="I905" s="8"/>
      <c r="J905" s="11"/>
      <c r="K905" s="10"/>
      <c r="L905" s="11"/>
      <c r="M905" s="11"/>
      <c r="N905" s="11"/>
      <c r="O905" s="11"/>
    </row>
    <row r="906" spans="5:15" ht="13.5" customHeight="1" x14ac:dyDescent="0.3">
      <c r="E906" s="16"/>
      <c r="H906" s="12"/>
      <c r="I906" s="8"/>
      <c r="J906" s="11"/>
      <c r="K906" s="10"/>
      <c r="L906" s="11"/>
      <c r="M906" s="11"/>
      <c r="N906" s="11"/>
      <c r="O906" s="11"/>
    </row>
    <row r="907" spans="5:15" ht="13.5" customHeight="1" x14ac:dyDescent="0.3">
      <c r="E907" s="16"/>
      <c r="H907" s="12"/>
      <c r="I907" s="8"/>
      <c r="J907" s="11"/>
      <c r="K907" s="10"/>
      <c r="L907" s="11"/>
      <c r="M907" s="11"/>
      <c r="N907" s="11"/>
      <c r="O907" s="11"/>
    </row>
    <row r="908" spans="5:15" ht="13.5" customHeight="1" x14ac:dyDescent="0.3">
      <c r="E908" s="16"/>
      <c r="H908" s="12"/>
      <c r="I908" s="8"/>
      <c r="J908" s="11"/>
      <c r="K908" s="10"/>
      <c r="L908" s="11"/>
      <c r="M908" s="11"/>
      <c r="N908" s="11"/>
      <c r="O908" s="11"/>
    </row>
    <row r="909" spans="5:15" ht="13.5" customHeight="1" x14ac:dyDescent="0.3">
      <c r="E909" s="16"/>
      <c r="H909" s="12"/>
      <c r="I909" s="8"/>
      <c r="J909" s="11"/>
      <c r="K909" s="10"/>
      <c r="L909" s="11"/>
      <c r="M909" s="11"/>
      <c r="N909" s="11"/>
      <c r="O909" s="11"/>
    </row>
    <row r="910" spans="5:15" ht="13.5" customHeight="1" x14ac:dyDescent="0.3">
      <c r="E910" s="16"/>
      <c r="H910" s="12"/>
      <c r="I910" s="8"/>
      <c r="J910" s="11"/>
      <c r="K910" s="10"/>
      <c r="L910" s="11"/>
      <c r="M910" s="11"/>
      <c r="N910" s="11"/>
      <c r="O910" s="11"/>
    </row>
    <row r="911" spans="5:15" ht="13.5" customHeight="1" x14ac:dyDescent="0.3">
      <c r="E911" s="16"/>
      <c r="H911" s="12"/>
      <c r="I911" s="8"/>
      <c r="J911" s="11"/>
      <c r="K911" s="10"/>
      <c r="L911" s="11"/>
      <c r="M911" s="11"/>
      <c r="N911" s="11"/>
      <c r="O911" s="11"/>
    </row>
    <row r="912" spans="5:15" ht="13.5" customHeight="1" x14ac:dyDescent="0.3">
      <c r="E912" s="16"/>
      <c r="H912" s="12"/>
      <c r="I912" s="8"/>
      <c r="J912" s="11"/>
      <c r="K912" s="10"/>
      <c r="L912" s="11"/>
      <c r="M912" s="11"/>
      <c r="N912" s="11"/>
      <c r="O912" s="11"/>
    </row>
    <row r="913" spans="5:15" ht="13.5" customHeight="1" x14ac:dyDescent="0.3">
      <c r="E913" s="16"/>
      <c r="H913" s="12"/>
      <c r="I913" s="8"/>
      <c r="J913" s="11"/>
      <c r="K913" s="10"/>
      <c r="L913" s="11"/>
      <c r="M913" s="11"/>
      <c r="N913" s="11"/>
      <c r="O913" s="11"/>
    </row>
    <row r="914" spans="5:15" ht="13.5" customHeight="1" x14ac:dyDescent="0.3">
      <c r="E914" s="16"/>
      <c r="H914" s="12"/>
      <c r="I914" s="8"/>
      <c r="J914" s="11"/>
      <c r="K914" s="10"/>
      <c r="L914" s="11"/>
      <c r="M914" s="11"/>
      <c r="N914" s="11"/>
      <c r="O914" s="11"/>
    </row>
    <row r="915" spans="5:15" ht="13.5" customHeight="1" x14ac:dyDescent="0.3">
      <c r="E915" s="16"/>
      <c r="H915" s="12"/>
      <c r="I915" s="8"/>
      <c r="J915" s="11"/>
      <c r="K915" s="10"/>
      <c r="L915" s="11"/>
      <c r="M915" s="11"/>
      <c r="N915" s="11"/>
      <c r="O915" s="11"/>
    </row>
    <row r="916" spans="5:15" ht="13.5" customHeight="1" x14ac:dyDescent="0.3">
      <c r="E916" s="16"/>
      <c r="H916" s="12"/>
      <c r="I916" s="8"/>
      <c r="J916" s="11"/>
      <c r="K916" s="10"/>
      <c r="L916" s="11"/>
      <c r="M916" s="11"/>
      <c r="N916" s="11"/>
      <c r="O916" s="11"/>
    </row>
    <row r="917" spans="5:15" ht="13.5" customHeight="1" x14ac:dyDescent="0.3">
      <c r="E917" s="16"/>
      <c r="H917" s="12"/>
      <c r="I917" s="8"/>
      <c r="J917" s="11"/>
      <c r="K917" s="10"/>
      <c r="L917" s="11"/>
      <c r="M917" s="11"/>
      <c r="N917" s="11"/>
      <c r="O917" s="11"/>
    </row>
    <row r="918" spans="5:15" ht="13.5" customHeight="1" x14ac:dyDescent="0.3">
      <c r="E918" s="16"/>
      <c r="H918" s="12"/>
      <c r="I918" s="8"/>
      <c r="J918" s="11"/>
      <c r="K918" s="10"/>
      <c r="L918" s="11"/>
      <c r="M918" s="11"/>
      <c r="N918" s="11"/>
      <c r="O918" s="11"/>
    </row>
    <row r="919" spans="5:15" ht="13.5" customHeight="1" x14ac:dyDescent="0.3">
      <c r="E919" s="16"/>
      <c r="H919" s="12"/>
      <c r="I919" s="8"/>
      <c r="J919" s="11"/>
      <c r="K919" s="10"/>
      <c r="L919" s="11"/>
      <c r="M919" s="11"/>
      <c r="N919" s="11"/>
      <c r="O919" s="11"/>
    </row>
    <row r="920" spans="5:15" ht="13.5" customHeight="1" x14ac:dyDescent="0.3">
      <c r="E920" s="16"/>
      <c r="H920" s="12"/>
      <c r="I920" s="8"/>
      <c r="J920" s="11"/>
      <c r="K920" s="10"/>
      <c r="L920" s="11"/>
      <c r="M920" s="11"/>
      <c r="N920" s="11"/>
      <c r="O920" s="11"/>
    </row>
    <row r="921" spans="5:15" ht="13.5" customHeight="1" x14ac:dyDescent="0.3">
      <c r="E921" s="16"/>
      <c r="H921" s="12"/>
      <c r="I921" s="8"/>
      <c r="J921" s="11"/>
      <c r="K921" s="10"/>
      <c r="L921" s="11"/>
      <c r="M921" s="11"/>
      <c r="N921" s="11"/>
      <c r="O921" s="11"/>
    </row>
    <row r="922" spans="5:15" ht="13.5" customHeight="1" x14ac:dyDescent="0.3">
      <c r="E922" s="16"/>
      <c r="H922" s="12"/>
      <c r="I922" s="8"/>
      <c r="J922" s="11"/>
      <c r="K922" s="10"/>
      <c r="L922" s="11"/>
      <c r="M922" s="11"/>
      <c r="N922" s="11"/>
      <c r="O922" s="11"/>
    </row>
    <row r="923" spans="5:15" ht="13.5" customHeight="1" x14ac:dyDescent="0.3">
      <c r="E923" s="16"/>
      <c r="H923" s="12"/>
      <c r="I923" s="8"/>
      <c r="J923" s="11"/>
      <c r="K923" s="10"/>
      <c r="L923" s="11"/>
      <c r="M923" s="11"/>
      <c r="N923" s="11"/>
      <c r="O923" s="11"/>
    </row>
    <row r="924" spans="5:15" ht="13.5" customHeight="1" x14ac:dyDescent="0.3">
      <c r="E924" s="16"/>
      <c r="H924" s="12"/>
      <c r="I924" s="8"/>
      <c r="J924" s="11"/>
      <c r="K924" s="10"/>
      <c r="L924" s="11"/>
      <c r="M924" s="11"/>
      <c r="N924" s="11"/>
      <c r="O924" s="11"/>
    </row>
    <row r="925" spans="5:15" ht="13.5" customHeight="1" x14ac:dyDescent="0.3">
      <c r="E925" s="16"/>
      <c r="H925" s="12"/>
      <c r="I925" s="8"/>
      <c r="J925" s="11"/>
      <c r="K925" s="10"/>
      <c r="L925" s="11"/>
      <c r="M925" s="11"/>
      <c r="N925" s="11"/>
      <c r="O925" s="11"/>
    </row>
    <row r="926" spans="5:15" ht="13.5" customHeight="1" x14ac:dyDescent="0.3">
      <c r="E926" s="16"/>
      <c r="H926" s="12"/>
      <c r="I926" s="8"/>
      <c r="J926" s="11"/>
      <c r="K926" s="10"/>
      <c r="L926" s="11"/>
      <c r="M926" s="11"/>
      <c r="N926" s="11"/>
      <c r="O926" s="11"/>
    </row>
    <row r="927" spans="5:15" ht="13.5" customHeight="1" x14ac:dyDescent="0.3">
      <c r="E927" s="16"/>
      <c r="H927" s="12"/>
      <c r="I927" s="8"/>
      <c r="J927" s="11"/>
      <c r="K927" s="10"/>
      <c r="L927" s="11"/>
      <c r="M927" s="11"/>
      <c r="N927" s="11"/>
      <c r="O927" s="11"/>
    </row>
    <row r="928" spans="5:15" ht="13.5" customHeight="1" x14ac:dyDescent="0.3">
      <c r="E928" s="16"/>
      <c r="H928" s="12"/>
      <c r="I928" s="8"/>
      <c r="J928" s="11"/>
      <c r="K928" s="10"/>
      <c r="L928" s="11"/>
      <c r="M928" s="11"/>
      <c r="N928" s="11"/>
      <c r="O928" s="11"/>
    </row>
    <row r="929" spans="5:15" ht="13.5" customHeight="1" x14ac:dyDescent="0.3">
      <c r="E929" s="16"/>
      <c r="H929" s="12"/>
      <c r="I929" s="8"/>
      <c r="J929" s="11"/>
      <c r="K929" s="10"/>
      <c r="L929" s="11"/>
      <c r="M929" s="11"/>
      <c r="N929" s="11"/>
      <c r="O929" s="11"/>
    </row>
    <row r="930" spans="5:15" ht="13.5" customHeight="1" x14ac:dyDescent="0.3">
      <c r="E930" s="16"/>
      <c r="H930" s="12"/>
      <c r="I930" s="8"/>
      <c r="J930" s="11"/>
      <c r="K930" s="10"/>
      <c r="L930" s="11"/>
      <c r="M930" s="11"/>
      <c r="N930" s="11"/>
      <c r="O930" s="11"/>
    </row>
    <row r="931" spans="5:15" ht="13.5" customHeight="1" x14ac:dyDescent="0.3">
      <c r="E931" s="16"/>
      <c r="H931" s="12"/>
      <c r="I931" s="8"/>
      <c r="J931" s="11"/>
      <c r="K931" s="10"/>
      <c r="L931" s="11"/>
      <c r="M931" s="11"/>
      <c r="N931" s="11"/>
      <c r="O931" s="11"/>
    </row>
    <row r="932" spans="5:15" ht="13.5" customHeight="1" x14ac:dyDescent="0.3">
      <c r="E932" s="16"/>
      <c r="H932" s="12"/>
      <c r="I932" s="8"/>
      <c r="J932" s="11"/>
      <c r="K932" s="10"/>
      <c r="L932" s="11"/>
      <c r="M932" s="11"/>
      <c r="N932" s="11"/>
      <c r="O932" s="11"/>
    </row>
    <row r="933" spans="5:15" ht="13.5" customHeight="1" x14ac:dyDescent="0.3">
      <c r="E933" s="16"/>
      <c r="H933" s="12"/>
      <c r="I933" s="8"/>
      <c r="J933" s="11"/>
      <c r="K933" s="10"/>
      <c r="L933" s="11"/>
      <c r="M933" s="11"/>
      <c r="N933" s="11"/>
      <c r="O933" s="11"/>
    </row>
    <row r="934" spans="5:15" ht="13.5" customHeight="1" x14ac:dyDescent="0.3">
      <c r="E934" s="16"/>
      <c r="H934" s="12"/>
      <c r="I934" s="8"/>
      <c r="J934" s="11"/>
      <c r="K934" s="10"/>
      <c r="L934" s="11"/>
      <c r="M934" s="11"/>
      <c r="N934" s="11"/>
      <c r="O934" s="11"/>
    </row>
    <row r="935" spans="5:15" ht="13.5" customHeight="1" x14ac:dyDescent="0.3">
      <c r="E935" s="16"/>
      <c r="H935" s="12"/>
      <c r="I935" s="8"/>
      <c r="J935" s="11"/>
      <c r="K935" s="10"/>
      <c r="L935" s="11"/>
      <c r="M935" s="11"/>
      <c r="N935" s="11"/>
      <c r="O935" s="11"/>
    </row>
    <row r="936" spans="5:15" ht="13.5" customHeight="1" x14ac:dyDescent="0.3">
      <c r="E936" s="16"/>
      <c r="H936" s="12"/>
      <c r="I936" s="8"/>
      <c r="J936" s="11"/>
      <c r="K936" s="10"/>
      <c r="L936" s="11"/>
      <c r="M936" s="11"/>
      <c r="N936" s="11"/>
      <c r="O936" s="11"/>
    </row>
    <row r="937" spans="5:15" ht="13.5" customHeight="1" x14ac:dyDescent="0.3">
      <c r="E937" s="16"/>
      <c r="H937" s="12"/>
      <c r="I937" s="8"/>
      <c r="J937" s="11"/>
      <c r="K937" s="10"/>
      <c r="L937" s="11"/>
      <c r="M937" s="11"/>
      <c r="N937" s="11"/>
      <c r="O937" s="11"/>
    </row>
    <row r="938" spans="5:15" ht="13.5" customHeight="1" x14ac:dyDescent="0.3">
      <c r="E938" s="16"/>
      <c r="H938" s="12"/>
      <c r="I938" s="8"/>
      <c r="J938" s="11"/>
      <c r="K938" s="10"/>
      <c r="L938" s="11"/>
      <c r="M938" s="11"/>
      <c r="N938" s="11"/>
      <c r="O938" s="11"/>
    </row>
    <row r="939" spans="5:15" ht="13.5" customHeight="1" x14ac:dyDescent="0.3">
      <c r="E939" s="16"/>
      <c r="H939" s="12"/>
      <c r="I939" s="8"/>
      <c r="J939" s="11"/>
      <c r="K939" s="10"/>
      <c r="L939" s="11"/>
      <c r="M939" s="11"/>
      <c r="N939" s="11"/>
      <c r="O939" s="11"/>
    </row>
    <row r="940" spans="5:15" ht="13.5" customHeight="1" x14ac:dyDescent="0.3">
      <c r="E940" s="16"/>
      <c r="H940" s="12"/>
      <c r="I940" s="8"/>
      <c r="J940" s="11"/>
      <c r="K940" s="10"/>
      <c r="L940" s="11"/>
      <c r="M940" s="11"/>
      <c r="N940" s="11"/>
      <c r="O940" s="11"/>
    </row>
    <row r="941" spans="5:15" ht="13.5" customHeight="1" x14ac:dyDescent="0.3">
      <c r="E941" s="16"/>
      <c r="H941" s="12"/>
      <c r="I941" s="8"/>
      <c r="J941" s="11"/>
      <c r="K941" s="10"/>
      <c r="L941" s="11"/>
      <c r="M941" s="11"/>
      <c r="N941" s="11"/>
      <c r="O941" s="11"/>
    </row>
    <row r="942" spans="5:15" ht="13.5" customHeight="1" x14ac:dyDescent="0.3">
      <c r="E942" s="16"/>
      <c r="H942" s="12"/>
      <c r="I942" s="8"/>
      <c r="J942" s="11"/>
      <c r="K942" s="10"/>
      <c r="L942" s="11"/>
      <c r="M942" s="11"/>
      <c r="N942" s="11"/>
      <c r="O942" s="11"/>
    </row>
    <row r="943" spans="5:15" ht="13.5" customHeight="1" x14ac:dyDescent="0.3">
      <c r="E943" s="16"/>
      <c r="H943" s="12"/>
      <c r="I943" s="8"/>
      <c r="J943" s="11"/>
      <c r="K943" s="10"/>
      <c r="L943" s="11"/>
      <c r="M943" s="11"/>
      <c r="N943" s="11"/>
      <c r="O943" s="11"/>
    </row>
    <row r="944" spans="5:15" ht="13.5" customHeight="1" x14ac:dyDescent="0.3">
      <c r="E944" s="16"/>
      <c r="H944" s="12"/>
      <c r="I944" s="8"/>
      <c r="J944" s="11"/>
      <c r="K944" s="10"/>
      <c r="L944" s="11"/>
      <c r="M944" s="11"/>
      <c r="N944" s="11"/>
      <c r="O944" s="11"/>
    </row>
    <row r="945" spans="5:15" ht="13.5" customHeight="1" x14ac:dyDescent="0.3">
      <c r="E945" s="16"/>
      <c r="H945" s="12"/>
      <c r="I945" s="8"/>
      <c r="J945" s="11"/>
      <c r="K945" s="10"/>
      <c r="L945" s="11"/>
      <c r="M945" s="11"/>
      <c r="N945" s="11"/>
      <c r="O945" s="11"/>
    </row>
    <row r="946" spans="5:15" ht="13.5" customHeight="1" x14ac:dyDescent="0.3">
      <c r="E946" s="16"/>
      <c r="H946" s="12"/>
      <c r="I946" s="8"/>
      <c r="J946" s="11"/>
      <c r="K946" s="10"/>
      <c r="L946" s="11"/>
      <c r="M946" s="11"/>
      <c r="N946" s="11"/>
      <c r="O946" s="11"/>
    </row>
    <row r="947" spans="5:15" ht="13.5" customHeight="1" x14ac:dyDescent="0.3">
      <c r="E947" s="16"/>
      <c r="H947" s="12"/>
      <c r="I947" s="8"/>
      <c r="J947" s="11"/>
      <c r="K947" s="10"/>
      <c r="L947" s="11"/>
      <c r="M947" s="11"/>
      <c r="N947" s="11"/>
      <c r="O947" s="11"/>
    </row>
    <row r="948" spans="5:15" ht="13.5" customHeight="1" x14ac:dyDescent="0.3">
      <c r="E948" s="16"/>
      <c r="H948" s="12"/>
      <c r="I948" s="8"/>
      <c r="J948" s="11"/>
      <c r="K948" s="10"/>
      <c r="L948" s="11"/>
      <c r="M948" s="11"/>
      <c r="N948" s="11"/>
      <c r="O948" s="11"/>
    </row>
    <row r="949" spans="5:15" ht="13.5" customHeight="1" x14ac:dyDescent="0.3">
      <c r="E949" s="16"/>
      <c r="H949" s="12"/>
      <c r="I949" s="8"/>
      <c r="J949" s="11"/>
      <c r="K949" s="10"/>
      <c r="L949" s="11"/>
      <c r="M949" s="11"/>
      <c r="N949" s="11"/>
      <c r="O949" s="11"/>
    </row>
    <row r="950" spans="5:15" ht="13.5" customHeight="1" x14ac:dyDescent="0.3">
      <c r="E950" s="16"/>
      <c r="H950" s="12"/>
      <c r="I950" s="8"/>
      <c r="J950" s="11"/>
      <c r="K950" s="10"/>
      <c r="L950" s="11"/>
      <c r="M950" s="11"/>
      <c r="N950" s="11"/>
      <c r="O950" s="11"/>
    </row>
    <row r="951" spans="5:15" ht="13.5" customHeight="1" x14ac:dyDescent="0.3">
      <c r="E951" s="16"/>
      <c r="H951" s="12"/>
      <c r="I951" s="8"/>
      <c r="J951" s="11"/>
      <c r="K951" s="10"/>
      <c r="L951" s="11"/>
      <c r="M951" s="11"/>
      <c r="N951" s="11"/>
      <c r="O951" s="11"/>
    </row>
    <row r="952" spans="5:15" ht="13.5" customHeight="1" x14ac:dyDescent="0.3">
      <c r="E952" s="16"/>
      <c r="H952" s="12"/>
      <c r="I952" s="8"/>
      <c r="J952" s="11"/>
      <c r="K952" s="10"/>
      <c r="L952" s="11"/>
      <c r="M952" s="11"/>
      <c r="N952" s="11"/>
      <c r="O952" s="11"/>
    </row>
    <row r="953" spans="5:15" ht="13.5" customHeight="1" x14ac:dyDescent="0.3">
      <c r="E953" s="16"/>
      <c r="H953" s="12"/>
      <c r="I953" s="8"/>
      <c r="J953" s="11"/>
      <c r="K953" s="10"/>
      <c r="L953" s="11"/>
      <c r="M953" s="11"/>
      <c r="N953" s="11"/>
      <c r="O953" s="11"/>
    </row>
    <row r="954" spans="5:15" ht="13.5" customHeight="1" x14ac:dyDescent="0.3">
      <c r="E954" s="16"/>
      <c r="H954" s="12"/>
      <c r="I954" s="8"/>
      <c r="J954" s="11"/>
      <c r="K954" s="10"/>
      <c r="L954" s="11"/>
      <c r="M954" s="11"/>
      <c r="N954" s="11"/>
      <c r="O954" s="11"/>
    </row>
    <row r="955" spans="5:15" ht="13.5" customHeight="1" x14ac:dyDescent="0.3">
      <c r="E955" s="16"/>
      <c r="H955" s="12"/>
      <c r="I955" s="8"/>
      <c r="J955" s="11"/>
      <c r="K955" s="10"/>
      <c r="L955" s="11"/>
      <c r="M955" s="11"/>
      <c r="N955" s="11"/>
      <c r="O955" s="11"/>
    </row>
    <row r="956" spans="5:15" ht="13.5" customHeight="1" x14ac:dyDescent="0.3">
      <c r="E956" s="16"/>
      <c r="H956" s="12"/>
      <c r="I956" s="8"/>
      <c r="J956" s="11"/>
      <c r="K956" s="10"/>
      <c r="L956" s="11"/>
      <c r="M956" s="11"/>
      <c r="N956" s="11"/>
      <c r="O956" s="11"/>
    </row>
    <row r="957" spans="5:15" ht="13.5" customHeight="1" x14ac:dyDescent="0.3">
      <c r="E957" s="16"/>
      <c r="H957" s="12"/>
      <c r="I957" s="8"/>
      <c r="J957" s="11"/>
      <c r="K957" s="10"/>
      <c r="L957" s="11"/>
      <c r="M957" s="11"/>
      <c r="N957" s="11"/>
      <c r="O957" s="11"/>
    </row>
    <row r="958" spans="5:15" ht="13.5" customHeight="1" x14ac:dyDescent="0.3">
      <c r="E958" s="16"/>
      <c r="H958" s="12"/>
      <c r="I958" s="8"/>
      <c r="J958" s="11"/>
      <c r="K958" s="10"/>
      <c r="L958" s="11"/>
      <c r="M958" s="11"/>
      <c r="N958" s="11"/>
      <c r="O958" s="11"/>
    </row>
    <row r="959" spans="5:15" ht="13.5" customHeight="1" x14ac:dyDescent="0.3">
      <c r="E959" s="16"/>
      <c r="H959" s="12"/>
      <c r="I959" s="8"/>
      <c r="J959" s="11"/>
      <c r="K959" s="10"/>
      <c r="L959" s="11"/>
      <c r="M959" s="11"/>
      <c r="N959" s="11"/>
      <c r="O959" s="11"/>
    </row>
    <row r="960" spans="5:15" ht="13.5" customHeight="1" x14ac:dyDescent="0.3">
      <c r="E960" s="16"/>
      <c r="H960" s="12"/>
      <c r="I960" s="8"/>
      <c r="J960" s="11"/>
      <c r="K960" s="10"/>
      <c r="L960" s="11"/>
      <c r="M960" s="11"/>
      <c r="N960" s="11"/>
      <c r="O960" s="11"/>
    </row>
    <row r="961" spans="5:15" ht="13.5" customHeight="1" x14ac:dyDescent="0.3">
      <c r="E961" s="16"/>
      <c r="H961" s="12"/>
      <c r="I961" s="8"/>
      <c r="J961" s="11"/>
      <c r="K961" s="10"/>
      <c r="L961" s="11"/>
      <c r="M961" s="11"/>
      <c r="N961" s="11"/>
      <c r="O961" s="11"/>
    </row>
    <row r="962" spans="5:15" ht="13.5" customHeight="1" x14ac:dyDescent="0.3">
      <c r="E962" s="16"/>
      <c r="H962" s="12"/>
      <c r="I962" s="8"/>
      <c r="J962" s="11"/>
      <c r="K962" s="10"/>
      <c r="L962" s="11"/>
      <c r="M962" s="11"/>
      <c r="N962" s="11"/>
      <c r="O962" s="11"/>
    </row>
    <row r="963" spans="5:15" ht="13.5" customHeight="1" x14ac:dyDescent="0.3">
      <c r="E963" s="16"/>
      <c r="H963" s="12"/>
      <c r="I963" s="8"/>
      <c r="J963" s="11"/>
      <c r="K963" s="10"/>
      <c r="L963" s="11"/>
      <c r="M963" s="11"/>
      <c r="N963" s="11"/>
      <c r="O963" s="11"/>
    </row>
    <row r="964" spans="5:15" ht="13.5" customHeight="1" x14ac:dyDescent="0.3">
      <c r="E964" s="16"/>
      <c r="H964" s="12"/>
      <c r="I964" s="8"/>
      <c r="J964" s="11"/>
      <c r="K964" s="10"/>
      <c r="L964" s="11"/>
      <c r="M964" s="11"/>
      <c r="N964" s="11"/>
      <c r="O964" s="11"/>
    </row>
    <row r="965" spans="5:15" ht="13.5" customHeight="1" x14ac:dyDescent="0.3">
      <c r="E965" s="16"/>
      <c r="H965" s="12"/>
      <c r="I965" s="8"/>
      <c r="J965" s="11"/>
      <c r="K965" s="10"/>
      <c r="L965" s="11"/>
      <c r="M965" s="11"/>
      <c r="N965" s="11"/>
      <c r="O965" s="11"/>
    </row>
    <row r="966" spans="5:15" ht="13.5" customHeight="1" x14ac:dyDescent="0.3">
      <c r="E966" s="16"/>
      <c r="H966" s="12"/>
      <c r="I966" s="8"/>
      <c r="J966" s="11"/>
      <c r="K966" s="10"/>
      <c r="L966" s="11"/>
      <c r="M966" s="11"/>
      <c r="N966" s="11"/>
      <c r="O966" s="11"/>
    </row>
    <row r="967" spans="5:15" ht="13.5" customHeight="1" x14ac:dyDescent="0.3">
      <c r="E967" s="16"/>
      <c r="H967" s="12"/>
      <c r="I967" s="8"/>
      <c r="J967" s="11"/>
      <c r="K967" s="10"/>
      <c r="L967" s="11"/>
      <c r="M967" s="11"/>
      <c r="N967" s="11"/>
      <c r="O967" s="11"/>
    </row>
    <row r="968" spans="5:15" ht="13.5" customHeight="1" x14ac:dyDescent="0.3">
      <c r="E968" s="16"/>
      <c r="H968" s="12"/>
      <c r="I968" s="8"/>
      <c r="J968" s="11"/>
      <c r="K968" s="10"/>
      <c r="L968" s="11"/>
      <c r="M968" s="11"/>
      <c r="N968" s="11"/>
      <c r="O968" s="11"/>
    </row>
    <row r="969" spans="5:15" ht="13.5" customHeight="1" x14ac:dyDescent="0.3">
      <c r="E969" s="16"/>
      <c r="H969" s="12"/>
      <c r="I969" s="8"/>
      <c r="J969" s="11"/>
      <c r="K969" s="10"/>
      <c r="L969" s="11"/>
      <c r="M969" s="11"/>
      <c r="N969" s="11"/>
      <c r="O969" s="11"/>
    </row>
    <row r="970" spans="5:15" ht="13.5" customHeight="1" x14ac:dyDescent="0.3">
      <c r="E970" s="16"/>
      <c r="H970" s="12"/>
      <c r="I970" s="8"/>
      <c r="J970" s="11"/>
      <c r="K970" s="10"/>
      <c r="L970" s="11"/>
      <c r="M970" s="11"/>
      <c r="N970" s="11"/>
      <c r="O970" s="11"/>
    </row>
    <row r="971" spans="5:15" ht="13.5" customHeight="1" x14ac:dyDescent="0.3">
      <c r="E971" s="16"/>
      <c r="H971" s="12"/>
      <c r="I971" s="8"/>
      <c r="J971" s="11"/>
      <c r="K971" s="10"/>
      <c r="L971" s="11"/>
      <c r="M971" s="11"/>
      <c r="N971" s="11"/>
      <c r="O971" s="11"/>
    </row>
    <row r="972" spans="5:15" ht="13.5" customHeight="1" x14ac:dyDescent="0.3">
      <c r="E972" s="16"/>
      <c r="H972" s="12"/>
      <c r="I972" s="8"/>
      <c r="J972" s="11"/>
      <c r="K972" s="10"/>
      <c r="L972" s="11"/>
      <c r="M972" s="11"/>
      <c r="N972" s="11"/>
      <c r="O972" s="11"/>
    </row>
    <row r="973" spans="5:15" ht="13.5" customHeight="1" x14ac:dyDescent="0.3">
      <c r="E973" s="16"/>
      <c r="H973" s="12"/>
      <c r="I973" s="8"/>
      <c r="J973" s="11"/>
      <c r="K973" s="10"/>
      <c r="L973" s="11"/>
      <c r="M973" s="11"/>
      <c r="N973" s="11"/>
      <c r="O973" s="11"/>
    </row>
    <row r="974" spans="5:15" ht="13.5" customHeight="1" x14ac:dyDescent="0.3">
      <c r="E974" s="16"/>
      <c r="H974" s="12"/>
      <c r="I974" s="8"/>
      <c r="J974" s="11"/>
      <c r="K974" s="10"/>
      <c r="L974" s="11"/>
      <c r="M974" s="11"/>
      <c r="N974" s="11"/>
      <c r="O974" s="11"/>
    </row>
    <row r="975" spans="5:15" ht="13.5" customHeight="1" x14ac:dyDescent="0.3">
      <c r="E975" s="16"/>
      <c r="H975" s="12"/>
      <c r="I975" s="8"/>
      <c r="J975" s="11"/>
      <c r="K975" s="10"/>
      <c r="L975" s="11"/>
      <c r="M975" s="11"/>
      <c r="N975" s="11"/>
      <c r="O975" s="11"/>
    </row>
    <row r="976" spans="5:15" ht="13.5" customHeight="1" x14ac:dyDescent="0.3">
      <c r="E976" s="16"/>
      <c r="H976" s="12"/>
      <c r="I976" s="8"/>
      <c r="J976" s="11"/>
      <c r="K976" s="10"/>
      <c r="L976" s="11"/>
      <c r="M976" s="11"/>
      <c r="N976" s="11"/>
      <c r="O976" s="11"/>
    </row>
    <row r="977" spans="5:15" ht="13.5" customHeight="1" x14ac:dyDescent="0.3">
      <c r="E977" s="16"/>
      <c r="H977" s="12"/>
      <c r="I977" s="8"/>
      <c r="J977" s="11"/>
      <c r="K977" s="10"/>
      <c r="L977" s="11"/>
      <c r="M977" s="11"/>
      <c r="N977" s="11"/>
      <c r="O977" s="11"/>
    </row>
    <row r="978" spans="5:15" ht="13.5" customHeight="1" x14ac:dyDescent="0.3">
      <c r="E978" s="16"/>
      <c r="H978" s="12"/>
      <c r="I978" s="8"/>
      <c r="J978" s="11"/>
      <c r="K978" s="10"/>
      <c r="L978" s="11"/>
      <c r="M978" s="11"/>
      <c r="N978" s="11"/>
      <c r="O978" s="11"/>
    </row>
    <row r="979" spans="5:15" ht="13.5" customHeight="1" x14ac:dyDescent="0.3">
      <c r="E979" s="16"/>
      <c r="H979" s="12"/>
      <c r="I979" s="8"/>
      <c r="J979" s="11"/>
      <c r="K979" s="10"/>
      <c r="L979" s="11"/>
      <c r="M979" s="11"/>
      <c r="N979" s="11"/>
      <c r="O979" s="11"/>
    </row>
    <row r="980" spans="5:15" ht="13.5" customHeight="1" x14ac:dyDescent="0.3">
      <c r="E980" s="16"/>
      <c r="H980" s="12"/>
      <c r="I980" s="8"/>
      <c r="J980" s="11"/>
      <c r="K980" s="10"/>
      <c r="L980" s="11"/>
      <c r="M980" s="11"/>
      <c r="N980" s="11"/>
      <c r="O980" s="11"/>
    </row>
    <row r="981" spans="5:15" ht="13.5" customHeight="1" x14ac:dyDescent="0.3">
      <c r="E981" s="16"/>
      <c r="H981" s="12"/>
      <c r="I981" s="8"/>
      <c r="J981" s="11"/>
      <c r="K981" s="10"/>
      <c r="L981" s="11"/>
      <c r="M981" s="11"/>
      <c r="N981" s="11"/>
      <c r="O981" s="11"/>
    </row>
    <row r="982" spans="5:15" ht="13.5" customHeight="1" x14ac:dyDescent="0.3">
      <c r="E982" s="16"/>
      <c r="H982" s="12"/>
      <c r="I982" s="8"/>
      <c r="J982" s="11"/>
      <c r="K982" s="10"/>
      <c r="L982" s="11"/>
      <c r="M982" s="11"/>
      <c r="N982" s="11"/>
      <c r="O982" s="11"/>
    </row>
    <row r="983" spans="5:15" ht="13.5" customHeight="1" x14ac:dyDescent="0.3">
      <c r="E983" s="16"/>
      <c r="H983" s="12"/>
      <c r="I983" s="8"/>
      <c r="J983" s="11"/>
      <c r="K983" s="10"/>
      <c r="L983" s="11"/>
      <c r="M983" s="11"/>
      <c r="N983" s="11"/>
      <c r="O983" s="11"/>
    </row>
    <row r="984" spans="5:15" ht="13.5" customHeight="1" x14ac:dyDescent="0.3">
      <c r="E984" s="16"/>
      <c r="H984" s="12"/>
      <c r="I984" s="8"/>
      <c r="J984" s="11"/>
      <c r="K984" s="10"/>
      <c r="L984" s="11"/>
      <c r="M984" s="11"/>
      <c r="N984" s="11"/>
      <c r="O984" s="11"/>
    </row>
    <row r="985" spans="5:15" ht="13.5" customHeight="1" x14ac:dyDescent="0.3">
      <c r="E985" s="16"/>
      <c r="H985" s="12"/>
      <c r="I985" s="8"/>
      <c r="J985" s="11"/>
      <c r="K985" s="10"/>
      <c r="L985" s="11"/>
      <c r="M985" s="11"/>
      <c r="N985" s="11"/>
      <c r="O985" s="11"/>
    </row>
    <row r="986" spans="5:15" ht="13.5" customHeight="1" x14ac:dyDescent="0.3">
      <c r="E986" s="16"/>
      <c r="H986" s="12"/>
      <c r="I986" s="8"/>
      <c r="J986" s="11"/>
      <c r="K986" s="10"/>
      <c r="L986" s="11"/>
      <c r="M986" s="11"/>
      <c r="N986" s="11"/>
      <c r="O986" s="11"/>
    </row>
    <row r="987" spans="5:15" ht="13.5" customHeight="1" x14ac:dyDescent="0.3">
      <c r="E987" s="16"/>
      <c r="H987" s="12"/>
      <c r="I987" s="8"/>
      <c r="J987" s="11"/>
      <c r="K987" s="10"/>
      <c r="L987" s="11"/>
      <c r="M987" s="11"/>
      <c r="N987" s="11"/>
      <c r="O987" s="11"/>
    </row>
    <row r="988" spans="5:15" ht="13.5" customHeight="1" x14ac:dyDescent="0.3">
      <c r="E988" s="16"/>
      <c r="H988" s="12"/>
      <c r="I988" s="8"/>
      <c r="J988" s="11"/>
      <c r="K988" s="10"/>
      <c r="L988" s="11"/>
      <c r="M988" s="11"/>
      <c r="N988" s="11"/>
      <c r="O988" s="11"/>
    </row>
    <row r="989" spans="5:15" ht="13.5" customHeight="1" x14ac:dyDescent="0.3">
      <c r="E989" s="16"/>
      <c r="H989" s="12"/>
      <c r="I989" s="8"/>
      <c r="J989" s="11"/>
      <c r="K989" s="10"/>
      <c r="L989" s="11"/>
      <c r="M989" s="11"/>
      <c r="N989" s="11"/>
      <c r="O989" s="11"/>
    </row>
    <row r="990" spans="5:15" ht="13.5" customHeight="1" x14ac:dyDescent="0.3">
      <c r="E990" s="16"/>
      <c r="H990" s="12"/>
      <c r="I990" s="8"/>
      <c r="J990" s="11"/>
      <c r="K990" s="10"/>
      <c r="L990" s="11"/>
      <c r="M990" s="11"/>
      <c r="N990" s="11"/>
      <c r="O990" s="11"/>
    </row>
    <row r="991" spans="5:15" ht="13.5" customHeight="1" x14ac:dyDescent="0.3">
      <c r="E991" s="16"/>
      <c r="H991" s="12"/>
      <c r="I991" s="8"/>
      <c r="J991" s="11"/>
      <c r="K991" s="10"/>
      <c r="L991" s="11"/>
      <c r="M991" s="11"/>
      <c r="N991" s="11"/>
      <c r="O991" s="11"/>
    </row>
    <row r="992" spans="5:15" ht="13.5" customHeight="1" x14ac:dyDescent="0.3">
      <c r="E992" s="16"/>
      <c r="H992" s="12"/>
      <c r="I992" s="8"/>
      <c r="J992" s="11"/>
      <c r="K992" s="10"/>
      <c r="L992" s="11"/>
      <c r="M992" s="11"/>
      <c r="N992" s="11"/>
      <c r="O992" s="11"/>
    </row>
    <row r="993" spans="5:15" ht="13.5" customHeight="1" x14ac:dyDescent="0.3">
      <c r="E993" s="16"/>
      <c r="H993" s="12"/>
      <c r="I993" s="8"/>
      <c r="J993" s="11"/>
      <c r="K993" s="10"/>
      <c r="L993" s="11"/>
      <c r="M993" s="11"/>
      <c r="N993" s="11"/>
      <c r="O993" s="11"/>
    </row>
    <row r="994" spans="5:15" ht="13.5" customHeight="1" x14ac:dyDescent="0.3">
      <c r="E994" s="16"/>
      <c r="H994" s="12"/>
      <c r="I994" s="8"/>
      <c r="J994" s="11"/>
      <c r="K994" s="10"/>
      <c r="L994" s="11"/>
      <c r="M994" s="11"/>
      <c r="N994" s="11"/>
      <c r="O994" s="11"/>
    </row>
    <row r="995" spans="5:15" ht="13.5" customHeight="1" x14ac:dyDescent="0.3">
      <c r="E995" s="16"/>
      <c r="H995" s="12"/>
      <c r="I995" s="8"/>
      <c r="J995" s="11"/>
      <c r="K995" s="10"/>
      <c r="L995" s="11"/>
      <c r="M995" s="11"/>
      <c r="N995" s="11"/>
      <c r="O995" s="11"/>
    </row>
    <row r="996" spans="5:15" ht="13.5" customHeight="1" x14ac:dyDescent="0.3">
      <c r="E996" s="16"/>
      <c r="H996" s="12"/>
      <c r="I996" s="8"/>
      <c r="J996" s="11"/>
      <c r="K996" s="10"/>
      <c r="L996" s="11"/>
      <c r="M996" s="11"/>
      <c r="N996" s="11"/>
      <c r="O996" s="11"/>
    </row>
    <row r="997" spans="5:15" ht="13.5" customHeight="1" x14ac:dyDescent="0.3">
      <c r="E997" s="16"/>
      <c r="H997" s="12"/>
      <c r="I997" s="8"/>
      <c r="J997" s="11"/>
      <c r="K997" s="10"/>
      <c r="L997" s="11"/>
      <c r="M997" s="11"/>
      <c r="N997" s="11"/>
      <c r="O997" s="1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738"/>
  <sheetViews>
    <sheetView workbookViewId="0">
      <pane ySplit="1" topLeftCell="A2709" activePane="bottomLeft" state="frozen"/>
      <selection pane="bottomLeft" activeCell="A2731" sqref="A2731"/>
    </sheetView>
  </sheetViews>
  <sheetFormatPr baseColWidth="10" defaultColWidth="12.6640625" defaultRowHeight="15" customHeight="1" x14ac:dyDescent="0.3"/>
  <cols>
    <col min="1" max="1" width="20.44140625" customWidth="1"/>
    <col min="2" max="2" width="17.44140625" customWidth="1"/>
  </cols>
  <sheetData>
    <row r="1" spans="1:2" x14ac:dyDescent="0.3">
      <c r="A1" s="17" t="s">
        <v>352</v>
      </c>
      <c r="B1" s="18" t="s">
        <v>353</v>
      </c>
    </row>
    <row r="2" spans="1:2" x14ac:dyDescent="0.3">
      <c r="A2" s="1" t="s">
        <v>1991</v>
      </c>
      <c r="B2" s="19">
        <v>5000000</v>
      </c>
    </row>
    <row r="3" spans="1:2" x14ac:dyDescent="0.3">
      <c r="A3" s="1" t="s">
        <v>2301</v>
      </c>
      <c r="B3" s="19">
        <v>7700000</v>
      </c>
    </row>
    <row r="4" spans="1:2" x14ac:dyDescent="0.3">
      <c r="A4" s="1" t="s">
        <v>2152</v>
      </c>
      <c r="B4" s="19">
        <v>7000000</v>
      </c>
    </row>
    <row r="5" spans="1:2" x14ac:dyDescent="0.3">
      <c r="A5" s="1" t="s">
        <v>1904</v>
      </c>
      <c r="B5" s="19">
        <v>1</v>
      </c>
    </row>
    <row r="6" spans="1:2" x14ac:dyDescent="0.3">
      <c r="A6" s="1" t="s">
        <v>1540</v>
      </c>
      <c r="B6" s="19">
        <v>4000000</v>
      </c>
    </row>
    <row r="7" spans="1:2" x14ac:dyDescent="0.3">
      <c r="A7" s="1" t="s">
        <v>2277</v>
      </c>
      <c r="B7" s="19">
        <v>4200000</v>
      </c>
    </row>
    <row r="8" spans="1:2" x14ac:dyDescent="0.3">
      <c r="A8" s="1" t="s">
        <v>1378</v>
      </c>
      <c r="B8" s="19">
        <v>7000000</v>
      </c>
    </row>
    <row r="9" spans="1:2" x14ac:dyDescent="0.3">
      <c r="A9" s="1" t="s">
        <v>1927</v>
      </c>
      <c r="B9" s="19">
        <v>14000000</v>
      </c>
    </row>
    <row r="10" spans="1:2" x14ac:dyDescent="0.3">
      <c r="A10" s="1" t="s">
        <v>1637</v>
      </c>
      <c r="B10" s="19">
        <v>12000000</v>
      </c>
    </row>
    <row r="11" spans="1:2" x14ac:dyDescent="0.3">
      <c r="A11" s="1" t="s">
        <v>1958</v>
      </c>
      <c r="B11" s="19">
        <v>4350000</v>
      </c>
    </row>
    <row r="12" spans="1:2" x14ac:dyDescent="0.3">
      <c r="A12" s="1" t="s">
        <v>2017</v>
      </c>
      <c r="B12" s="19">
        <v>8500000</v>
      </c>
    </row>
    <row r="13" spans="1:2" x14ac:dyDescent="0.3">
      <c r="A13" s="1" t="s">
        <v>1462</v>
      </c>
      <c r="B13" s="19">
        <v>9500000</v>
      </c>
    </row>
    <row r="14" spans="1:2" x14ac:dyDescent="0.3">
      <c r="A14" s="1" t="s">
        <v>1324</v>
      </c>
      <c r="B14" s="19">
        <v>9000000</v>
      </c>
    </row>
    <row r="15" spans="1:2" x14ac:dyDescent="0.3">
      <c r="A15" s="1" t="s">
        <v>2279</v>
      </c>
      <c r="B15" s="19">
        <v>6000000</v>
      </c>
    </row>
    <row r="16" spans="1:2" x14ac:dyDescent="0.3">
      <c r="A16" s="1" t="s">
        <v>2226</v>
      </c>
      <c r="B16" s="19">
        <v>5000000</v>
      </c>
    </row>
    <row r="17" spans="1:2" x14ac:dyDescent="0.3">
      <c r="A17" s="1" t="s">
        <v>2133</v>
      </c>
      <c r="B17" s="19">
        <v>5500000</v>
      </c>
    </row>
    <row r="18" spans="1:2" x14ac:dyDescent="0.3">
      <c r="A18" s="1" t="s">
        <v>1576</v>
      </c>
      <c r="B18" s="19">
        <v>5350000</v>
      </c>
    </row>
    <row r="19" spans="1:2" x14ac:dyDescent="0.3">
      <c r="A19" s="1" t="s">
        <v>2310</v>
      </c>
      <c r="B19" s="19">
        <v>5800000</v>
      </c>
    </row>
    <row r="20" spans="1:2" x14ac:dyDescent="0.3">
      <c r="A20" s="1" t="s">
        <v>1946</v>
      </c>
      <c r="B20" s="19">
        <v>12000000</v>
      </c>
    </row>
    <row r="21" spans="1:2" x14ac:dyDescent="0.3">
      <c r="A21" s="1" t="s">
        <v>2005</v>
      </c>
      <c r="B21" s="19">
        <v>11500000</v>
      </c>
    </row>
    <row r="22" spans="1:2" x14ac:dyDescent="0.3">
      <c r="A22" s="1" t="s">
        <v>1810</v>
      </c>
      <c r="B22" s="19">
        <v>4600000</v>
      </c>
    </row>
    <row r="23" spans="1:2" x14ac:dyDescent="0.3">
      <c r="A23" s="1" t="s">
        <v>1803</v>
      </c>
      <c r="B23" s="19">
        <v>6500000</v>
      </c>
    </row>
    <row r="24" spans="1:2" x14ac:dyDescent="0.3">
      <c r="A24" s="1" t="s">
        <v>1953</v>
      </c>
      <c r="B24" s="19">
        <v>6500000</v>
      </c>
    </row>
    <row r="25" spans="1:2" x14ac:dyDescent="0.3">
      <c r="A25" s="1" t="s">
        <v>2286</v>
      </c>
      <c r="B25" s="19">
        <v>7000000</v>
      </c>
    </row>
    <row r="26" spans="1:2" x14ac:dyDescent="0.3">
      <c r="A26" s="1" t="s">
        <v>2340</v>
      </c>
      <c r="B26" s="19">
        <v>10700000</v>
      </c>
    </row>
    <row r="27" spans="1:2" x14ac:dyDescent="0.3">
      <c r="A27" s="1" t="s">
        <v>1301</v>
      </c>
      <c r="B27" s="19">
        <v>6600000</v>
      </c>
    </row>
    <row r="28" spans="1:2" x14ac:dyDescent="0.3">
      <c r="A28" s="1" t="s">
        <v>1582</v>
      </c>
      <c r="B28" s="19">
        <v>7300000</v>
      </c>
    </row>
    <row r="29" spans="1:2" x14ac:dyDescent="0.3">
      <c r="A29" s="1" t="s">
        <v>1560</v>
      </c>
      <c r="B29" s="19">
        <v>4800000</v>
      </c>
    </row>
    <row r="30" spans="1:2" x14ac:dyDescent="0.3">
      <c r="A30" s="1" t="s">
        <v>2124</v>
      </c>
      <c r="B30" s="19">
        <v>10000000</v>
      </c>
    </row>
    <row r="31" spans="1:2" x14ac:dyDescent="0.3">
      <c r="A31" s="1" t="s">
        <v>1214</v>
      </c>
      <c r="B31" s="19">
        <v>10500000</v>
      </c>
    </row>
    <row r="32" spans="1:2" x14ac:dyDescent="0.3">
      <c r="A32" s="1" t="s">
        <v>676</v>
      </c>
      <c r="B32" s="19">
        <v>13650000</v>
      </c>
    </row>
    <row r="33" spans="1:2" x14ac:dyDescent="0.3">
      <c r="A33" s="1" t="s">
        <v>1707</v>
      </c>
      <c r="B33" s="19">
        <v>5000000</v>
      </c>
    </row>
    <row r="34" spans="1:2" x14ac:dyDescent="0.3">
      <c r="A34" s="1" t="s">
        <v>2157</v>
      </c>
      <c r="B34" s="19">
        <v>5500000</v>
      </c>
    </row>
    <row r="35" spans="1:2" x14ac:dyDescent="0.3">
      <c r="A35" s="1" t="s">
        <v>2328</v>
      </c>
      <c r="B35" s="19">
        <v>8000000</v>
      </c>
    </row>
    <row r="36" spans="1:2" x14ac:dyDescent="0.3">
      <c r="A36" s="1" t="s">
        <v>2194</v>
      </c>
      <c r="B36" s="19">
        <v>5500000</v>
      </c>
    </row>
    <row r="37" spans="1:2" x14ac:dyDescent="0.3">
      <c r="A37" s="1" t="s">
        <v>2373</v>
      </c>
      <c r="B37" s="19">
        <v>20500000</v>
      </c>
    </row>
    <row r="38" spans="1:2" x14ac:dyDescent="0.3">
      <c r="A38" s="1" t="s">
        <v>1335</v>
      </c>
      <c r="B38" s="19">
        <v>8000000</v>
      </c>
    </row>
    <row r="39" spans="1:2" x14ac:dyDescent="0.3">
      <c r="A39" s="1" t="s">
        <v>2002</v>
      </c>
      <c r="B39" s="19">
        <v>10500000</v>
      </c>
    </row>
    <row r="40" spans="1:2" x14ac:dyDescent="0.3">
      <c r="A40" s="1" t="s">
        <v>1048</v>
      </c>
      <c r="B40" s="19">
        <v>4200000</v>
      </c>
    </row>
    <row r="41" spans="1:2" x14ac:dyDescent="0.3">
      <c r="A41" s="1" t="s">
        <v>1940</v>
      </c>
      <c r="B41" s="19">
        <v>6000000</v>
      </c>
    </row>
    <row r="42" spans="1:2" x14ac:dyDescent="0.3">
      <c r="A42" s="1" t="s">
        <v>1938</v>
      </c>
      <c r="B42" s="19">
        <v>6000000</v>
      </c>
    </row>
    <row r="43" spans="1:2" x14ac:dyDescent="0.3">
      <c r="A43" s="1" t="s">
        <v>867</v>
      </c>
      <c r="B43" s="19">
        <v>8500000</v>
      </c>
    </row>
    <row r="44" spans="1:2" x14ac:dyDescent="0.3">
      <c r="A44" s="1" t="s">
        <v>1779</v>
      </c>
      <c r="B44" s="19">
        <v>4600000</v>
      </c>
    </row>
    <row r="45" spans="1:2" x14ac:dyDescent="0.3">
      <c r="A45" s="1" t="s">
        <v>1765</v>
      </c>
      <c r="B45" s="19">
        <v>4000000</v>
      </c>
    </row>
    <row r="46" spans="1:2" x14ac:dyDescent="0.3">
      <c r="A46" s="1" t="s">
        <v>1221</v>
      </c>
      <c r="B46" s="19">
        <v>7800000</v>
      </c>
    </row>
    <row r="47" spans="1:2" x14ac:dyDescent="0.3">
      <c r="A47" s="1" t="s">
        <v>1617</v>
      </c>
      <c r="B47" s="19">
        <v>8300000</v>
      </c>
    </row>
    <row r="48" spans="1:2" x14ac:dyDescent="0.3">
      <c r="A48" s="1" t="s">
        <v>2244</v>
      </c>
      <c r="B48" s="19">
        <v>7000000</v>
      </c>
    </row>
    <row r="49" spans="1:2" x14ac:dyDescent="0.3">
      <c r="A49" s="1" t="s">
        <v>2358</v>
      </c>
      <c r="B49" s="19">
        <v>11500000</v>
      </c>
    </row>
    <row r="50" spans="1:2" x14ac:dyDescent="0.3">
      <c r="A50" s="1" t="s">
        <v>1600</v>
      </c>
      <c r="B50" s="19">
        <v>3800000</v>
      </c>
    </row>
    <row r="51" spans="1:2" x14ac:dyDescent="0.3">
      <c r="A51" s="1" t="s">
        <v>2231</v>
      </c>
      <c r="B51" s="19">
        <v>9500000</v>
      </c>
    </row>
    <row r="52" spans="1:2" x14ac:dyDescent="0.3">
      <c r="A52" s="1" t="s">
        <v>463</v>
      </c>
      <c r="B52" s="19">
        <v>2700000</v>
      </c>
    </row>
    <row r="53" spans="1:2" x14ac:dyDescent="0.3">
      <c r="A53" s="1" t="s">
        <v>2075</v>
      </c>
      <c r="B53" s="19">
        <v>6000000</v>
      </c>
    </row>
    <row r="54" spans="1:2" x14ac:dyDescent="0.3">
      <c r="A54" s="1" t="s">
        <v>1361</v>
      </c>
      <c r="B54" s="19">
        <v>6500000</v>
      </c>
    </row>
    <row r="55" spans="1:2" x14ac:dyDescent="0.3">
      <c r="A55" s="1" t="s">
        <v>1463</v>
      </c>
      <c r="B55" s="19">
        <v>9000000</v>
      </c>
    </row>
    <row r="56" spans="1:2" x14ac:dyDescent="0.3">
      <c r="A56" s="1" t="s">
        <v>1816</v>
      </c>
      <c r="B56" s="19">
        <v>6000000</v>
      </c>
    </row>
    <row r="57" spans="1:2" x14ac:dyDescent="0.3">
      <c r="A57" s="1" t="s">
        <v>2324</v>
      </c>
      <c r="B57" s="19">
        <v>6000000</v>
      </c>
    </row>
    <row r="58" spans="1:2" x14ac:dyDescent="0.3">
      <c r="A58" s="1" t="s">
        <v>1400</v>
      </c>
      <c r="B58" s="19">
        <v>8000000</v>
      </c>
    </row>
    <row r="59" spans="1:2" x14ac:dyDescent="0.3">
      <c r="A59" s="1" t="s">
        <v>2211</v>
      </c>
      <c r="B59" s="19">
        <v>6200000</v>
      </c>
    </row>
    <row r="60" spans="1:2" x14ac:dyDescent="0.3">
      <c r="A60" s="1" t="s">
        <v>1998</v>
      </c>
      <c r="B60" s="19">
        <v>5500000</v>
      </c>
    </row>
    <row r="61" spans="1:2" x14ac:dyDescent="0.3">
      <c r="A61" s="1" t="s">
        <v>2363</v>
      </c>
      <c r="B61" s="19">
        <v>9000000</v>
      </c>
    </row>
    <row r="62" spans="1:2" x14ac:dyDescent="0.3">
      <c r="A62" s="1" t="s">
        <v>2139</v>
      </c>
      <c r="B62" s="19">
        <v>10500000</v>
      </c>
    </row>
    <row r="63" spans="1:2" x14ac:dyDescent="0.3">
      <c r="A63" s="1" t="s">
        <v>1586</v>
      </c>
      <c r="B63" s="19">
        <v>9500000</v>
      </c>
    </row>
    <row r="64" spans="1:2" x14ac:dyDescent="0.3">
      <c r="A64" s="1" t="s">
        <v>2327</v>
      </c>
      <c r="B64" s="19">
        <v>8500000</v>
      </c>
    </row>
    <row r="65" spans="1:2" x14ac:dyDescent="0.3">
      <c r="A65" s="1" t="s">
        <v>2322</v>
      </c>
      <c r="B65" s="19">
        <v>7000000</v>
      </c>
    </row>
    <row r="66" spans="1:2" x14ac:dyDescent="0.3">
      <c r="A66" s="1" t="s">
        <v>973</v>
      </c>
      <c r="B66" s="19">
        <v>6800000</v>
      </c>
    </row>
    <row r="67" spans="1:2" x14ac:dyDescent="0.3">
      <c r="A67" s="1" t="s">
        <v>1468</v>
      </c>
      <c r="B67" s="19">
        <v>7000000</v>
      </c>
    </row>
    <row r="68" spans="1:2" x14ac:dyDescent="0.3">
      <c r="A68" s="1" t="s">
        <v>1872</v>
      </c>
      <c r="B68" s="19">
        <v>10500000</v>
      </c>
    </row>
    <row r="69" spans="1:2" x14ac:dyDescent="0.3">
      <c r="A69" s="1" t="s">
        <v>2318</v>
      </c>
      <c r="B69" s="19">
        <v>10000000</v>
      </c>
    </row>
    <row r="70" spans="1:2" x14ac:dyDescent="0.3">
      <c r="A70" s="1" t="s">
        <v>1974</v>
      </c>
      <c r="B70" s="19">
        <v>4900000</v>
      </c>
    </row>
    <row r="71" spans="1:2" x14ac:dyDescent="0.3">
      <c r="A71" s="1" t="s">
        <v>2312</v>
      </c>
      <c r="B71" s="19">
        <v>10700000</v>
      </c>
    </row>
    <row r="72" spans="1:2" x14ac:dyDescent="0.3">
      <c r="A72" s="1" t="s">
        <v>2285</v>
      </c>
      <c r="B72" s="19">
        <v>8000000</v>
      </c>
    </row>
    <row r="73" spans="1:2" x14ac:dyDescent="0.3">
      <c r="A73" s="1" t="s">
        <v>1891</v>
      </c>
      <c r="B73" s="19">
        <v>8000000</v>
      </c>
    </row>
    <row r="74" spans="1:2" x14ac:dyDescent="0.3">
      <c r="A74" s="1" t="s">
        <v>696</v>
      </c>
      <c r="B74" s="19">
        <v>9000000</v>
      </c>
    </row>
    <row r="75" spans="1:2" x14ac:dyDescent="0.3">
      <c r="A75" s="1" t="s">
        <v>2221</v>
      </c>
      <c r="B75" s="19">
        <v>9000000</v>
      </c>
    </row>
    <row r="76" spans="1:2" x14ac:dyDescent="0.3">
      <c r="A76" s="1" t="s">
        <v>900</v>
      </c>
      <c r="B76" s="19">
        <v>5000000</v>
      </c>
    </row>
    <row r="77" spans="1:2" x14ac:dyDescent="0.3">
      <c r="A77" s="1" t="s">
        <v>1920</v>
      </c>
      <c r="B77" s="19">
        <v>16000000</v>
      </c>
    </row>
    <row r="78" spans="1:2" x14ac:dyDescent="0.3">
      <c r="A78" s="1" t="s">
        <v>1961</v>
      </c>
      <c r="B78" s="19">
        <v>3500000</v>
      </c>
    </row>
    <row r="79" spans="1:2" x14ac:dyDescent="0.3">
      <c r="A79" s="1" t="s">
        <v>1914</v>
      </c>
      <c r="B79" s="19">
        <v>3700000</v>
      </c>
    </row>
    <row r="80" spans="1:2" x14ac:dyDescent="0.3">
      <c r="A80" s="1" t="s">
        <v>1881</v>
      </c>
      <c r="B80" s="19">
        <v>7800000</v>
      </c>
    </row>
    <row r="81" spans="1:2" x14ac:dyDescent="0.3">
      <c r="A81" s="1" t="s">
        <v>1623</v>
      </c>
      <c r="B81" s="19">
        <v>5000000</v>
      </c>
    </row>
    <row r="82" spans="1:2" x14ac:dyDescent="0.3">
      <c r="A82" s="1" t="s">
        <v>1976</v>
      </c>
      <c r="B82" s="19">
        <v>5000000</v>
      </c>
    </row>
    <row r="83" spans="1:2" x14ac:dyDescent="0.3">
      <c r="A83" s="1" t="s">
        <v>741</v>
      </c>
      <c r="B83" s="19">
        <v>7000000</v>
      </c>
    </row>
    <row r="84" spans="1:2" x14ac:dyDescent="0.3">
      <c r="A84" s="1" t="s">
        <v>1118</v>
      </c>
      <c r="B84" s="19">
        <v>8900000</v>
      </c>
    </row>
    <row r="85" spans="1:2" x14ac:dyDescent="0.3">
      <c r="A85" s="1" t="s">
        <v>2332</v>
      </c>
      <c r="B85" s="19">
        <v>6800000</v>
      </c>
    </row>
    <row r="86" spans="1:2" x14ac:dyDescent="0.3">
      <c r="A86" s="1" t="s">
        <v>112</v>
      </c>
      <c r="B86" s="19">
        <v>18000000</v>
      </c>
    </row>
    <row r="87" spans="1:2" x14ac:dyDescent="0.3">
      <c r="A87" s="1" t="s">
        <v>953</v>
      </c>
      <c r="B87" s="19">
        <v>4600000</v>
      </c>
    </row>
    <row r="88" spans="1:2" x14ac:dyDescent="0.3">
      <c r="A88" s="1" t="s">
        <v>976</v>
      </c>
      <c r="B88" s="19">
        <v>14000000</v>
      </c>
    </row>
    <row r="89" spans="1:2" x14ac:dyDescent="0.3">
      <c r="A89" s="1" t="s">
        <v>1977</v>
      </c>
      <c r="B89" s="19">
        <v>18100000</v>
      </c>
    </row>
    <row r="90" spans="1:2" x14ac:dyDescent="0.3">
      <c r="A90" s="1" t="s">
        <v>1848</v>
      </c>
      <c r="B90" s="19">
        <v>8300000</v>
      </c>
    </row>
    <row r="91" spans="1:2" x14ac:dyDescent="0.3">
      <c r="A91" s="1" t="s">
        <v>852</v>
      </c>
      <c r="B91" s="19">
        <v>7500000</v>
      </c>
    </row>
    <row r="92" spans="1:2" x14ac:dyDescent="0.3">
      <c r="A92" s="1" t="s">
        <v>2093</v>
      </c>
      <c r="B92" s="19">
        <v>8500000</v>
      </c>
    </row>
    <row r="93" spans="1:2" x14ac:dyDescent="0.3">
      <c r="A93" s="1" t="s">
        <v>2338</v>
      </c>
      <c r="B93" s="19">
        <v>5000000</v>
      </c>
    </row>
    <row r="94" spans="1:2" x14ac:dyDescent="0.3">
      <c r="A94" s="1" t="s">
        <v>1293</v>
      </c>
      <c r="B94" s="19">
        <v>15300000</v>
      </c>
    </row>
    <row r="95" spans="1:2" x14ac:dyDescent="0.3">
      <c r="A95" s="1" t="s">
        <v>1293</v>
      </c>
      <c r="B95" s="19">
        <v>18000000</v>
      </c>
    </row>
    <row r="96" spans="1:2" x14ac:dyDescent="0.3">
      <c r="A96" s="1" t="s">
        <v>2158</v>
      </c>
      <c r="B96" s="19">
        <v>16000000</v>
      </c>
    </row>
    <row r="97" spans="1:2" x14ac:dyDescent="0.3">
      <c r="A97" s="1" t="s">
        <v>756</v>
      </c>
      <c r="B97" s="19">
        <v>9400000</v>
      </c>
    </row>
    <row r="98" spans="1:2" x14ac:dyDescent="0.3">
      <c r="A98" s="1" t="s">
        <v>2114</v>
      </c>
      <c r="B98" s="19">
        <v>4500000</v>
      </c>
    </row>
    <row r="99" spans="1:2" x14ac:dyDescent="0.3">
      <c r="A99" s="1" t="s">
        <v>1460</v>
      </c>
      <c r="B99" s="19">
        <v>15500000</v>
      </c>
    </row>
    <row r="100" spans="1:2" x14ac:dyDescent="0.3">
      <c r="A100" s="1" t="s">
        <v>51</v>
      </c>
      <c r="B100" s="19">
        <v>7300000</v>
      </c>
    </row>
    <row r="101" spans="1:2" x14ac:dyDescent="0.3">
      <c r="A101" s="1" t="s">
        <v>1315</v>
      </c>
      <c r="B101" s="19">
        <v>8100000</v>
      </c>
    </row>
    <row r="102" spans="1:2" x14ac:dyDescent="0.3">
      <c r="A102" s="1" t="s">
        <v>2335</v>
      </c>
      <c r="B102" s="19">
        <v>11800000</v>
      </c>
    </row>
    <row r="103" spans="1:2" x14ac:dyDescent="0.3">
      <c r="A103" s="1" t="s">
        <v>1359</v>
      </c>
      <c r="B103" s="19">
        <v>10500000</v>
      </c>
    </row>
    <row r="104" spans="1:2" x14ac:dyDescent="0.3">
      <c r="A104" s="1" t="s">
        <v>593</v>
      </c>
      <c r="B104" s="19">
        <v>10900000</v>
      </c>
    </row>
    <row r="105" spans="1:2" x14ac:dyDescent="0.3">
      <c r="A105" s="1" t="s">
        <v>1815</v>
      </c>
      <c r="B105" s="19">
        <v>4500000</v>
      </c>
    </row>
    <row r="106" spans="1:2" x14ac:dyDescent="0.3">
      <c r="A106" s="1" t="s">
        <v>1934</v>
      </c>
      <c r="B106" s="19">
        <v>10200000</v>
      </c>
    </row>
    <row r="107" spans="1:2" x14ac:dyDescent="0.3">
      <c r="A107" s="1" t="s">
        <v>2308</v>
      </c>
      <c r="B107" s="19">
        <v>5100000</v>
      </c>
    </row>
    <row r="108" spans="1:2" x14ac:dyDescent="0.3">
      <c r="A108" s="1" t="s">
        <v>2120</v>
      </c>
      <c r="B108" s="19">
        <v>24700000</v>
      </c>
    </row>
    <row r="109" spans="1:2" x14ac:dyDescent="0.3">
      <c r="A109" s="1" t="s">
        <v>1521</v>
      </c>
      <c r="B109" s="19">
        <v>21700000</v>
      </c>
    </row>
    <row r="110" spans="1:2" x14ac:dyDescent="0.3">
      <c r="A110" s="1" t="s">
        <v>613</v>
      </c>
      <c r="B110" s="19">
        <v>15000000</v>
      </c>
    </row>
    <row r="111" spans="1:2" x14ac:dyDescent="0.3">
      <c r="A111" s="1" t="s">
        <v>1334</v>
      </c>
      <c r="B111" s="19">
        <v>4300000</v>
      </c>
    </row>
    <row r="112" spans="1:2" x14ac:dyDescent="0.3">
      <c r="A112" s="1" t="s">
        <v>2154</v>
      </c>
      <c r="B112" s="19">
        <v>8300000</v>
      </c>
    </row>
    <row r="113" spans="1:2" x14ac:dyDescent="0.3">
      <c r="A113" s="1" t="s">
        <v>576</v>
      </c>
      <c r="B113" s="19">
        <v>14250000</v>
      </c>
    </row>
    <row r="114" spans="1:2" x14ac:dyDescent="0.3">
      <c r="A114" s="1" t="s">
        <v>1278</v>
      </c>
      <c r="B114" s="19">
        <v>9500000</v>
      </c>
    </row>
    <row r="115" spans="1:2" x14ac:dyDescent="0.3">
      <c r="A115" s="1" t="s">
        <v>1996</v>
      </c>
      <c r="B115" s="19">
        <v>7700000</v>
      </c>
    </row>
    <row r="116" spans="1:2" x14ac:dyDescent="0.3">
      <c r="A116" s="1" t="s">
        <v>1944</v>
      </c>
      <c r="B116" s="19">
        <v>10200000</v>
      </c>
    </row>
    <row r="117" spans="1:2" x14ac:dyDescent="0.3">
      <c r="A117" s="1" t="s">
        <v>2182</v>
      </c>
      <c r="B117" s="19">
        <v>5100000</v>
      </c>
    </row>
    <row r="118" spans="1:2" x14ac:dyDescent="0.3">
      <c r="A118" s="1" t="s">
        <v>886</v>
      </c>
      <c r="B118" s="19">
        <v>10150000</v>
      </c>
    </row>
    <row r="119" spans="1:2" x14ac:dyDescent="0.3">
      <c r="A119" s="1" t="s">
        <v>1505</v>
      </c>
      <c r="B119" s="19">
        <v>5760000</v>
      </c>
    </row>
    <row r="120" spans="1:2" x14ac:dyDescent="0.3">
      <c r="A120" s="1" t="s">
        <v>2360</v>
      </c>
      <c r="B120" s="19">
        <v>16000000</v>
      </c>
    </row>
    <row r="121" spans="1:2" x14ac:dyDescent="0.3">
      <c r="A121" s="1" t="s">
        <v>1287</v>
      </c>
      <c r="B121" s="19">
        <v>10500000</v>
      </c>
    </row>
    <row r="122" spans="1:2" x14ac:dyDescent="0.3">
      <c r="A122" s="1" t="s">
        <v>543</v>
      </c>
      <c r="B122" s="19">
        <v>4700000</v>
      </c>
    </row>
    <row r="123" spans="1:2" x14ac:dyDescent="0.3">
      <c r="A123" s="1" t="s">
        <v>1205</v>
      </c>
      <c r="B123" s="19">
        <v>8100000</v>
      </c>
    </row>
    <row r="124" spans="1:2" x14ac:dyDescent="0.3">
      <c r="A124" s="1" t="s">
        <v>1416</v>
      </c>
      <c r="B124" s="19">
        <v>7500000</v>
      </c>
    </row>
    <row r="125" spans="1:2" x14ac:dyDescent="0.3">
      <c r="A125" s="1" t="s">
        <v>1046</v>
      </c>
      <c r="B125" s="19">
        <v>5700000</v>
      </c>
    </row>
    <row r="126" spans="1:2" x14ac:dyDescent="0.3">
      <c r="A126" s="1" t="s">
        <v>2351</v>
      </c>
      <c r="B126" s="19">
        <v>12500000</v>
      </c>
    </row>
    <row r="127" spans="1:2" x14ac:dyDescent="0.3">
      <c r="A127" s="1" t="s">
        <v>1935</v>
      </c>
      <c r="B127" s="19">
        <v>7700000</v>
      </c>
    </row>
    <row r="128" spans="1:2" x14ac:dyDescent="0.3">
      <c r="A128" s="1" t="s">
        <v>1884</v>
      </c>
      <c r="B128" s="19">
        <v>5650000</v>
      </c>
    </row>
    <row r="129" spans="1:2" x14ac:dyDescent="0.3">
      <c r="A129" s="1" t="s">
        <v>1443</v>
      </c>
      <c r="B129" s="19">
        <v>5600000</v>
      </c>
    </row>
    <row r="130" spans="1:2" x14ac:dyDescent="0.3">
      <c r="A130" s="1" t="s">
        <v>1738</v>
      </c>
      <c r="B130" s="19">
        <v>6500000</v>
      </c>
    </row>
    <row r="131" spans="1:2" x14ac:dyDescent="0.3">
      <c r="A131" s="1" t="s">
        <v>2272</v>
      </c>
      <c r="B131" s="19">
        <v>15500000</v>
      </c>
    </row>
    <row r="132" spans="1:2" x14ac:dyDescent="0.3">
      <c r="A132" s="1" t="s">
        <v>894</v>
      </c>
      <c r="B132" s="19">
        <v>10300000</v>
      </c>
    </row>
    <row r="133" spans="1:2" x14ac:dyDescent="0.3">
      <c r="A133" s="1" t="s">
        <v>606</v>
      </c>
      <c r="B133" s="19">
        <v>12000000</v>
      </c>
    </row>
    <row r="134" spans="1:2" x14ac:dyDescent="0.3">
      <c r="A134" s="1" t="s">
        <v>606</v>
      </c>
      <c r="B134" s="19">
        <v>12450000</v>
      </c>
    </row>
    <row r="135" spans="1:2" x14ac:dyDescent="0.3">
      <c r="A135" s="1" t="s">
        <v>1178</v>
      </c>
      <c r="B135" s="19">
        <v>5000000</v>
      </c>
    </row>
    <row r="136" spans="1:2" x14ac:dyDescent="0.3">
      <c r="A136" s="1" t="s">
        <v>2287</v>
      </c>
      <c r="B136" s="19">
        <v>9750000</v>
      </c>
    </row>
    <row r="137" spans="1:2" x14ac:dyDescent="0.3">
      <c r="A137" s="1" t="s">
        <v>2208</v>
      </c>
      <c r="B137" s="19">
        <v>7500000</v>
      </c>
    </row>
    <row r="138" spans="1:2" x14ac:dyDescent="0.3">
      <c r="A138" s="1" t="s">
        <v>2080</v>
      </c>
      <c r="B138" s="19">
        <v>14000000</v>
      </c>
    </row>
    <row r="139" spans="1:2" x14ac:dyDescent="0.3">
      <c r="A139" s="1" t="s">
        <v>1593</v>
      </c>
      <c r="B139" s="19">
        <v>12500000</v>
      </c>
    </row>
    <row r="140" spans="1:2" x14ac:dyDescent="0.3">
      <c r="A140" s="1" t="s">
        <v>605</v>
      </c>
      <c r="B140" s="19">
        <v>11300000</v>
      </c>
    </row>
    <row r="141" spans="1:2" x14ac:dyDescent="0.3">
      <c r="A141" s="1" t="s">
        <v>1149</v>
      </c>
      <c r="B141" s="19">
        <v>6700000</v>
      </c>
    </row>
    <row r="142" spans="1:2" x14ac:dyDescent="0.3">
      <c r="A142" s="1" t="s">
        <v>1646</v>
      </c>
      <c r="B142" s="19">
        <v>11500000</v>
      </c>
    </row>
    <row r="143" spans="1:2" x14ac:dyDescent="0.3">
      <c r="A143" s="1" t="s">
        <v>1007</v>
      </c>
      <c r="B143" s="19">
        <v>13300000</v>
      </c>
    </row>
    <row r="144" spans="1:2" x14ac:dyDescent="0.3">
      <c r="A144" s="1" t="s">
        <v>2014</v>
      </c>
      <c r="B144" s="19">
        <v>7000000</v>
      </c>
    </row>
    <row r="145" spans="1:2" x14ac:dyDescent="0.3">
      <c r="A145" s="1" t="s">
        <v>4239</v>
      </c>
      <c r="B145" s="19">
        <v>8600000</v>
      </c>
    </row>
    <row r="146" spans="1:2" x14ac:dyDescent="0.3">
      <c r="A146" s="1" t="s">
        <v>2239</v>
      </c>
      <c r="B146" s="19">
        <v>5750000</v>
      </c>
    </row>
    <row r="147" spans="1:2" x14ac:dyDescent="0.3">
      <c r="A147" s="1" t="s">
        <v>1138</v>
      </c>
      <c r="B147" s="19">
        <v>6500000</v>
      </c>
    </row>
    <row r="148" spans="1:2" x14ac:dyDescent="0.3">
      <c r="A148" s="1" t="s">
        <v>1956</v>
      </c>
      <c r="B148" s="19">
        <v>9000000</v>
      </c>
    </row>
    <row r="149" spans="1:2" x14ac:dyDescent="0.3">
      <c r="A149" s="1" t="s">
        <v>1140</v>
      </c>
      <c r="B149" s="19">
        <v>3000000</v>
      </c>
    </row>
    <row r="150" spans="1:2" x14ac:dyDescent="0.3">
      <c r="A150" s="1" t="s">
        <v>2055</v>
      </c>
      <c r="B150" s="19">
        <v>5700000</v>
      </c>
    </row>
    <row r="151" spans="1:2" x14ac:dyDescent="0.3">
      <c r="A151" s="1" t="s">
        <v>372</v>
      </c>
      <c r="B151" s="19">
        <v>12000000</v>
      </c>
    </row>
    <row r="152" spans="1:2" x14ac:dyDescent="0.3">
      <c r="A152" s="1" t="s">
        <v>1632</v>
      </c>
      <c r="B152" s="19">
        <v>4500000</v>
      </c>
    </row>
    <row r="153" spans="1:2" x14ac:dyDescent="0.3">
      <c r="A153" s="1" t="s">
        <v>1547</v>
      </c>
      <c r="B153" s="19">
        <v>5800000</v>
      </c>
    </row>
    <row r="154" spans="1:2" x14ac:dyDescent="0.3">
      <c r="A154" s="1" t="s">
        <v>691</v>
      </c>
      <c r="B154" s="19">
        <v>11500000</v>
      </c>
    </row>
    <row r="155" spans="1:2" x14ac:dyDescent="0.3">
      <c r="A155" s="1" t="s">
        <v>1132</v>
      </c>
      <c r="B155" s="19">
        <v>10000000</v>
      </c>
    </row>
    <row r="156" spans="1:2" x14ac:dyDescent="0.3">
      <c r="A156" s="1" t="s">
        <v>1391</v>
      </c>
      <c r="B156" s="19">
        <v>9400000</v>
      </c>
    </row>
    <row r="157" spans="1:2" x14ac:dyDescent="0.3">
      <c r="A157" s="1" t="s">
        <v>1391</v>
      </c>
      <c r="B157" s="19">
        <v>9700000</v>
      </c>
    </row>
    <row r="158" spans="1:2" x14ac:dyDescent="0.3">
      <c r="A158" s="1" t="s">
        <v>2131</v>
      </c>
      <c r="B158" s="19">
        <v>5500000</v>
      </c>
    </row>
    <row r="159" spans="1:2" x14ac:dyDescent="0.3">
      <c r="A159" s="1" t="s">
        <v>2203</v>
      </c>
      <c r="B159" s="19">
        <v>13000000</v>
      </c>
    </row>
    <row r="160" spans="1:2" x14ac:dyDescent="0.3">
      <c r="A160" s="1" t="s">
        <v>1587</v>
      </c>
      <c r="B160" s="19">
        <v>4510000</v>
      </c>
    </row>
    <row r="161" spans="1:2" x14ac:dyDescent="0.3">
      <c r="A161" s="1" t="s">
        <v>269</v>
      </c>
      <c r="B161" s="19">
        <v>8800000</v>
      </c>
    </row>
    <row r="162" spans="1:2" x14ac:dyDescent="0.3">
      <c r="A162" s="1" t="s">
        <v>2337</v>
      </c>
      <c r="B162" s="19">
        <v>14500000</v>
      </c>
    </row>
    <row r="163" spans="1:2" x14ac:dyDescent="0.3">
      <c r="A163" s="1" t="s">
        <v>1453</v>
      </c>
      <c r="B163" s="19">
        <v>11000000</v>
      </c>
    </row>
    <row r="164" spans="1:2" x14ac:dyDescent="0.3">
      <c r="A164" s="1" t="s">
        <v>2201</v>
      </c>
      <c r="B164" s="19">
        <v>13236000</v>
      </c>
    </row>
    <row r="165" spans="1:2" x14ac:dyDescent="0.3">
      <c r="A165" s="1" t="s">
        <v>2091</v>
      </c>
      <c r="B165" s="19">
        <v>4300000</v>
      </c>
    </row>
    <row r="166" spans="1:2" x14ac:dyDescent="0.3">
      <c r="A166" s="1" t="s">
        <v>357</v>
      </c>
      <c r="B166" s="19">
        <v>5200000</v>
      </c>
    </row>
    <row r="167" spans="1:2" x14ac:dyDescent="0.3">
      <c r="A167" s="1" t="s">
        <v>357</v>
      </c>
      <c r="B167" s="19">
        <v>7690000</v>
      </c>
    </row>
    <row r="168" spans="1:2" x14ac:dyDescent="0.3">
      <c r="A168" s="1" t="s">
        <v>682</v>
      </c>
      <c r="B168" s="19">
        <v>5000000</v>
      </c>
    </row>
    <row r="169" spans="1:2" x14ac:dyDescent="0.3">
      <c r="A169" s="1" t="s">
        <v>533</v>
      </c>
      <c r="B169" s="19">
        <v>5500000</v>
      </c>
    </row>
    <row r="170" spans="1:2" x14ac:dyDescent="0.3">
      <c r="A170" s="1" t="s">
        <v>2374</v>
      </c>
      <c r="B170" s="19">
        <v>17700000</v>
      </c>
    </row>
    <row r="171" spans="1:2" x14ac:dyDescent="0.3">
      <c r="A171" s="1" t="s">
        <v>1405</v>
      </c>
      <c r="B171" s="19">
        <v>11500000</v>
      </c>
    </row>
    <row r="172" spans="1:2" x14ac:dyDescent="0.3">
      <c r="A172" s="1" t="s">
        <v>497</v>
      </c>
      <c r="B172" s="19">
        <v>7000000</v>
      </c>
    </row>
    <row r="173" spans="1:2" x14ac:dyDescent="0.3">
      <c r="A173" s="1" t="s">
        <v>2243</v>
      </c>
      <c r="B173" s="19">
        <v>27500000</v>
      </c>
    </row>
    <row r="174" spans="1:2" x14ac:dyDescent="0.3">
      <c r="A174" s="1" t="s">
        <v>1056</v>
      </c>
      <c r="B174" s="19">
        <v>8200000</v>
      </c>
    </row>
    <row r="175" spans="1:2" x14ac:dyDescent="0.3">
      <c r="A175" s="1" t="s">
        <v>361</v>
      </c>
      <c r="B175" s="19">
        <v>5900000</v>
      </c>
    </row>
    <row r="176" spans="1:2" x14ac:dyDescent="0.3">
      <c r="A176" s="1" t="s">
        <v>930</v>
      </c>
      <c r="B176" s="19">
        <v>9200000</v>
      </c>
    </row>
    <row r="177" spans="1:2" x14ac:dyDescent="0.3">
      <c r="A177" s="1" t="s">
        <v>819</v>
      </c>
      <c r="B177" s="19">
        <v>8150000</v>
      </c>
    </row>
    <row r="178" spans="1:2" x14ac:dyDescent="0.3">
      <c r="A178" s="1" t="s">
        <v>1997</v>
      </c>
      <c r="B178" s="19">
        <v>10000000</v>
      </c>
    </row>
    <row r="179" spans="1:2" x14ac:dyDescent="0.3">
      <c r="A179" s="1" t="s">
        <v>1555</v>
      </c>
      <c r="B179" s="19">
        <v>15000000</v>
      </c>
    </row>
    <row r="180" spans="1:2" x14ac:dyDescent="0.3">
      <c r="A180" s="1" t="s">
        <v>2079</v>
      </c>
      <c r="B180" s="19">
        <v>7000000</v>
      </c>
    </row>
    <row r="181" spans="1:2" x14ac:dyDescent="0.3">
      <c r="A181" s="1" t="s">
        <v>903</v>
      </c>
      <c r="B181" s="19">
        <v>18000000</v>
      </c>
    </row>
    <row r="182" spans="1:2" x14ac:dyDescent="0.3">
      <c r="A182" s="1" t="s">
        <v>1851</v>
      </c>
      <c r="B182" s="19">
        <v>13000000</v>
      </c>
    </row>
    <row r="183" spans="1:2" x14ac:dyDescent="0.3">
      <c r="A183" s="1" t="s">
        <v>984</v>
      </c>
      <c r="B183" s="19">
        <v>5800000</v>
      </c>
    </row>
    <row r="184" spans="1:2" x14ac:dyDescent="0.3">
      <c r="A184" s="1" t="s">
        <v>1341</v>
      </c>
      <c r="B184" s="19">
        <v>9500000</v>
      </c>
    </row>
    <row r="185" spans="1:2" x14ac:dyDescent="0.3">
      <c r="A185" s="1" t="s">
        <v>2048</v>
      </c>
      <c r="B185" s="19">
        <v>10200000</v>
      </c>
    </row>
    <row r="186" spans="1:2" x14ac:dyDescent="0.3">
      <c r="A186" s="1" t="s">
        <v>1899</v>
      </c>
      <c r="B186" s="19">
        <v>9000000</v>
      </c>
    </row>
    <row r="187" spans="1:2" x14ac:dyDescent="0.3">
      <c r="A187" s="1" t="s">
        <v>2040</v>
      </c>
      <c r="B187" s="19">
        <v>10000000</v>
      </c>
    </row>
    <row r="188" spans="1:2" x14ac:dyDescent="0.3">
      <c r="A188" s="1" t="s">
        <v>2364</v>
      </c>
      <c r="B188" s="19">
        <v>6200000</v>
      </c>
    </row>
    <row r="189" spans="1:2" x14ac:dyDescent="0.3">
      <c r="A189" s="1" t="s">
        <v>1053</v>
      </c>
      <c r="B189" s="19">
        <v>16500000</v>
      </c>
    </row>
    <row r="190" spans="1:2" x14ac:dyDescent="0.3">
      <c r="A190" s="1" t="s">
        <v>1053</v>
      </c>
      <c r="B190" s="19">
        <v>17112370</v>
      </c>
    </row>
    <row r="191" spans="1:2" x14ac:dyDescent="0.3">
      <c r="A191" s="1" t="s">
        <v>652</v>
      </c>
      <c r="B191" s="19">
        <v>9400000</v>
      </c>
    </row>
    <row r="192" spans="1:2" x14ac:dyDescent="0.3">
      <c r="A192" s="1" t="s">
        <v>2251</v>
      </c>
      <c r="B192" s="19">
        <v>9900000</v>
      </c>
    </row>
    <row r="193" spans="1:2" x14ac:dyDescent="0.3">
      <c r="A193" s="1" t="s">
        <v>2081</v>
      </c>
      <c r="B193" s="19">
        <v>7500000</v>
      </c>
    </row>
    <row r="194" spans="1:2" x14ac:dyDescent="0.3">
      <c r="A194" s="1" t="s">
        <v>1548</v>
      </c>
      <c r="B194" s="19">
        <v>9500000</v>
      </c>
    </row>
    <row r="195" spans="1:2" x14ac:dyDescent="0.3">
      <c r="A195" s="1" t="s">
        <v>2006</v>
      </c>
      <c r="B195" s="19">
        <v>11000000</v>
      </c>
    </row>
    <row r="196" spans="1:2" x14ac:dyDescent="0.3">
      <c r="A196" s="1" t="s">
        <v>1926</v>
      </c>
      <c r="B196" s="19">
        <v>6800000</v>
      </c>
    </row>
    <row r="197" spans="1:2" x14ac:dyDescent="0.3">
      <c r="A197" s="1" t="s">
        <v>1478</v>
      </c>
      <c r="B197" s="19">
        <v>22500000</v>
      </c>
    </row>
    <row r="198" spans="1:2" x14ac:dyDescent="0.3">
      <c r="A198" s="1" t="s">
        <v>1273</v>
      </c>
      <c r="B198" s="19">
        <v>6500000</v>
      </c>
    </row>
    <row r="199" spans="1:2" x14ac:dyDescent="0.3">
      <c r="A199" s="1" t="s">
        <v>1963</v>
      </c>
      <c r="B199" s="19">
        <v>10500000</v>
      </c>
    </row>
    <row r="200" spans="1:2" x14ac:dyDescent="0.3">
      <c r="A200" s="1" t="s">
        <v>2213</v>
      </c>
      <c r="B200" s="19">
        <v>9000000</v>
      </c>
    </row>
    <row r="201" spans="1:2" x14ac:dyDescent="0.3">
      <c r="A201" s="1" t="s">
        <v>128</v>
      </c>
      <c r="B201" s="19">
        <v>18000000</v>
      </c>
    </row>
    <row r="202" spans="1:2" x14ac:dyDescent="0.3">
      <c r="A202" s="1" t="s">
        <v>1734</v>
      </c>
      <c r="B202" s="19">
        <v>12500000</v>
      </c>
    </row>
    <row r="203" spans="1:2" x14ac:dyDescent="0.3">
      <c r="A203" s="1" t="s">
        <v>672</v>
      </c>
      <c r="B203" s="19">
        <v>6900000</v>
      </c>
    </row>
    <row r="204" spans="1:2" x14ac:dyDescent="0.3">
      <c r="A204" s="1" t="s">
        <v>1760</v>
      </c>
      <c r="B204" s="19">
        <v>6500000</v>
      </c>
    </row>
    <row r="205" spans="1:2" x14ac:dyDescent="0.3">
      <c r="A205" s="1" t="s">
        <v>1023</v>
      </c>
      <c r="B205" s="19">
        <v>7000000</v>
      </c>
    </row>
    <row r="206" spans="1:2" x14ac:dyDescent="0.3">
      <c r="A206" s="1" t="s">
        <v>1937</v>
      </c>
      <c r="B206" s="19">
        <v>5150000</v>
      </c>
    </row>
    <row r="207" spans="1:2" x14ac:dyDescent="0.3">
      <c r="A207" s="1" t="s">
        <v>2144</v>
      </c>
      <c r="B207" s="19">
        <v>11500000</v>
      </c>
    </row>
    <row r="208" spans="1:2" x14ac:dyDescent="0.3">
      <c r="A208" s="1" t="s">
        <v>1753</v>
      </c>
      <c r="B208" s="19">
        <v>8500000</v>
      </c>
    </row>
    <row r="209" spans="1:2" x14ac:dyDescent="0.3">
      <c r="A209" s="1" t="s">
        <v>1900</v>
      </c>
      <c r="B209" s="19">
        <v>13000000</v>
      </c>
    </row>
    <row r="210" spans="1:2" x14ac:dyDescent="0.3">
      <c r="A210" s="1" t="s">
        <v>2013</v>
      </c>
      <c r="B210" s="19">
        <v>10000000</v>
      </c>
    </row>
    <row r="211" spans="1:2" x14ac:dyDescent="0.3">
      <c r="A211" s="1" t="s">
        <v>1665</v>
      </c>
      <c r="B211" s="19">
        <v>8000000</v>
      </c>
    </row>
    <row r="212" spans="1:2" x14ac:dyDescent="0.3">
      <c r="A212" s="1" t="s">
        <v>1561</v>
      </c>
      <c r="B212" s="19">
        <v>7000000</v>
      </c>
    </row>
    <row r="213" spans="1:2" x14ac:dyDescent="0.3">
      <c r="A213" s="1" t="s">
        <v>2043</v>
      </c>
      <c r="B213" s="19">
        <v>12500000</v>
      </c>
    </row>
    <row r="214" spans="1:2" x14ac:dyDescent="0.3">
      <c r="A214" s="1" t="s">
        <v>751</v>
      </c>
      <c r="B214" s="19">
        <v>6000000</v>
      </c>
    </row>
    <row r="215" spans="1:2" x14ac:dyDescent="0.3">
      <c r="A215" s="1" t="s">
        <v>2350</v>
      </c>
      <c r="B215" s="19">
        <v>6000000</v>
      </c>
    </row>
    <row r="216" spans="1:2" x14ac:dyDescent="0.3">
      <c r="A216" s="1" t="s">
        <v>1954</v>
      </c>
      <c r="B216" s="19">
        <v>12300000</v>
      </c>
    </row>
    <row r="217" spans="1:2" x14ac:dyDescent="0.3">
      <c r="A217" s="1" t="s">
        <v>476</v>
      </c>
      <c r="B217" s="19">
        <v>4900000</v>
      </c>
    </row>
    <row r="218" spans="1:2" x14ac:dyDescent="0.3">
      <c r="A218" s="1" t="s">
        <v>514</v>
      </c>
      <c r="B218" s="19">
        <v>7300000</v>
      </c>
    </row>
    <row r="219" spans="1:2" x14ac:dyDescent="0.3">
      <c r="A219" s="1" t="s">
        <v>1948</v>
      </c>
      <c r="B219" s="19">
        <v>4000000</v>
      </c>
    </row>
    <row r="220" spans="1:2" x14ac:dyDescent="0.3">
      <c r="A220" s="1" t="s">
        <v>1797</v>
      </c>
      <c r="B220" s="19">
        <v>5200000</v>
      </c>
    </row>
    <row r="221" spans="1:2" x14ac:dyDescent="0.3">
      <c r="A221" s="1" t="s">
        <v>2104</v>
      </c>
      <c r="B221" s="19">
        <v>5800000</v>
      </c>
    </row>
    <row r="222" spans="1:2" x14ac:dyDescent="0.3">
      <c r="A222" s="1" t="s">
        <v>1754</v>
      </c>
      <c r="B222" s="19">
        <v>7500000</v>
      </c>
    </row>
    <row r="223" spans="1:2" x14ac:dyDescent="0.3">
      <c r="A223" s="1" t="s">
        <v>1306</v>
      </c>
      <c r="B223" s="19">
        <v>15000000</v>
      </c>
    </row>
    <row r="224" spans="1:2" x14ac:dyDescent="0.3">
      <c r="A224" s="1" t="s">
        <v>2061</v>
      </c>
      <c r="B224" s="19">
        <v>5800000</v>
      </c>
    </row>
    <row r="225" spans="1:2" x14ac:dyDescent="0.3">
      <c r="A225" s="1" t="s">
        <v>1097</v>
      </c>
      <c r="B225" s="19">
        <v>5800000</v>
      </c>
    </row>
    <row r="226" spans="1:2" x14ac:dyDescent="0.3">
      <c r="A226" s="1" t="s">
        <v>1777</v>
      </c>
      <c r="B226" s="19">
        <v>9300000</v>
      </c>
    </row>
    <row r="227" spans="1:2" x14ac:dyDescent="0.3">
      <c r="A227" s="1" t="s">
        <v>726</v>
      </c>
      <c r="B227" s="19">
        <v>11500000</v>
      </c>
    </row>
    <row r="228" spans="1:2" x14ac:dyDescent="0.3">
      <c r="A228" s="1" t="s">
        <v>2118</v>
      </c>
      <c r="B228" s="19">
        <v>4000000</v>
      </c>
    </row>
    <row r="229" spans="1:2" x14ac:dyDescent="0.3">
      <c r="A229" s="1" t="s">
        <v>1642</v>
      </c>
      <c r="B229" s="19">
        <v>5200000</v>
      </c>
    </row>
    <row r="230" spans="1:2" x14ac:dyDescent="0.3">
      <c r="A230" s="1" t="s">
        <v>1597</v>
      </c>
      <c r="B230" s="19">
        <v>4500000</v>
      </c>
    </row>
    <row r="231" spans="1:2" x14ac:dyDescent="0.3">
      <c r="A231" s="1" t="s">
        <v>1710</v>
      </c>
      <c r="B231" s="19">
        <v>4900000</v>
      </c>
    </row>
    <row r="232" spans="1:2" x14ac:dyDescent="0.3">
      <c r="A232" s="1" t="s">
        <v>1355</v>
      </c>
      <c r="B232" s="19">
        <v>6500000</v>
      </c>
    </row>
    <row r="233" spans="1:2" x14ac:dyDescent="0.3">
      <c r="A233" s="1" t="s">
        <v>685</v>
      </c>
      <c r="B233" s="19">
        <v>4900000</v>
      </c>
    </row>
    <row r="234" spans="1:2" x14ac:dyDescent="0.3">
      <c r="A234" s="1" t="s">
        <v>1735</v>
      </c>
      <c r="B234" s="19">
        <v>4600000</v>
      </c>
    </row>
    <row r="235" spans="1:2" x14ac:dyDescent="0.3">
      <c r="A235" s="1" t="s">
        <v>662</v>
      </c>
      <c r="B235" s="19">
        <v>6450000</v>
      </c>
    </row>
    <row r="236" spans="1:2" x14ac:dyDescent="0.3">
      <c r="A236" s="1" t="s">
        <v>1877</v>
      </c>
      <c r="B236" s="19">
        <v>13100000</v>
      </c>
    </row>
    <row r="237" spans="1:2" x14ac:dyDescent="0.3">
      <c r="A237" s="1" t="s">
        <v>2356</v>
      </c>
      <c r="B237" s="19">
        <v>5500000</v>
      </c>
    </row>
    <row r="238" spans="1:2" x14ac:dyDescent="0.3">
      <c r="A238" s="1" t="s">
        <v>1947</v>
      </c>
      <c r="B238" s="19">
        <v>4300000</v>
      </c>
    </row>
    <row r="239" spans="1:2" x14ac:dyDescent="0.3">
      <c r="A239" s="1" t="s">
        <v>2339</v>
      </c>
      <c r="B239" s="19">
        <v>9000000</v>
      </c>
    </row>
    <row r="240" spans="1:2" x14ac:dyDescent="0.3">
      <c r="A240" s="1" t="s">
        <v>907</v>
      </c>
      <c r="B240" s="19">
        <v>4800000</v>
      </c>
    </row>
    <row r="241" spans="1:2" x14ac:dyDescent="0.3">
      <c r="A241" s="1" t="s">
        <v>1941</v>
      </c>
      <c r="B241" s="19">
        <v>4600000</v>
      </c>
    </row>
    <row r="242" spans="1:2" x14ac:dyDescent="0.3">
      <c r="A242" s="1" t="s">
        <v>1657</v>
      </c>
      <c r="B242" s="19">
        <v>7700000</v>
      </c>
    </row>
    <row r="243" spans="1:2" x14ac:dyDescent="0.3">
      <c r="A243" s="1" t="s">
        <v>1594</v>
      </c>
      <c r="B243" s="19">
        <v>12500000</v>
      </c>
    </row>
    <row r="244" spans="1:2" x14ac:dyDescent="0.3">
      <c r="A244" s="1" t="s">
        <v>1892</v>
      </c>
      <c r="B244" s="19">
        <v>9500000</v>
      </c>
    </row>
    <row r="245" spans="1:2" x14ac:dyDescent="0.3">
      <c r="A245" s="1" t="s">
        <v>934</v>
      </c>
      <c r="B245" s="19">
        <v>5700000</v>
      </c>
    </row>
    <row r="246" spans="1:2" x14ac:dyDescent="0.3">
      <c r="A246" s="1" t="s">
        <v>1557</v>
      </c>
      <c r="B246" s="19">
        <v>5200000</v>
      </c>
    </row>
    <row r="247" spans="1:2" x14ac:dyDescent="0.3">
      <c r="A247" s="1" t="s">
        <v>461</v>
      </c>
      <c r="B247" s="19">
        <v>5500000</v>
      </c>
    </row>
    <row r="248" spans="1:2" x14ac:dyDescent="0.3">
      <c r="A248" s="1" t="s">
        <v>461</v>
      </c>
      <c r="B248" s="19">
        <v>6000000</v>
      </c>
    </row>
    <row r="249" spans="1:2" x14ac:dyDescent="0.3">
      <c r="A249" s="1" t="s">
        <v>461</v>
      </c>
      <c r="B249" s="19">
        <v>6100000</v>
      </c>
    </row>
    <row r="250" spans="1:2" x14ac:dyDescent="0.3">
      <c r="A250" s="1" t="s">
        <v>2372</v>
      </c>
      <c r="B250" s="19">
        <v>11000000</v>
      </c>
    </row>
    <row r="251" spans="1:2" x14ac:dyDescent="0.3">
      <c r="A251" s="1" t="s">
        <v>492</v>
      </c>
      <c r="B251" s="19">
        <v>8000000</v>
      </c>
    </row>
    <row r="252" spans="1:2" x14ac:dyDescent="0.3">
      <c r="A252" s="1" t="s">
        <v>1903</v>
      </c>
      <c r="B252" s="19">
        <v>10000000</v>
      </c>
    </row>
    <row r="253" spans="1:2" x14ac:dyDescent="0.3">
      <c r="A253" s="1" t="s">
        <v>2188</v>
      </c>
      <c r="B253" s="19">
        <v>20000000</v>
      </c>
    </row>
    <row r="254" spans="1:2" x14ac:dyDescent="0.3">
      <c r="A254" s="1" t="s">
        <v>2125</v>
      </c>
      <c r="B254" s="19">
        <v>4400000</v>
      </c>
    </row>
    <row r="255" spans="1:2" x14ac:dyDescent="0.3">
      <c r="A255" s="1" t="s">
        <v>2123</v>
      </c>
      <c r="B255" s="19">
        <v>14000000</v>
      </c>
    </row>
    <row r="256" spans="1:2" x14ac:dyDescent="0.3">
      <c r="A256" s="1" t="s">
        <v>1624</v>
      </c>
      <c r="B256" s="19">
        <v>8300000</v>
      </c>
    </row>
    <row r="257" spans="1:2" x14ac:dyDescent="0.3">
      <c r="A257" s="1" t="s">
        <v>2149</v>
      </c>
      <c r="B257" s="19">
        <v>11200000</v>
      </c>
    </row>
    <row r="258" spans="1:2" x14ac:dyDescent="0.3">
      <c r="A258" s="1" t="s">
        <v>2156</v>
      </c>
      <c r="B258" s="19">
        <v>8400000</v>
      </c>
    </row>
    <row r="259" spans="1:2" x14ac:dyDescent="0.3">
      <c r="A259" s="1" t="s">
        <v>6665</v>
      </c>
      <c r="B259" s="19">
        <v>9800000</v>
      </c>
    </row>
    <row r="260" spans="1:2" x14ac:dyDescent="0.3">
      <c r="A260" s="1" t="s">
        <v>1709</v>
      </c>
      <c r="B260" s="19">
        <v>6200000</v>
      </c>
    </row>
    <row r="261" spans="1:2" x14ac:dyDescent="0.3">
      <c r="A261" s="1" t="s">
        <v>2222</v>
      </c>
      <c r="B261" s="19">
        <v>7000000</v>
      </c>
    </row>
    <row r="262" spans="1:2" x14ac:dyDescent="0.3">
      <c r="A262" s="1" t="s">
        <v>2121</v>
      </c>
      <c r="B262" s="19">
        <v>19000000</v>
      </c>
    </row>
    <row r="263" spans="1:2" x14ac:dyDescent="0.3">
      <c r="A263" s="1" t="s">
        <v>1500</v>
      </c>
      <c r="B263" s="19">
        <v>4200000</v>
      </c>
    </row>
    <row r="264" spans="1:2" x14ac:dyDescent="0.3">
      <c r="A264" s="1" t="s">
        <v>1894</v>
      </c>
      <c r="B264" s="19">
        <v>19500000</v>
      </c>
    </row>
    <row r="265" spans="1:2" x14ac:dyDescent="0.3">
      <c r="A265" s="1" t="s">
        <v>1808</v>
      </c>
      <c r="B265" s="19">
        <v>8000000</v>
      </c>
    </row>
    <row r="266" spans="1:2" x14ac:dyDescent="0.3">
      <c r="A266" s="1" t="s">
        <v>2276</v>
      </c>
      <c r="B266" s="19">
        <v>14000000</v>
      </c>
    </row>
    <row r="267" spans="1:2" x14ac:dyDescent="0.3">
      <c r="A267" s="1" t="s">
        <v>709</v>
      </c>
      <c r="B267" s="19">
        <v>9500000</v>
      </c>
    </row>
    <row r="268" spans="1:2" x14ac:dyDescent="0.3">
      <c r="A268" s="1" t="s">
        <v>1556</v>
      </c>
      <c r="B268" s="19">
        <v>8000000</v>
      </c>
    </row>
    <row r="269" spans="1:2" x14ac:dyDescent="0.3">
      <c r="A269" s="1" t="s">
        <v>1134</v>
      </c>
      <c r="B269" s="19">
        <v>7200000</v>
      </c>
    </row>
    <row r="270" spans="1:2" x14ac:dyDescent="0.3">
      <c r="A270" s="1" t="s">
        <v>435</v>
      </c>
      <c r="B270" s="19">
        <v>10900000</v>
      </c>
    </row>
    <row r="271" spans="1:2" x14ac:dyDescent="0.3">
      <c r="A271" s="1" t="s">
        <v>2220</v>
      </c>
      <c r="B271" s="19">
        <v>13000000</v>
      </c>
    </row>
    <row r="272" spans="1:2" x14ac:dyDescent="0.3">
      <c r="A272" s="1" t="s">
        <v>368</v>
      </c>
      <c r="B272" s="19">
        <v>7700000</v>
      </c>
    </row>
    <row r="273" spans="1:2" x14ac:dyDescent="0.3">
      <c r="A273" s="1" t="s">
        <v>1756</v>
      </c>
      <c r="B273" s="19">
        <v>8800000</v>
      </c>
    </row>
    <row r="274" spans="1:2" x14ac:dyDescent="0.3">
      <c r="A274" s="1" t="s">
        <v>404</v>
      </c>
      <c r="B274" s="19">
        <v>5700000</v>
      </c>
    </row>
    <row r="275" spans="1:2" x14ac:dyDescent="0.3">
      <c r="A275" s="1" t="s">
        <v>2266</v>
      </c>
      <c r="B275" s="19">
        <v>6300000</v>
      </c>
    </row>
    <row r="276" spans="1:2" x14ac:dyDescent="0.3">
      <c r="A276" s="1" t="s">
        <v>3832</v>
      </c>
      <c r="B276" s="19">
        <v>7600000</v>
      </c>
    </row>
    <row r="277" spans="1:2" x14ac:dyDescent="0.3">
      <c r="A277" s="1" t="s">
        <v>1116</v>
      </c>
      <c r="B277" s="19">
        <v>4700000</v>
      </c>
    </row>
    <row r="278" spans="1:2" x14ac:dyDescent="0.3">
      <c r="A278" s="1" t="s">
        <v>2314</v>
      </c>
      <c r="B278" s="19">
        <v>7000000</v>
      </c>
    </row>
    <row r="279" spans="1:2" x14ac:dyDescent="0.3">
      <c r="A279" s="1" t="s">
        <v>1812</v>
      </c>
      <c r="B279" s="19">
        <v>6300000</v>
      </c>
    </row>
    <row r="280" spans="1:2" x14ac:dyDescent="0.3">
      <c r="A280" s="1" t="s">
        <v>1876</v>
      </c>
      <c r="B280" s="19">
        <v>7500000</v>
      </c>
    </row>
    <row r="281" spans="1:2" x14ac:dyDescent="0.3">
      <c r="A281" s="1" t="s">
        <v>2177</v>
      </c>
      <c r="B281" s="19">
        <v>7700000</v>
      </c>
    </row>
    <row r="282" spans="1:2" x14ac:dyDescent="0.3">
      <c r="A282" s="1" t="s">
        <v>2215</v>
      </c>
      <c r="B282" s="19">
        <v>6200000</v>
      </c>
    </row>
    <row r="283" spans="1:2" x14ac:dyDescent="0.3">
      <c r="A283" s="1" t="s">
        <v>1305</v>
      </c>
      <c r="B283" s="19">
        <v>11000000</v>
      </c>
    </row>
    <row r="284" spans="1:2" x14ac:dyDescent="0.3">
      <c r="A284" s="1" t="s">
        <v>2130</v>
      </c>
      <c r="B284" s="19">
        <v>8000000</v>
      </c>
    </row>
    <row r="285" spans="1:2" x14ac:dyDescent="0.3">
      <c r="A285" s="1" t="s">
        <v>2159</v>
      </c>
      <c r="B285" s="19">
        <v>10000000</v>
      </c>
    </row>
    <row r="286" spans="1:2" x14ac:dyDescent="0.3">
      <c r="A286" s="1" t="s">
        <v>3669</v>
      </c>
      <c r="B286" s="19">
        <v>8900000</v>
      </c>
    </row>
    <row r="287" spans="1:2" x14ac:dyDescent="0.3">
      <c r="A287" s="1" t="s">
        <v>2326</v>
      </c>
      <c r="B287" s="19">
        <v>11000000</v>
      </c>
    </row>
    <row r="288" spans="1:2" x14ac:dyDescent="0.3">
      <c r="A288" s="1" t="s">
        <v>1909</v>
      </c>
      <c r="B288" s="19">
        <v>13000000</v>
      </c>
    </row>
    <row r="289" spans="1:2" x14ac:dyDescent="0.3">
      <c r="A289" s="1" t="s">
        <v>2325</v>
      </c>
      <c r="B289" s="19">
        <v>15000000</v>
      </c>
    </row>
    <row r="290" spans="1:2" x14ac:dyDescent="0.3">
      <c r="A290" s="1" t="s">
        <v>523</v>
      </c>
      <c r="B290" s="19">
        <v>3700000</v>
      </c>
    </row>
    <row r="291" spans="1:2" x14ac:dyDescent="0.3">
      <c r="A291" s="1" t="s">
        <v>1660</v>
      </c>
      <c r="B291" s="19">
        <v>10150000</v>
      </c>
    </row>
    <row r="292" spans="1:2" x14ac:dyDescent="0.3">
      <c r="A292" s="1" t="s">
        <v>2205</v>
      </c>
      <c r="B292" s="19">
        <v>16000000</v>
      </c>
    </row>
    <row r="293" spans="1:2" x14ac:dyDescent="0.3">
      <c r="A293" s="1" t="s">
        <v>2095</v>
      </c>
      <c r="B293" s="19">
        <v>14200000</v>
      </c>
    </row>
    <row r="294" spans="1:2" x14ac:dyDescent="0.3">
      <c r="A294" s="1" t="s">
        <v>1901</v>
      </c>
      <c r="B294" s="19">
        <v>8500000</v>
      </c>
    </row>
    <row r="295" spans="1:2" x14ac:dyDescent="0.3">
      <c r="A295" s="1" t="s">
        <v>2315</v>
      </c>
      <c r="B295" s="19">
        <v>16500000</v>
      </c>
    </row>
    <row r="296" spans="1:2" x14ac:dyDescent="0.3">
      <c r="A296" s="1" t="s">
        <v>1638</v>
      </c>
      <c r="B296" s="19">
        <v>5500000</v>
      </c>
    </row>
    <row r="297" spans="1:2" x14ac:dyDescent="0.3">
      <c r="A297" s="1" t="s">
        <v>542</v>
      </c>
      <c r="B297" s="19">
        <v>4500000</v>
      </c>
    </row>
    <row r="298" spans="1:2" x14ac:dyDescent="0.3">
      <c r="A298" s="1" t="s">
        <v>2087</v>
      </c>
      <c r="B298" s="19">
        <v>16000000</v>
      </c>
    </row>
    <row r="299" spans="1:2" x14ac:dyDescent="0.3">
      <c r="A299" s="1" t="s">
        <v>1351</v>
      </c>
      <c r="B299" s="19">
        <v>7000000</v>
      </c>
    </row>
    <row r="300" spans="1:2" x14ac:dyDescent="0.3">
      <c r="A300" s="1" t="s">
        <v>1782</v>
      </c>
      <c r="B300" s="19">
        <v>9800000</v>
      </c>
    </row>
    <row r="301" spans="1:2" x14ac:dyDescent="0.3">
      <c r="A301" s="1" t="s">
        <v>1333</v>
      </c>
      <c r="B301" s="19">
        <v>10500000</v>
      </c>
    </row>
    <row r="302" spans="1:2" x14ac:dyDescent="0.3">
      <c r="A302" s="1" t="s">
        <v>1252</v>
      </c>
      <c r="B302" s="19">
        <v>10800000</v>
      </c>
    </row>
    <row r="303" spans="1:2" x14ac:dyDescent="0.3">
      <c r="A303" s="1" t="s">
        <v>2297</v>
      </c>
      <c r="B303" s="19">
        <v>13500000</v>
      </c>
    </row>
    <row r="304" spans="1:2" x14ac:dyDescent="0.3">
      <c r="A304" s="1" t="s">
        <v>2082</v>
      </c>
      <c r="B304" s="19">
        <v>13500000</v>
      </c>
    </row>
    <row r="305" spans="1:2" x14ac:dyDescent="0.3">
      <c r="A305" s="1" t="s">
        <v>1847</v>
      </c>
      <c r="B305" s="19">
        <v>10500000</v>
      </c>
    </row>
    <row r="306" spans="1:2" x14ac:dyDescent="0.3">
      <c r="A306" s="1" t="s">
        <v>1890</v>
      </c>
      <c r="B306" s="19">
        <v>4400000</v>
      </c>
    </row>
    <row r="307" spans="1:2" x14ac:dyDescent="0.3">
      <c r="A307" s="1" t="s">
        <v>1146</v>
      </c>
      <c r="B307" s="19">
        <v>23500000</v>
      </c>
    </row>
    <row r="308" spans="1:2" x14ac:dyDescent="0.3">
      <c r="A308" s="1" t="s">
        <v>1170</v>
      </c>
      <c r="B308" s="19">
        <v>5000000</v>
      </c>
    </row>
    <row r="309" spans="1:2" x14ac:dyDescent="0.3">
      <c r="A309" s="1" t="s">
        <v>1703</v>
      </c>
      <c r="B309" s="19">
        <v>18000000</v>
      </c>
    </row>
    <row r="310" spans="1:2" x14ac:dyDescent="0.3">
      <c r="A310" s="1" t="s">
        <v>1407</v>
      </c>
      <c r="B310" s="19">
        <v>5800000</v>
      </c>
    </row>
    <row r="311" spans="1:2" x14ac:dyDescent="0.3">
      <c r="A311" s="1" t="s">
        <v>822</v>
      </c>
      <c r="B311" s="19">
        <v>5200000</v>
      </c>
    </row>
    <row r="312" spans="1:2" x14ac:dyDescent="0.3">
      <c r="A312" s="1" t="s">
        <v>2047</v>
      </c>
      <c r="B312" s="19">
        <v>16300000</v>
      </c>
    </row>
    <row r="313" spans="1:2" x14ac:dyDescent="0.3">
      <c r="A313" s="1" t="s">
        <v>1431</v>
      </c>
      <c r="B313" s="19">
        <v>10100000</v>
      </c>
    </row>
    <row r="314" spans="1:2" x14ac:dyDescent="0.3">
      <c r="A314" s="1" t="s">
        <v>1431</v>
      </c>
      <c r="B314" s="19">
        <v>14000000</v>
      </c>
    </row>
    <row r="315" spans="1:2" x14ac:dyDescent="0.3">
      <c r="A315" s="1" t="s">
        <v>788</v>
      </c>
      <c r="B315" s="19">
        <v>14000000</v>
      </c>
    </row>
    <row r="316" spans="1:2" x14ac:dyDescent="0.3">
      <c r="A316" s="1" t="s">
        <v>1537</v>
      </c>
      <c r="B316" s="19">
        <v>14350000</v>
      </c>
    </row>
    <row r="317" spans="1:2" x14ac:dyDescent="0.3">
      <c r="A317" s="1" t="s">
        <v>2190</v>
      </c>
      <c r="B317" s="19">
        <v>7300000</v>
      </c>
    </row>
    <row r="318" spans="1:2" x14ac:dyDescent="0.3">
      <c r="A318" s="1" t="s">
        <v>997</v>
      </c>
      <c r="B318" s="19">
        <v>6500000</v>
      </c>
    </row>
    <row r="319" spans="1:2" x14ac:dyDescent="0.3">
      <c r="A319" s="1" t="s">
        <v>2341</v>
      </c>
      <c r="B319" s="19">
        <v>6600000</v>
      </c>
    </row>
    <row r="320" spans="1:2" x14ac:dyDescent="0.3">
      <c r="A320" s="1" t="s">
        <v>1507</v>
      </c>
      <c r="B320" s="19">
        <v>13800000</v>
      </c>
    </row>
    <row r="321" spans="1:2" x14ac:dyDescent="0.3">
      <c r="A321" s="1" t="s">
        <v>1160</v>
      </c>
      <c r="B321" s="19">
        <v>7700000</v>
      </c>
    </row>
    <row r="322" spans="1:2" x14ac:dyDescent="0.3">
      <c r="A322" s="1" t="s">
        <v>2068</v>
      </c>
      <c r="B322" s="19">
        <v>10000000</v>
      </c>
    </row>
    <row r="323" spans="1:2" x14ac:dyDescent="0.3">
      <c r="A323" s="1" t="s">
        <v>1527</v>
      </c>
      <c r="B323" s="19">
        <v>16300000</v>
      </c>
    </row>
    <row r="324" spans="1:2" x14ac:dyDescent="0.3">
      <c r="A324" s="1" t="s">
        <v>1780</v>
      </c>
      <c r="B324" s="19">
        <v>5000000</v>
      </c>
    </row>
    <row r="325" spans="1:2" x14ac:dyDescent="0.3">
      <c r="A325" s="1" t="s">
        <v>2050</v>
      </c>
      <c r="B325" s="19">
        <v>7000000</v>
      </c>
    </row>
    <row r="326" spans="1:2" x14ac:dyDescent="0.3">
      <c r="A326" s="1" t="s">
        <v>562</v>
      </c>
      <c r="B326" s="19">
        <v>5000000</v>
      </c>
    </row>
    <row r="327" spans="1:2" x14ac:dyDescent="0.3">
      <c r="A327" s="1" t="s">
        <v>550</v>
      </c>
      <c r="B327" s="19">
        <v>14000000</v>
      </c>
    </row>
    <row r="328" spans="1:2" x14ac:dyDescent="0.3">
      <c r="A328" s="1" t="s">
        <v>1950</v>
      </c>
      <c r="B328" s="19">
        <v>8000000</v>
      </c>
    </row>
    <row r="329" spans="1:2" x14ac:dyDescent="0.3">
      <c r="A329" s="1" t="s">
        <v>1285</v>
      </c>
      <c r="B329" s="19">
        <v>8400000</v>
      </c>
    </row>
    <row r="330" spans="1:2" x14ac:dyDescent="0.3">
      <c r="A330" s="1" t="s">
        <v>547</v>
      </c>
      <c r="B330" s="19">
        <v>9250000</v>
      </c>
    </row>
    <row r="331" spans="1:2" x14ac:dyDescent="0.3">
      <c r="A331" s="1" t="s">
        <v>816</v>
      </c>
      <c r="B331" s="19">
        <v>7240000</v>
      </c>
    </row>
    <row r="332" spans="1:2" x14ac:dyDescent="0.3">
      <c r="A332" s="1" t="s">
        <v>677</v>
      </c>
      <c r="B332" s="19">
        <v>15500000</v>
      </c>
    </row>
    <row r="333" spans="1:2" x14ac:dyDescent="0.3">
      <c r="A333" s="1" t="s">
        <v>2349</v>
      </c>
      <c r="B333" s="19">
        <v>18000000</v>
      </c>
    </row>
    <row r="334" spans="1:2" x14ac:dyDescent="0.3">
      <c r="A334" s="1" t="s">
        <v>2275</v>
      </c>
      <c r="B334" s="19">
        <v>12990000</v>
      </c>
    </row>
    <row r="335" spans="1:2" x14ac:dyDescent="0.3">
      <c r="A335" s="1" t="s">
        <v>399</v>
      </c>
      <c r="B335" s="19">
        <v>11500000</v>
      </c>
    </row>
    <row r="336" spans="1:2" x14ac:dyDescent="0.3">
      <c r="A336" s="1" t="s">
        <v>2293</v>
      </c>
      <c r="B336" s="19">
        <v>29000000</v>
      </c>
    </row>
    <row r="337" spans="1:2" x14ac:dyDescent="0.3">
      <c r="A337" s="1" t="s">
        <v>1015</v>
      </c>
      <c r="B337" s="19">
        <v>15800000</v>
      </c>
    </row>
    <row r="338" spans="1:2" x14ac:dyDescent="0.3">
      <c r="A338" s="1" t="s">
        <v>1684</v>
      </c>
      <c r="B338" s="19">
        <v>9400000</v>
      </c>
    </row>
    <row r="339" spans="1:2" x14ac:dyDescent="0.3">
      <c r="A339" s="1" t="s">
        <v>1662</v>
      </c>
      <c r="B339" s="19">
        <v>10500000</v>
      </c>
    </row>
    <row r="340" spans="1:2" x14ac:dyDescent="0.3">
      <c r="A340" s="1" t="s">
        <v>881</v>
      </c>
      <c r="B340" s="19">
        <v>11000000</v>
      </c>
    </row>
    <row r="341" spans="1:2" x14ac:dyDescent="0.3">
      <c r="A341" s="1" t="s">
        <v>1860</v>
      </c>
      <c r="B341" s="19">
        <v>4800000</v>
      </c>
    </row>
    <row r="342" spans="1:2" x14ac:dyDescent="0.3">
      <c r="A342" s="1" t="s">
        <v>1591</v>
      </c>
      <c r="B342" s="19">
        <v>5800000</v>
      </c>
    </row>
    <row r="343" spans="1:2" x14ac:dyDescent="0.3">
      <c r="A343" s="1" t="s">
        <v>1102</v>
      </c>
      <c r="B343" s="19">
        <v>5350000</v>
      </c>
    </row>
    <row r="344" spans="1:2" x14ac:dyDescent="0.3">
      <c r="A344" s="1" t="s">
        <v>1072</v>
      </c>
      <c r="B344" s="19">
        <v>11200000</v>
      </c>
    </row>
    <row r="345" spans="1:2" x14ac:dyDescent="0.3">
      <c r="A345" s="1" t="s">
        <v>1227</v>
      </c>
      <c r="B345" s="19">
        <v>13500000</v>
      </c>
    </row>
    <row r="346" spans="1:2" x14ac:dyDescent="0.3">
      <c r="A346" s="1" t="s">
        <v>1409</v>
      </c>
      <c r="B346" s="19">
        <v>7000000</v>
      </c>
    </row>
    <row r="347" spans="1:2" x14ac:dyDescent="0.3">
      <c r="A347" s="1" t="s">
        <v>2088</v>
      </c>
      <c r="B347" s="19">
        <v>6000000</v>
      </c>
    </row>
    <row r="348" spans="1:2" x14ac:dyDescent="0.3">
      <c r="A348" s="1" t="s">
        <v>1868</v>
      </c>
      <c r="B348" s="19">
        <v>4700000</v>
      </c>
    </row>
    <row r="349" spans="1:2" x14ac:dyDescent="0.3">
      <c r="A349" s="1" t="s">
        <v>604</v>
      </c>
      <c r="B349" s="19">
        <v>10600000</v>
      </c>
    </row>
    <row r="350" spans="1:2" x14ac:dyDescent="0.3">
      <c r="A350" s="1" t="s">
        <v>1281</v>
      </c>
      <c r="B350" s="19">
        <v>7400000</v>
      </c>
    </row>
    <row r="351" spans="1:2" x14ac:dyDescent="0.3">
      <c r="A351" s="1" t="s">
        <v>2336</v>
      </c>
      <c r="B351" s="19">
        <v>20000000</v>
      </c>
    </row>
    <row r="352" spans="1:2" x14ac:dyDescent="0.3">
      <c r="A352" s="1" t="s">
        <v>2062</v>
      </c>
      <c r="B352" s="19">
        <v>8200000</v>
      </c>
    </row>
    <row r="353" spans="1:2" x14ac:dyDescent="0.3">
      <c r="A353" s="1" t="s">
        <v>2256</v>
      </c>
      <c r="B353" s="19">
        <v>14500000</v>
      </c>
    </row>
    <row r="354" spans="1:2" x14ac:dyDescent="0.3">
      <c r="A354" s="1" t="s">
        <v>1783</v>
      </c>
      <c r="B354" s="19">
        <v>7000000</v>
      </c>
    </row>
    <row r="355" spans="1:2" x14ac:dyDescent="0.3">
      <c r="A355" s="1" t="s">
        <v>1986</v>
      </c>
      <c r="B355" s="19">
        <v>15000000</v>
      </c>
    </row>
    <row r="356" spans="1:2" x14ac:dyDescent="0.3">
      <c r="A356" s="1" t="s">
        <v>957</v>
      </c>
      <c r="B356" s="19">
        <v>10000000</v>
      </c>
    </row>
    <row r="357" spans="1:2" x14ac:dyDescent="0.3">
      <c r="A357" s="1" t="s">
        <v>1746</v>
      </c>
      <c r="B357" s="19">
        <v>5350000</v>
      </c>
    </row>
    <row r="358" spans="1:2" x14ac:dyDescent="0.3">
      <c r="A358" s="1" t="s">
        <v>2030</v>
      </c>
      <c r="B358" s="19">
        <v>13500000</v>
      </c>
    </row>
    <row r="359" spans="1:2" x14ac:dyDescent="0.3">
      <c r="A359" s="1" t="s">
        <v>1379</v>
      </c>
      <c r="B359" s="19">
        <v>5200000</v>
      </c>
    </row>
    <row r="360" spans="1:2" x14ac:dyDescent="0.3">
      <c r="A360" s="1" t="s">
        <v>1243</v>
      </c>
      <c r="B360" s="19">
        <v>8500000</v>
      </c>
    </row>
    <row r="361" spans="1:2" x14ac:dyDescent="0.3">
      <c r="A361" s="1" t="s">
        <v>2299</v>
      </c>
      <c r="B361" s="19">
        <v>18000000</v>
      </c>
    </row>
    <row r="362" spans="1:2" x14ac:dyDescent="0.3">
      <c r="A362" s="1" t="s">
        <v>1533</v>
      </c>
      <c r="B362" s="19">
        <v>6700000</v>
      </c>
    </row>
    <row r="363" spans="1:2" x14ac:dyDescent="0.3">
      <c r="A363" s="1" t="s">
        <v>2003</v>
      </c>
      <c r="B363" s="19">
        <v>15000000</v>
      </c>
    </row>
    <row r="364" spans="1:2" x14ac:dyDescent="0.3">
      <c r="A364" s="1" t="s">
        <v>849</v>
      </c>
      <c r="B364" s="19">
        <v>7000000</v>
      </c>
    </row>
    <row r="365" spans="1:2" x14ac:dyDescent="0.3">
      <c r="A365" s="1" t="s">
        <v>573</v>
      </c>
      <c r="B365" s="19">
        <v>10000000</v>
      </c>
    </row>
    <row r="366" spans="1:2" x14ac:dyDescent="0.3">
      <c r="A366" s="1" t="s">
        <v>2058</v>
      </c>
      <c r="B366" s="19">
        <v>6200000</v>
      </c>
    </row>
    <row r="367" spans="1:2" x14ac:dyDescent="0.3">
      <c r="A367" s="1" t="s">
        <v>895</v>
      </c>
      <c r="B367" s="19">
        <v>17500000</v>
      </c>
    </row>
    <row r="368" spans="1:2" x14ac:dyDescent="0.3">
      <c r="A368" s="1" t="s">
        <v>2126</v>
      </c>
      <c r="B368" s="19">
        <v>9000000</v>
      </c>
    </row>
    <row r="369" spans="1:2" x14ac:dyDescent="0.3">
      <c r="A369" s="1" t="s">
        <v>1314</v>
      </c>
      <c r="B369" s="19">
        <v>15000000</v>
      </c>
    </row>
    <row r="370" spans="1:2" x14ac:dyDescent="0.3">
      <c r="A370" s="1" t="s">
        <v>553</v>
      </c>
      <c r="B370" s="19">
        <v>7300000</v>
      </c>
    </row>
    <row r="371" spans="1:2" x14ac:dyDescent="0.3">
      <c r="A371" s="1" t="s">
        <v>870</v>
      </c>
      <c r="B371" s="19">
        <v>6700000</v>
      </c>
    </row>
    <row r="372" spans="1:2" x14ac:dyDescent="0.3">
      <c r="A372" s="1" t="s">
        <v>1567</v>
      </c>
      <c r="B372" s="19">
        <v>9200000</v>
      </c>
    </row>
    <row r="373" spans="1:2" x14ac:dyDescent="0.3">
      <c r="A373" s="1" t="s">
        <v>1325</v>
      </c>
      <c r="B373" s="19">
        <v>4500000</v>
      </c>
    </row>
    <row r="374" spans="1:2" x14ac:dyDescent="0.3">
      <c r="A374" s="1" t="s">
        <v>2025</v>
      </c>
      <c r="B374" s="19">
        <v>22200000</v>
      </c>
    </row>
    <row r="375" spans="1:2" x14ac:dyDescent="0.3">
      <c r="A375" s="1" t="s">
        <v>1284</v>
      </c>
      <c r="B375" s="19">
        <v>10900000</v>
      </c>
    </row>
    <row r="376" spans="1:2" x14ac:dyDescent="0.3">
      <c r="A376" s="1" t="s">
        <v>2140</v>
      </c>
      <c r="B376" s="19">
        <v>13500000</v>
      </c>
    </row>
    <row r="377" spans="1:2" x14ac:dyDescent="0.3">
      <c r="A377" s="1" t="s">
        <v>2128</v>
      </c>
      <c r="B377" s="19">
        <v>19700000</v>
      </c>
    </row>
    <row r="378" spans="1:2" x14ac:dyDescent="0.3">
      <c r="A378" s="1" t="s">
        <v>1764</v>
      </c>
      <c r="B378" s="19">
        <v>11500000</v>
      </c>
    </row>
    <row r="379" spans="1:2" x14ac:dyDescent="0.3">
      <c r="A379" s="1" t="s">
        <v>1702</v>
      </c>
      <c r="B379" s="19">
        <v>5250000</v>
      </c>
    </row>
    <row r="380" spans="1:2" x14ac:dyDescent="0.3">
      <c r="A380" s="1" t="s">
        <v>983</v>
      </c>
      <c r="B380" s="19">
        <v>6000000</v>
      </c>
    </row>
    <row r="381" spans="1:2" x14ac:dyDescent="0.3">
      <c r="A381" s="1" t="s">
        <v>330</v>
      </c>
      <c r="B381" s="19">
        <v>9100000</v>
      </c>
    </row>
    <row r="382" spans="1:2" x14ac:dyDescent="0.3">
      <c r="A382" s="1" t="s">
        <v>2184</v>
      </c>
      <c r="B382" s="19">
        <v>15000000</v>
      </c>
    </row>
    <row r="383" spans="1:2" x14ac:dyDescent="0.3">
      <c r="A383" s="1" t="s">
        <v>2300</v>
      </c>
      <c r="B383" s="19">
        <v>13000000</v>
      </c>
    </row>
    <row r="384" spans="1:2" x14ac:dyDescent="0.3">
      <c r="A384" s="1" t="s">
        <v>2292</v>
      </c>
      <c r="B384" s="19">
        <v>5300000</v>
      </c>
    </row>
    <row r="385" spans="1:2" x14ac:dyDescent="0.3">
      <c r="A385" s="1" t="s">
        <v>2330</v>
      </c>
      <c r="B385" s="19">
        <v>6500000</v>
      </c>
    </row>
    <row r="386" spans="1:2" x14ac:dyDescent="0.3">
      <c r="A386" s="1" t="s">
        <v>517</v>
      </c>
      <c r="B386" s="19">
        <v>15500000</v>
      </c>
    </row>
    <row r="387" spans="1:2" x14ac:dyDescent="0.3">
      <c r="A387" s="1" t="s">
        <v>2072</v>
      </c>
      <c r="B387" s="19">
        <v>14000000</v>
      </c>
    </row>
    <row r="388" spans="1:2" x14ac:dyDescent="0.3">
      <c r="A388" s="1" t="s">
        <v>1549</v>
      </c>
      <c r="B388" s="19">
        <v>5500000</v>
      </c>
    </row>
    <row r="389" spans="1:2" x14ac:dyDescent="0.3">
      <c r="A389" s="1" t="s">
        <v>1625</v>
      </c>
      <c r="B389" s="19">
        <v>9500000</v>
      </c>
    </row>
    <row r="390" spans="1:2" x14ac:dyDescent="0.3">
      <c r="A390" s="1" t="s">
        <v>1550</v>
      </c>
      <c r="B390" s="19">
        <v>12400000</v>
      </c>
    </row>
    <row r="391" spans="1:2" x14ac:dyDescent="0.3">
      <c r="A391" s="1" t="s">
        <v>1720</v>
      </c>
      <c r="B391" s="19">
        <v>7500000</v>
      </c>
    </row>
    <row r="392" spans="1:2" x14ac:dyDescent="0.3">
      <c r="A392" s="1" t="s">
        <v>832</v>
      </c>
      <c r="B392" s="19">
        <v>8500000</v>
      </c>
    </row>
    <row r="393" spans="1:2" x14ac:dyDescent="0.3">
      <c r="A393" s="1" t="s">
        <v>2166</v>
      </c>
      <c r="B393" s="19">
        <v>7500000</v>
      </c>
    </row>
    <row r="394" spans="1:2" x14ac:dyDescent="0.3">
      <c r="A394" s="1" t="s">
        <v>735</v>
      </c>
      <c r="B394" s="19">
        <v>10500000</v>
      </c>
    </row>
    <row r="395" spans="1:2" x14ac:dyDescent="0.3">
      <c r="A395" s="1" t="s">
        <v>1732</v>
      </c>
      <c r="B395" s="19">
        <v>9000000</v>
      </c>
    </row>
    <row r="396" spans="1:2" x14ac:dyDescent="0.3">
      <c r="A396" s="1" t="s">
        <v>1201</v>
      </c>
      <c r="B396" s="19">
        <v>5600000</v>
      </c>
    </row>
    <row r="397" spans="1:2" x14ac:dyDescent="0.3">
      <c r="A397" s="1" t="s">
        <v>2229</v>
      </c>
      <c r="B397" s="19">
        <v>6200000</v>
      </c>
    </row>
    <row r="398" spans="1:2" x14ac:dyDescent="0.3">
      <c r="A398" s="1" t="s">
        <v>2147</v>
      </c>
      <c r="B398" s="19">
        <v>14000000</v>
      </c>
    </row>
    <row r="399" spans="1:2" x14ac:dyDescent="0.3">
      <c r="A399" s="1" t="s">
        <v>1893</v>
      </c>
      <c r="B399" s="19">
        <v>18000000</v>
      </c>
    </row>
    <row r="400" spans="1:2" x14ac:dyDescent="0.3">
      <c r="A400" s="1" t="s">
        <v>2069</v>
      </c>
      <c r="B400" s="19">
        <v>5000000</v>
      </c>
    </row>
    <row r="401" spans="1:2" x14ac:dyDescent="0.3">
      <c r="A401" s="1" t="s">
        <v>1360</v>
      </c>
      <c r="B401" s="19">
        <v>11500000</v>
      </c>
    </row>
    <row r="402" spans="1:2" x14ac:dyDescent="0.3">
      <c r="A402" s="1" t="s">
        <v>2189</v>
      </c>
      <c r="B402" s="19">
        <v>10500000</v>
      </c>
    </row>
    <row r="403" spans="1:2" x14ac:dyDescent="0.3">
      <c r="A403" s="1" t="s">
        <v>478</v>
      </c>
      <c r="B403" s="19">
        <v>8150000</v>
      </c>
    </row>
    <row r="404" spans="1:2" x14ac:dyDescent="0.3">
      <c r="A404" s="1" t="s">
        <v>1457</v>
      </c>
      <c r="B404" s="19">
        <v>5100000</v>
      </c>
    </row>
    <row r="405" spans="1:2" x14ac:dyDescent="0.3">
      <c r="A405" s="1" t="s">
        <v>1620</v>
      </c>
      <c r="B405" s="19">
        <v>5300000</v>
      </c>
    </row>
    <row r="406" spans="1:2" x14ac:dyDescent="0.3">
      <c r="A406" s="1" t="s">
        <v>1345</v>
      </c>
      <c r="B406" s="19">
        <v>6500000</v>
      </c>
    </row>
    <row r="407" spans="1:2" x14ac:dyDescent="0.3">
      <c r="A407" s="1" t="s">
        <v>1640</v>
      </c>
      <c r="B407" s="19">
        <v>5500000</v>
      </c>
    </row>
    <row r="408" spans="1:2" x14ac:dyDescent="0.3">
      <c r="A408" s="1" t="s">
        <v>2171</v>
      </c>
      <c r="B408" s="19">
        <v>7000000</v>
      </c>
    </row>
    <row r="409" spans="1:2" x14ac:dyDescent="0.3">
      <c r="A409" s="1" t="s">
        <v>2367</v>
      </c>
      <c r="B409" s="19">
        <v>7700000</v>
      </c>
    </row>
    <row r="410" spans="1:2" x14ac:dyDescent="0.3">
      <c r="A410" s="1" t="s">
        <v>1676</v>
      </c>
      <c r="B410" s="19">
        <v>6500000</v>
      </c>
    </row>
    <row r="411" spans="1:2" x14ac:dyDescent="0.3">
      <c r="A411" s="1" t="s">
        <v>1525</v>
      </c>
      <c r="B411" s="19">
        <v>12000000</v>
      </c>
    </row>
    <row r="412" spans="1:2" x14ac:dyDescent="0.3">
      <c r="A412" s="1" t="s">
        <v>2265</v>
      </c>
      <c r="B412" s="19">
        <v>17000000</v>
      </c>
    </row>
    <row r="413" spans="1:2" x14ac:dyDescent="0.3">
      <c r="A413" s="1" t="s">
        <v>452</v>
      </c>
      <c r="B413" s="19">
        <v>24500000</v>
      </c>
    </row>
    <row r="414" spans="1:2" x14ac:dyDescent="0.3">
      <c r="A414" s="1" t="s">
        <v>2247</v>
      </c>
      <c r="B414" s="19">
        <v>7000000</v>
      </c>
    </row>
    <row r="415" spans="1:2" x14ac:dyDescent="0.3">
      <c r="A415" s="1" t="s">
        <v>1385</v>
      </c>
      <c r="B415" s="19">
        <v>5800000</v>
      </c>
    </row>
    <row r="416" spans="1:2" x14ac:dyDescent="0.3">
      <c r="A416" s="1" t="s">
        <v>1506</v>
      </c>
      <c r="B416" s="19">
        <v>10500000</v>
      </c>
    </row>
    <row r="417" spans="1:2" x14ac:dyDescent="0.3">
      <c r="A417" s="1" t="s">
        <v>1492</v>
      </c>
      <c r="B417" s="19">
        <v>5000000</v>
      </c>
    </row>
    <row r="418" spans="1:2" x14ac:dyDescent="0.3">
      <c r="A418" s="1" t="s">
        <v>1304</v>
      </c>
      <c r="B418" s="19">
        <v>17500000</v>
      </c>
    </row>
    <row r="419" spans="1:2" x14ac:dyDescent="0.3">
      <c r="A419" s="1" t="s">
        <v>1229</v>
      </c>
      <c r="B419" s="19">
        <v>11000000</v>
      </c>
    </row>
    <row r="420" spans="1:2" x14ac:dyDescent="0.3">
      <c r="A420" s="1" t="s">
        <v>1106</v>
      </c>
      <c r="B420" s="19">
        <v>4700000</v>
      </c>
    </row>
    <row r="421" spans="1:2" x14ac:dyDescent="0.3">
      <c r="A421" s="1" t="s">
        <v>1559</v>
      </c>
      <c r="B421" s="19">
        <v>4700000</v>
      </c>
    </row>
    <row r="422" spans="1:2" x14ac:dyDescent="0.3">
      <c r="A422" s="1" t="s">
        <v>1772</v>
      </c>
      <c r="B422" s="19">
        <v>4800000</v>
      </c>
    </row>
    <row r="423" spans="1:2" x14ac:dyDescent="0.3">
      <c r="A423" s="1" t="s">
        <v>1825</v>
      </c>
      <c r="B423" s="19">
        <v>12200000</v>
      </c>
    </row>
    <row r="424" spans="1:2" x14ac:dyDescent="0.3">
      <c r="A424" s="1" t="s">
        <v>912</v>
      </c>
      <c r="B424" s="19">
        <v>3000000</v>
      </c>
    </row>
    <row r="425" spans="1:2" x14ac:dyDescent="0.3">
      <c r="A425" s="1" t="s">
        <v>1565</v>
      </c>
      <c r="B425" s="19">
        <v>7500000</v>
      </c>
    </row>
    <row r="426" spans="1:2" x14ac:dyDescent="0.3">
      <c r="A426" s="1" t="s">
        <v>1607</v>
      </c>
      <c r="B426" s="19">
        <v>11600000</v>
      </c>
    </row>
    <row r="427" spans="1:2" x14ac:dyDescent="0.3">
      <c r="A427" s="1" t="s">
        <v>2202</v>
      </c>
      <c r="B427" s="19">
        <v>14900000</v>
      </c>
    </row>
    <row r="428" spans="1:2" x14ac:dyDescent="0.3">
      <c r="A428" s="1" t="s">
        <v>2291</v>
      </c>
      <c r="B428" s="19">
        <v>8800000</v>
      </c>
    </row>
    <row r="429" spans="1:2" x14ac:dyDescent="0.3">
      <c r="A429" s="1" t="s">
        <v>2172</v>
      </c>
      <c r="B429" s="19">
        <v>17000000</v>
      </c>
    </row>
    <row r="430" spans="1:2" x14ac:dyDescent="0.3">
      <c r="A430" s="1" t="s">
        <v>2136</v>
      </c>
      <c r="B430" s="19">
        <v>8000000</v>
      </c>
    </row>
    <row r="431" spans="1:2" x14ac:dyDescent="0.3">
      <c r="A431" s="1" t="s">
        <v>2044</v>
      </c>
      <c r="B431" s="19">
        <v>7200000</v>
      </c>
    </row>
    <row r="432" spans="1:2" x14ac:dyDescent="0.3">
      <c r="A432" s="1" t="s">
        <v>910</v>
      </c>
      <c r="B432" s="19">
        <v>25500000</v>
      </c>
    </row>
    <row r="433" spans="1:2" x14ac:dyDescent="0.3">
      <c r="A433" s="1" t="s">
        <v>612</v>
      </c>
      <c r="B433" s="19">
        <v>9300000</v>
      </c>
    </row>
    <row r="434" spans="1:2" x14ac:dyDescent="0.3">
      <c r="A434" s="1" t="s">
        <v>1763</v>
      </c>
      <c r="B434" s="19">
        <v>15000000</v>
      </c>
    </row>
    <row r="435" spans="1:2" x14ac:dyDescent="0.3">
      <c r="A435" s="1" t="s">
        <v>2037</v>
      </c>
      <c r="B435" s="19">
        <v>5900000</v>
      </c>
    </row>
    <row r="436" spans="1:2" x14ac:dyDescent="0.3">
      <c r="A436" s="1" t="s">
        <v>1931</v>
      </c>
      <c r="B436" s="19">
        <v>8000000</v>
      </c>
    </row>
    <row r="437" spans="1:2" x14ac:dyDescent="0.3">
      <c r="A437" s="1" t="s">
        <v>1280</v>
      </c>
      <c r="B437" s="19">
        <v>5500000</v>
      </c>
    </row>
    <row r="438" spans="1:2" x14ac:dyDescent="0.3">
      <c r="A438" s="1" t="s">
        <v>1982</v>
      </c>
      <c r="B438" s="19">
        <v>13200000</v>
      </c>
    </row>
    <row r="439" spans="1:2" x14ac:dyDescent="0.3">
      <c r="A439" s="1" t="s">
        <v>434</v>
      </c>
      <c r="B439" s="19">
        <v>10000000</v>
      </c>
    </row>
    <row r="440" spans="1:2" x14ac:dyDescent="0.3">
      <c r="A440" s="1" t="s">
        <v>160</v>
      </c>
      <c r="B440" s="19">
        <v>6800000</v>
      </c>
    </row>
    <row r="441" spans="1:2" x14ac:dyDescent="0.3">
      <c r="A441" s="1" t="s">
        <v>1330</v>
      </c>
      <c r="B441" s="19">
        <v>13500000</v>
      </c>
    </row>
    <row r="442" spans="1:2" x14ac:dyDescent="0.3">
      <c r="A442" s="1" t="s">
        <v>1768</v>
      </c>
      <c r="B442" s="19">
        <v>11300000</v>
      </c>
    </row>
    <row r="443" spans="1:2" x14ac:dyDescent="0.3">
      <c r="A443" s="1" t="s">
        <v>1604</v>
      </c>
      <c r="B443" s="19">
        <v>7000000</v>
      </c>
    </row>
    <row r="444" spans="1:2" x14ac:dyDescent="0.3">
      <c r="A444" s="1" t="s">
        <v>1473</v>
      </c>
      <c r="B444" s="19">
        <v>11500000</v>
      </c>
    </row>
    <row r="445" spans="1:2" x14ac:dyDescent="0.3">
      <c r="A445" s="1" t="s">
        <v>1489</v>
      </c>
      <c r="B445" s="19">
        <v>9700000</v>
      </c>
    </row>
    <row r="446" spans="1:2" x14ac:dyDescent="0.3">
      <c r="A446" s="1" t="s">
        <v>2021</v>
      </c>
      <c r="B446" s="19">
        <v>16000000</v>
      </c>
    </row>
    <row r="447" spans="1:2" x14ac:dyDescent="0.3">
      <c r="A447" s="1" t="s">
        <v>2022</v>
      </c>
      <c r="B447" s="19">
        <v>17500000</v>
      </c>
    </row>
    <row r="448" spans="1:2" x14ac:dyDescent="0.3">
      <c r="A448" s="1" t="s">
        <v>1643</v>
      </c>
      <c r="B448" s="19">
        <v>13000000</v>
      </c>
    </row>
    <row r="449" spans="1:2" x14ac:dyDescent="0.3">
      <c r="A449" s="1" t="s">
        <v>2041</v>
      </c>
      <c r="B449" s="19">
        <v>6500000</v>
      </c>
    </row>
    <row r="450" spans="1:2" x14ac:dyDescent="0.3">
      <c r="A450" s="1" t="s">
        <v>1268</v>
      </c>
      <c r="B450" s="19">
        <v>11000000</v>
      </c>
    </row>
    <row r="451" spans="1:2" x14ac:dyDescent="0.3">
      <c r="A451" s="1" t="s">
        <v>2109</v>
      </c>
      <c r="B451" s="19">
        <v>14200000</v>
      </c>
    </row>
    <row r="452" spans="1:2" x14ac:dyDescent="0.3">
      <c r="A452" s="1" t="s">
        <v>2122</v>
      </c>
      <c r="B452" s="19">
        <v>18000000</v>
      </c>
    </row>
    <row r="453" spans="1:2" x14ac:dyDescent="0.3">
      <c r="A453" s="1" t="s">
        <v>2108</v>
      </c>
      <c r="B453" s="19">
        <v>10300000</v>
      </c>
    </row>
    <row r="454" spans="1:2" x14ac:dyDescent="0.3">
      <c r="A454" s="1" t="s">
        <v>1032</v>
      </c>
      <c r="B454" s="19">
        <v>5000000</v>
      </c>
    </row>
    <row r="455" spans="1:2" x14ac:dyDescent="0.3">
      <c r="A455" s="1" t="s">
        <v>2192</v>
      </c>
      <c r="B455" s="19">
        <v>9000000</v>
      </c>
    </row>
    <row r="456" spans="1:2" x14ac:dyDescent="0.3">
      <c r="A456" s="1" t="s">
        <v>2146</v>
      </c>
      <c r="B456" s="19">
        <v>7500000</v>
      </c>
    </row>
    <row r="457" spans="1:2" x14ac:dyDescent="0.3">
      <c r="A457" s="1" t="s">
        <v>1213</v>
      </c>
      <c r="B457" s="19">
        <v>5000000</v>
      </c>
    </row>
    <row r="458" spans="1:2" x14ac:dyDescent="0.3">
      <c r="A458" s="1" t="s">
        <v>1516</v>
      </c>
      <c r="B458" s="19">
        <v>9000000</v>
      </c>
    </row>
    <row r="459" spans="1:2" x14ac:dyDescent="0.3">
      <c r="A459" s="1" t="s">
        <v>1811</v>
      </c>
      <c r="B459" s="19">
        <v>5350000</v>
      </c>
    </row>
    <row r="460" spans="1:2" x14ac:dyDescent="0.3">
      <c r="A460" s="1" t="s">
        <v>1338</v>
      </c>
      <c r="B460" s="19">
        <v>9000000</v>
      </c>
    </row>
    <row r="461" spans="1:2" x14ac:dyDescent="0.3">
      <c r="A461" s="1" t="s">
        <v>99</v>
      </c>
      <c r="B461" s="19">
        <v>6900000</v>
      </c>
    </row>
    <row r="462" spans="1:2" x14ac:dyDescent="0.3">
      <c r="A462" s="1" t="s">
        <v>1888</v>
      </c>
      <c r="B462" s="19">
        <v>5840000</v>
      </c>
    </row>
    <row r="463" spans="1:2" x14ac:dyDescent="0.3">
      <c r="A463" s="1" t="s">
        <v>2343</v>
      </c>
      <c r="B463" s="19">
        <v>6800000</v>
      </c>
    </row>
    <row r="464" spans="1:2" x14ac:dyDescent="0.3">
      <c r="A464" s="1" t="s">
        <v>1840</v>
      </c>
      <c r="B464" s="19">
        <v>14500000</v>
      </c>
    </row>
    <row r="465" spans="1:2" x14ac:dyDescent="0.3">
      <c r="A465" s="1" t="s">
        <v>2345</v>
      </c>
      <c r="B465" s="19">
        <v>7200000</v>
      </c>
    </row>
    <row r="466" spans="1:2" x14ac:dyDescent="0.3">
      <c r="A466" s="1" t="s">
        <v>2071</v>
      </c>
      <c r="B466" s="19">
        <v>7000000</v>
      </c>
    </row>
    <row r="467" spans="1:2" x14ac:dyDescent="0.3">
      <c r="A467" s="1" t="s">
        <v>657</v>
      </c>
      <c r="B467" s="19">
        <v>7600000</v>
      </c>
    </row>
    <row r="468" spans="1:2" x14ac:dyDescent="0.3">
      <c r="A468" s="1" t="s">
        <v>858</v>
      </c>
      <c r="B468" s="19">
        <v>7200000</v>
      </c>
    </row>
    <row r="469" spans="1:2" x14ac:dyDescent="0.3">
      <c r="A469" s="1" t="s">
        <v>1542</v>
      </c>
      <c r="B469" s="19">
        <v>11000000</v>
      </c>
    </row>
    <row r="470" spans="1:2" x14ac:dyDescent="0.3">
      <c r="A470" s="1" t="s">
        <v>2319</v>
      </c>
      <c r="B470" s="19">
        <v>8000000</v>
      </c>
    </row>
    <row r="471" spans="1:2" x14ac:dyDescent="0.3">
      <c r="A471" s="1" t="s">
        <v>764</v>
      </c>
      <c r="B471" s="19">
        <v>10000000</v>
      </c>
    </row>
    <row r="472" spans="1:2" x14ac:dyDescent="0.3">
      <c r="A472" s="1" t="s">
        <v>1356</v>
      </c>
      <c r="B472" s="19">
        <v>15500000</v>
      </c>
    </row>
    <row r="473" spans="1:2" x14ac:dyDescent="0.3">
      <c r="A473" s="1" t="s">
        <v>2250</v>
      </c>
      <c r="B473" s="19">
        <v>12100000</v>
      </c>
    </row>
    <row r="474" spans="1:2" x14ac:dyDescent="0.3">
      <c r="A474" s="1" t="s">
        <v>1670</v>
      </c>
      <c r="B474" s="19">
        <v>18000000</v>
      </c>
    </row>
    <row r="475" spans="1:2" x14ac:dyDescent="0.3">
      <c r="A475" s="1" t="s">
        <v>2018</v>
      </c>
      <c r="B475" s="19">
        <v>18000000</v>
      </c>
    </row>
    <row r="476" spans="1:2" x14ac:dyDescent="0.3">
      <c r="A476" s="1" t="s">
        <v>1362</v>
      </c>
      <c r="B476" s="19">
        <v>14850000</v>
      </c>
    </row>
    <row r="477" spans="1:2" x14ac:dyDescent="0.3">
      <c r="A477" s="1" t="s">
        <v>1418</v>
      </c>
      <c r="B477" s="19">
        <v>11200000</v>
      </c>
    </row>
    <row r="478" spans="1:2" x14ac:dyDescent="0.3">
      <c r="A478" s="1" t="s">
        <v>2304</v>
      </c>
      <c r="B478" s="19">
        <v>8300000</v>
      </c>
    </row>
    <row r="479" spans="1:2" x14ac:dyDescent="0.3">
      <c r="A479" s="1" t="s">
        <v>1648</v>
      </c>
      <c r="B479" s="19">
        <v>13000000</v>
      </c>
    </row>
    <row r="480" spans="1:2" x14ac:dyDescent="0.3">
      <c r="A480" s="1" t="s">
        <v>2008</v>
      </c>
      <c r="B480" s="19">
        <v>8400000</v>
      </c>
    </row>
    <row r="481" spans="1:2" x14ac:dyDescent="0.3">
      <c r="A481" s="1" t="s">
        <v>1826</v>
      </c>
      <c r="B481" s="19">
        <v>14500000</v>
      </c>
    </row>
    <row r="482" spans="1:2" x14ac:dyDescent="0.3">
      <c r="A482" s="1" t="s">
        <v>548</v>
      </c>
      <c r="B482" s="19">
        <v>6900000</v>
      </c>
    </row>
    <row r="483" spans="1:2" x14ac:dyDescent="0.3">
      <c r="A483" s="1" t="s">
        <v>548</v>
      </c>
      <c r="B483" s="19">
        <v>8990000</v>
      </c>
    </row>
    <row r="484" spans="1:2" x14ac:dyDescent="0.3">
      <c r="A484" s="1" t="s">
        <v>375</v>
      </c>
      <c r="B484" s="19">
        <v>9600000</v>
      </c>
    </row>
    <row r="485" spans="1:2" x14ac:dyDescent="0.3">
      <c r="A485" s="1" t="s">
        <v>1621</v>
      </c>
      <c r="B485" s="19">
        <v>7000000</v>
      </c>
    </row>
    <row r="486" spans="1:2" x14ac:dyDescent="0.3">
      <c r="A486" s="1" t="s">
        <v>634</v>
      </c>
      <c r="B486" s="19">
        <v>6400000</v>
      </c>
    </row>
    <row r="487" spans="1:2" x14ac:dyDescent="0.3">
      <c r="A487" s="1" t="s">
        <v>1776</v>
      </c>
      <c r="B487" s="19">
        <v>14000000</v>
      </c>
    </row>
    <row r="488" spans="1:2" x14ac:dyDescent="0.3">
      <c r="A488" s="1" t="s">
        <v>417</v>
      </c>
      <c r="B488" s="19">
        <v>6300000</v>
      </c>
    </row>
    <row r="489" spans="1:2" x14ac:dyDescent="0.3">
      <c r="A489" s="1" t="s">
        <v>862</v>
      </c>
      <c r="B489" s="19">
        <v>6850000</v>
      </c>
    </row>
    <row r="490" spans="1:2" x14ac:dyDescent="0.3">
      <c r="A490" s="1" t="s">
        <v>1524</v>
      </c>
      <c r="B490" s="19">
        <v>10000000</v>
      </c>
    </row>
    <row r="491" spans="1:2" x14ac:dyDescent="0.3">
      <c r="A491" s="1" t="s">
        <v>821</v>
      </c>
      <c r="B491" s="19">
        <v>8650000</v>
      </c>
    </row>
    <row r="492" spans="1:2" x14ac:dyDescent="0.3">
      <c r="A492" s="1" t="s">
        <v>2094</v>
      </c>
      <c r="B492" s="19">
        <v>8600000</v>
      </c>
    </row>
    <row r="493" spans="1:2" x14ac:dyDescent="0.3">
      <c r="A493" s="1" t="s">
        <v>829</v>
      </c>
      <c r="B493" s="19">
        <v>14500000</v>
      </c>
    </row>
    <row r="494" spans="1:2" x14ac:dyDescent="0.3">
      <c r="A494" s="1" t="s">
        <v>2089</v>
      </c>
      <c r="B494" s="19">
        <v>8200000</v>
      </c>
    </row>
    <row r="495" spans="1:2" x14ac:dyDescent="0.3">
      <c r="A495" s="1" t="s">
        <v>1857</v>
      </c>
      <c r="B495" s="19">
        <v>12500000</v>
      </c>
    </row>
    <row r="496" spans="1:2" x14ac:dyDescent="0.3">
      <c r="A496" s="1" t="s">
        <v>1339</v>
      </c>
      <c r="B496" s="19">
        <v>7500000</v>
      </c>
    </row>
    <row r="497" spans="1:2" x14ac:dyDescent="0.3">
      <c r="A497" s="1" t="s">
        <v>1265</v>
      </c>
      <c r="B497" s="19">
        <v>11000000</v>
      </c>
    </row>
    <row r="498" spans="1:2" x14ac:dyDescent="0.3">
      <c r="A498" s="1" t="s">
        <v>316</v>
      </c>
      <c r="B498" s="19">
        <v>5800000</v>
      </c>
    </row>
    <row r="499" spans="1:2" x14ac:dyDescent="0.3">
      <c r="A499" s="1" t="s">
        <v>2273</v>
      </c>
      <c r="B499" s="19">
        <v>31300000</v>
      </c>
    </row>
    <row r="500" spans="1:2" x14ac:dyDescent="0.3">
      <c r="A500" s="1" t="s">
        <v>2331</v>
      </c>
      <c r="B500" s="19">
        <v>15000000</v>
      </c>
    </row>
    <row r="501" spans="1:2" x14ac:dyDescent="0.3">
      <c r="A501" s="1" t="s">
        <v>2344</v>
      </c>
      <c r="B501" s="19">
        <v>15500000</v>
      </c>
    </row>
    <row r="502" spans="1:2" x14ac:dyDescent="0.3">
      <c r="A502" s="1" t="s">
        <v>68</v>
      </c>
      <c r="B502" s="19">
        <v>6300000</v>
      </c>
    </row>
    <row r="503" spans="1:2" x14ac:dyDescent="0.3">
      <c r="A503" s="1" t="s">
        <v>68</v>
      </c>
      <c r="B503" s="19">
        <v>8300000</v>
      </c>
    </row>
    <row r="504" spans="1:2" x14ac:dyDescent="0.3">
      <c r="A504" s="1" t="s">
        <v>2216</v>
      </c>
      <c r="B504" s="19">
        <v>14500000</v>
      </c>
    </row>
    <row r="505" spans="1:2" x14ac:dyDescent="0.3">
      <c r="A505" s="1" t="s">
        <v>805</v>
      </c>
      <c r="B505" s="19">
        <v>11000000</v>
      </c>
    </row>
    <row r="506" spans="1:2" x14ac:dyDescent="0.3">
      <c r="A506" s="1" t="s">
        <v>2031</v>
      </c>
      <c r="B506" s="19">
        <v>9700000</v>
      </c>
    </row>
    <row r="507" spans="1:2" x14ac:dyDescent="0.3">
      <c r="A507" s="1" t="s">
        <v>2320</v>
      </c>
      <c r="B507" s="19">
        <v>9000000</v>
      </c>
    </row>
    <row r="508" spans="1:2" x14ac:dyDescent="0.3">
      <c r="A508" s="1" t="s">
        <v>2064</v>
      </c>
      <c r="B508" s="19">
        <v>11000000</v>
      </c>
    </row>
    <row r="509" spans="1:2" x14ac:dyDescent="0.3">
      <c r="A509" s="1" t="s">
        <v>2127</v>
      </c>
      <c r="B509" s="19">
        <v>13200000</v>
      </c>
    </row>
    <row r="510" spans="1:2" x14ac:dyDescent="0.3">
      <c r="A510" s="1" t="s">
        <v>1968</v>
      </c>
      <c r="B510" s="19">
        <v>4900000</v>
      </c>
    </row>
    <row r="511" spans="1:2" x14ac:dyDescent="0.3">
      <c r="A511" s="1" t="s">
        <v>2102</v>
      </c>
      <c r="B511" s="19">
        <v>6500000</v>
      </c>
    </row>
    <row r="512" spans="1:2" x14ac:dyDescent="0.3">
      <c r="A512" s="1" t="s">
        <v>2169</v>
      </c>
      <c r="B512" s="19">
        <v>11800000</v>
      </c>
    </row>
    <row r="513" spans="1:2" x14ac:dyDescent="0.3">
      <c r="A513" s="1" t="s">
        <v>2090</v>
      </c>
      <c r="B513" s="19">
        <v>6800000</v>
      </c>
    </row>
    <row r="514" spans="1:2" x14ac:dyDescent="0.3">
      <c r="A514" s="1" t="s">
        <v>1043</v>
      </c>
      <c r="B514" s="19">
        <v>9300000</v>
      </c>
    </row>
    <row r="515" spans="1:2" x14ac:dyDescent="0.3">
      <c r="A515" s="1" t="s">
        <v>2070</v>
      </c>
      <c r="B515" s="19">
        <v>9100000</v>
      </c>
    </row>
    <row r="516" spans="1:2" x14ac:dyDescent="0.3">
      <c r="A516" s="1" t="s">
        <v>1077</v>
      </c>
      <c r="B516" s="19">
        <v>10500000</v>
      </c>
    </row>
    <row r="517" spans="1:2" x14ac:dyDescent="0.3">
      <c r="A517" s="1" t="s">
        <v>1622</v>
      </c>
      <c r="B517" s="19">
        <v>12000000</v>
      </c>
    </row>
    <row r="518" spans="1:2" x14ac:dyDescent="0.3">
      <c r="A518" s="1" t="s">
        <v>1878</v>
      </c>
      <c r="B518" s="19">
        <v>38000000</v>
      </c>
    </row>
    <row r="519" spans="1:2" x14ac:dyDescent="0.3">
      <c r="A519" s="1" t="s">
        <v>1583</v>
      </c>
      <c r="B519" s="19">
        <v>13500000</v>
      </c>
    </row>
    <row r="520" spans="1:2" x14ac:dyDescent="0.3">
      <c r="A520" s="1" t="s">
        <v>632</v>
      </c>
      <c r="B520" s="19">
        <v>5850000</v>
      </c>
    </row>
    <row r="521" spans="1:2" x14ac:dyDescent="0.3">
      <c r="A521" s="1" t="s">
        <v>1771</v>
      </c>
      <c r="B521" s="19">
        <v>10000000</v>
      </c>
    </row>
    <row r="522" spans="1:2" x14ac:dyDescent="0.3">
      <c r="A522" s="1" t="s">
        <v>2066</v>
      </c>
      <c r="B522" s="19">
        <v>12500000</v>
      </c>
    </row>
    <row r="523" spans="1:2" x14ac:dyDescent="0.3">
      <c r="A523" s="1" t="s">
        <v>2191</v>
      </c>
      <c r="B523" s="19">
        <v>6100000</v>
      </c>
    </row>
    <row r="524" spans="1:2" x14ac:dyDescent="0.3">
      <c r="A524" s="1" t="s">
        <v>1641</v>
      </c>
      <c r="B524" s="19">
        <v>6100000</v>
      </c>
    </row>
    <row r="525" spans="1:2" x14ac:dyDescent="0.3">
      <c r="A525" s="1" t="s">
        <v>467</v>
      </c>
      <c r="B525" s="19">
        <v>11000000</v>
      </c>
    </row>
    <row r="526" spans="1:2" x14ac:dyDescent="0.3">
      <c r="A526" s="1" t="s">
        <v>1749</v>
      </c>
      <c r="B526" s="19">
        <v>22000000</v>
      </c>
    </row>
    <row r="527" spans="1:2" x14ac:dyDescent="0.3">
      <c r="A527" s="1" t="s">
        <v>436</v>
      </c>
      <c r="B527" s="19">
        <v>6800000</v>
      </c>
    </row>
    <row r="528" spans="1:2" x14ac:dyDescent="0.3">
      <c r="A528" s="1" t="s">
        <v>1135</v>
      </c>
      <c r="B528" s="19">
        <v>10000000</v>
      </c>
    </row>
    <row r="529" spans="1:2" x14ac:dyDescent="0.3">
      <c r="A529" s="1" t="s">
        <v>1668</v>
      </c>
      <c r="B529" s="19">
        <v>26455000</v>
      </c>
    </row>
    <row r="530" spans="1:2" x14ac:dyDescent="0.3">
      <c r="A530" s="1" t="s">
        <v>1896</v>
      </c>
      <c r="B530" s="19">
        <v>14000000</v>
      </c>
    </row>
    <row r="531" spans="1:2" x14ac:dyDescent="0.3">
      <c r="A531" s="1" t="s">
        <v>1332</v>
      </c>
      <c r="B531" s="19">
        <v>5800000</v>
      </c>
    </row>
    <row r="532" spans="1:2" x14ac:dyDescent="0.3">
      <c r="A532" s="1" t="s">
        <v>967</v>
      </c>
      <c r="B532" s="19">
        <v>6300000</v>
      </c>
    </row>
    <row r="533" spans="1:2" x14ac:dyDescent="0.3">
      <c r="A533" s="1" t="s">
        <v>1050</v>
      </c>
      <c r="B533" s="19">
        <v>8350000</v>
      </c>
    </row>
    <row r="534" spans="1:2" x14ac:dyDescent="0.3">
      <c r="A534" s="1" t="s">
        <v>1127</v>
      </c>
      <c r="B534" s="19">
        <v>9000000</v>
      </c>
    </row>
    <row r="535" spans="1:2" x14ac:dyDescent="0.3">
      <c r="A535" s="1" t="s">
        <v>416</v>
      </c>
      <c r="B535" s="19">
        <v>6750000</v>
      </c>
    </row>
    <row r="536" spans="1:2" x14ac:dyDescent="0.3">
      <c r="A536" s="1" t="s">
        <v>1197</v>
      </c>
      <c r="B536" s="19">
        <v>6600000</v>
      </c>
    </row>
    <row r="537" spans="1:2" x14ac:dyDescent="0.3">
      <c r="A537" s="1" t="s">
        <v>1964</v>
      </c>
      <c r="B537" s="19">
        <v>9000000</v>
      </c>
    </row>
    <row r="538" spans="1:2" x14ac:dyDescent="0.3">
      <c r="A538" s="1" t="s">
        <v>2100</v>
      </c>
      <c r="B538" s="19">
        <v>19500000</v>
      </c>
    </row>
    <row r="539" spans="1:2" x14ac:dyDescent="0.3">
      <c r="A539" s="1" t="s">
        <v>1967</v>
      </c>
      <c r="B539" s="19">
        <v>14500000</v>
      </c>
    </row>
    <row r="540" spans="1:2" x14ac:dyDescent="0.3">
      <c r="A540" s="1" t="s">
        <v>2261</v>
      </c>
      <c r="B540" s="19">
        <v>16000000</v>
      </c>
    </row>
    <row r="541" spans="1:2" x14ac:dyDescent="0.3">
      <c r="A541" s="1" t="s">
        <v>2375</v>
      </c>
      <c r="B541" s="19">
        <v>15000000</v>
      </c>
    </row>
    <row r="542" spans="1:2" x14ac:dyDescent="0.3">
      <c r="A542" s="1" t="s">
        <v>1704</v>
      </c>
      <c r="B542" s="19">
        <v>11000000</v>
      </c>
    </row>
    <row r="543" spans="1:2" x14ac:dyDescent="0.3">
      <c r="A543" s="1" t="s">
        <v>1592</v>
      </c>
      <c r="B543" s="19">
        <v>10000000</v>
      </c>
    </row>
    <row r="544" spans="1:2" x14ac:dyDescent="0.3">
      <c r="A544" s="1" t="s">
        <v>1239</v>
      </c>
      <c r="B544" s="19">
        <v>5500000</v>
      </c>
    </row>
    <row r="545" spans="1:2" x14ac:dyDescent="0.3">
      <c r="A545" s="1" t="s">
        <v>1367</v>
      </c>
      <c r="B545" s="19">
        <v>14000000</v>
      </c>
    </row>
    <row r="546" spans="1:2" x14ac:dyDescent="0.3">
      <c r="A546" s="1" t="s">
        <v>117</v>
      </c>
      <c r="B546" s="19">
        <v>17000000</v>
      </c>
    </row>
    <row r="547" spans="1:2" x14ac:dyDescent="0.3">
      <c r="A547" s="1" t="s">
        <v>746</v>
      </c>
      <c r="B547" s="19">
        <v>12071500</v>
      </c>
    </row>
    <row r="548" spans="1:2" x14ac:dyDescent="0.3">
      <c r="A548" s="1" t="s">
        <v>588</v>
      </c>
      <c r="B548" s="19">
        <v>14200000</v>
      </c>
    </row>
    <row r="549" spans="1:2" x14ac:dyDescent="0.3">
      <c r="A549" s="1" t="s">
        <v>2101</v>
      </c>
      <c r="B549" s="19">
        <v>15000000</v>
      </c>
    </row>
    <row r="550" spans="1:2" x14ac:dyDescent="0.3">
      <c r="A550" s="1" t="s">
        <v>711</v>
      </c>
      <c r="B550" s="19">
        <v>13450000</v>
      </c>
    </row>
    <row r="551" spans="1:2" x14ac:dyDescent="0.3">
      <c r="A551" s="1" t="s">
        <v>731</v>
      </c>
      <c r="B551" s="19">
        <v>10900000</v>
      </c>
    </row>
    <row r="552" spans="1:2" x14ac:dyDescent="0.3">
      <c r="A552" s="1" t="s">
        <v>731</v>
      </c>
      <c r="B552" s="19">
        <v>11300000</v>
      </c>
    </row>
    <row r="553" spans="1:2" x14ac:dyDescent="0.3">
      <c r="A553" s="1" t="s">
        <v>1381</v>
      </c>
      <c r="B553" s="19">
        <v>10500000</v>
      </c>
    </row>
    <row r="554" spans="1:2" x14ac:dyDescent="0.3">
      <c r="A554" s="1" t="s">
        <v>1831</v>
      </c>
      <c r="B554" s="19">
        <v>11000000</v>
      </c>
    </row>
    <row r="555" spans="1:2" x14ac:dyDescent="0.3">
      <c r="A555" s="1" t="s">
        <v>887</v>
      </c>
      <c r="B555" s="19">
        <v>10200000</v>
      </c>
    </row>
    <row r="556" spans="1:2" x14ac:dyDescent="0.3">
      <c r="A556" s="1" t="s">
        <v>916</v>
      </c>
      <c r="B556" s="19">
        <v>16200000</v>
      </c>
    </row>
    <row r="557" spans="1:2" x14ac:dyDescent="0.3">
      <c r="A557" s="1" t="s">
        <v>1475</v>
      </c>
      <c r="B557" s="19">
        <v>13500000</v>
      </c>
    </row>
    <row r="558" spans="1:2" x14ac:dyDescent="0.3">
      <c r="A558" s="1" t="s">
        <v>1553</v>
      </c>
      <c r="B558" s="19">
        <v>9000000</v>
      </c>
    </row>
    <row r="559" spans="1:2" x14ac:dyDescent="0.3">
      <c r="A559" s="1" t="s">
        <v>1605</v>
      </c>
      <c r="B559" s="19">
        <v>6500000</v>
      </c>
    </row>
    <row r="560" spans="1:2" x14ac:dyDescent="0.3">
      <c r="A560" s="1" t="s">
        <v>938</v>
      </c>
      <c r="B560" s="19">
        <v>14200000</v>
      </c>
    </row>
    <row r="561" spans="1:2" x14ac:dyDescent="0.3">
      <c r="A561" s="1" t="s">
        <v>1630</v>
      </c>
      <c r="B561" s="19">
        <v>14300000</v>
      </c>
    </row>
    <row r="562" spans="1:2" x14ac:dyDescent="0.3">
      <c r="A562" s="1" t="s">
        <v>126</v>
      </c>
      <c r="B562" s="19">
        <v>34200000</v>
      </c>
    </row>
    <row r="563" spans="1:2" x14ac:dyDescent="0.3">
      <c r="A563" s="1" t="s">
        <v>405</v>
      </c>
      <c r="B563" s="19">
        <v>10500000</v>
      </c>
    </row>
    <row r="564" spans="1:2" x14ac:dyDescent="0.3">
      <c r="A564" s="1" t="s">
        <v>405</v>
      </c>
      <c r="B564" s="19">
        <v>11000000</v>
      </c>
    </row>
    <row r="565" spans="1:2" x14ac:dyDescent="0.3">
      <c r="A565" s="1" t="s">
        <v>1397</v>
      </c>
      <c r="B565" s="19">
        <v>5000000</v>
      </c>
    </row>
    <row r="566" spans="1:2" x14ac:dyDescent="0.3">
      <c r="A566" s="1" t="s">
        <v>1406</v>
      </c>
      <c r="B566" s="19">
        <v>6000000</v>
      </c>
    </row>
    <row r="567" spans="1:2" x14ac:dyDescent="0.3">
      <c r="A567" s="1" t="s">
        <v>2235</v>
      </c>
      <c r="B567" s="19">
        <v>12000000</v>
      </c>
    </row>
    <row r="568" spans="1:2" x14ac:dyDescent="0.3">
      <c r="A568" s="1" t="s">
        <v>71</v>
      </c>
      <c r="B568" s="19">
        <v>12000000</v>
      </c>
    </row>
    <row r="569" spans="1:2" x14ac:dyDescent="0.3">
      <c r="A569" s="1" t="s">
        <v>71</v>
      </c>
      <c r="B569" s="19">
        <v>14190000</v>
      </c>
    </row>
    <row r="570" spans="1:2" x14ac:dyDescent="0.3">
      <c r="A570" s="1" t="s">
        <v>2155</v>
      </c>
      <c r="B570" s="19">
        <v>11450000</v>
      </c>
    </row>
    <row r="571" spans="1:2" x14ac:dyDescent="0.3">
      <c r="A571" s="1" t="s">
        <v>603</v>
      </c>
      <c r="B571" s="19">
        <v>8200000</v>
      </c>
    </row>
    <row r="572" spans="1:2" x14ac:dyDescent="0.3">
      <c r="A572" s="1" t="s">
        <v>2296</v>
      </c>
      <c r="B572" s="19">
        <v>12000000</v>
      </c>
    </row>
    <row r="573" spans="1:2" x14ac:dyDescent="0.3">
      <c r="A573" s="1" t="s">
        <v>1446</v>
      </c>
      <c r="B573" s="19">
        <v>16000000</v>
      </c>
    </row>
    <row r="574" spans="1:2" x14ac:dyDescent="0.3">
      <c r="A574" s="1" t="s">
        <v>2106</v>
      </c>
      <c r="B574" s="19">
        <v>8500000</v>
      </c>
    </row>
    <row r="575" spans="1:2" x14ac:dyDescent="0.3">
      <c r="A575" s="1" t="s">
        <v>2357</v>
      </c>
      <c r="B575" s="19">
        <v>6500000</v>
      </c>
    </row>
    <row r="576" spans="1:2" x14ac:dyDescent="0.3">
      <c r="A576" s="1" t="s">
        <v>1131</v>
      </c>
      <c r="B576" s="19">
        <v>6000000</v>
      </c>
    </row>
    <row r="577" spans="1:2" x14ac:dyDescent="0.3">
      <c r="A577" s="1" t="s">
        <v>1297</v>
      </c>
      <c r="B577" s="19">
        <v>8500000</v>
      </c>
    </row>
    <row r="578" spans="1:2" x14ac:dyDescent="0.3">
      <c r="A578" s="1" t="s">
        <v>2078</v>
      </c>
      <c r="B578" s="19">
        <v>15000000</v>
      </c>
    </row>
    <row r="579" spans="1:2" x14ac:dyDescent="0.3">
      <c r="A579" s="1" t="s">
        <v>2295</v>
      </c>
      <c r="B579" s="19">
        <v>8500000</v>
      </c>
    </row>
    <row r="580" spans="1:2" x14ac:dyDescent="0.3">
      <c r="A580" s="1" t="s">
        <v>2056</v>
      </c>
      <c r="B580" s="19">
        <v>7200000</v>
      </c>
    </row>
    <row r="581" spans="1:2" x14ac:dyDescent="0.3">
      <c r="A581" s="1" t="s">
        <v>2274</v>
      </c>
      <c r="B581" s="19">
        <v>8900000</v>
      </c>
    </row>
    <row r="582" spans="1:2" x14ac:dyDescent="0.3">
      <c r="A582" s="1" t="s">
        <v>549</v>
      </c>
      <c r="B582" s="19">
        <v>11000000</v>
      </c>
    </row>
    <row r="583" spans="1:2" x14ac:dyDescent="0.3">
      <c r="A583" s="1" t="s">
        <v>1456</v>
      </c>
      <c r="B583" s="19">
        <v>4850000</v>
      </c>
    </row>
    <row r="584" spans="1:2" x14ac:dyDescent="0.3">
      <c r="A584" s="1" t="s">
        <v>2214</v>
      </c>
      <c r="B584" s="19">
        <v>25100000</v>
      </c>
    </row>
    <row r="585" spans="1:2" x14ac:dyDescent="0.3">
      <c r="A585" s="1" t="s">
        <v>2333</v>
      </c>
      <c r="B585" s="19">
        <v>6000000</v>
      </c>
    </row>
    <row r="586" spans="1:2" x14ac:dyDescent="0.3">
      <c r="A586" s="1" t="s">
        <v>1969</v>
      </c>
      <c r="B586" s="19">
        <v>14000000</v>
      </c>
    </row>
    <row r="587" spans="1:2" x14ac:dyDescent="0.3">
      <c r="A587" s="1" t="s">
        <v>2346</v>
      </c>
      <c r="B587" s="19">
        <v>13000000</v>
      </c>
    </row>
    <row r="588" spans="1:2" x14ac:dyDescent="0.3">
      <c r="A588" s="1" t="s">
        <v>2290</v>
      </c>
      <c r="B588" s="19">
        <v>8000000</v>
      </c>
    </row>
    <row r="589" spans="1:2" x14ac:dyDescent="0.3">
      <c r="A589" s="1" t="s">
        <v>1818</v>
      </c>
      <c r="B589" s="19">
        <v>8300000</v>
      </c>
    </row>
    <row r="590" spans="1:2" x14ac:dyDescent="0.3">
      <c r="A590" s="1" t="s">
        <v>2369</v>
      </c>
      <c r="B590" s="19">
        <v>8000000</v>
      </c>
    </row>
    <row r="591" spans="1:2" x14ac:dyDescent="0.3">
      <c r="A591" s="1" t="s">
        <v>2305</v>
      </c>
      <c r="B591" s="19">
        <v>15900000</v>
      </c>
    </row>
    <row r="592" spans="1:2" x14ac:dyDescent="0.3">
      <c r="A592" s="1" t="s">
        <v>1176</v>
      </c>
      <c r="B592" s="19">
        <v>11500000</v>
      </c>
    </row>
    <row r="593" spans="1:2" x14ac:dyDescent="0.3">
      <c r="A593" s="1" t="s">
        <v>1346</v>
      </c>
      <c r="B593" s="19">
        <v>7000000</v>
      </c>
    </row>
    <row r="594" spans="1:2" x14ac:dyDescent="0.3">
      <c r="A594" s="1" t="s">
        <v>970</v>
      </c>
      <c r="B594" s="19">
        <v>13000000</v>
      </c>
    </row>
    <row r="595" spans="1:2" x14ac:dyDescent="0.3">
      <c r="A595" s="1" t="s">
        <v>2110</v>
      </c>
      <c r="B595" s="19">
        <v>16200000</v>
      </c>
    </row>
    <row r="596" spans="1:2" x14ac:dyDescent="0.3">
      <c r="A596" s="1" t="s">
        <v>2170</v>
      </c>
      <c r="B596" s="19">
        <v>22000000</v>
      </c>
    </row>
    <row r="597" spans="1:2" x14ac:dyDescent="0.3">
      <c r="A597" s="1" t="s">
        <v>2138</v>
      </c>
      <c r="B597" s="19">
        <v>10200000</v>
      </c>
    </row>
    <row r="598" spans="1:2" x14ac:dyDescent="0.3">
      <c r="A598" s="1" t="s">
        <v>1307</v>
      </c>
      <c r="B598" s="19">
        <v>23000000</v>
      </c>
    </row>
    <row r="599" spans="1:2" x14ac:dyDescent="0.3">
      <c r="A599" s="1" t="s">
        <v>1471</v>
      </c>
      <c r="B599" s="19">
        <v>28800000</v>
      </c>
    </row>
    <row r="600" spans="1:2" x14ac:dyDescent="0.3">
      <c r="A600" s="1" t="s">
        <v>991</v>
      </c>
      <c r="B600" s="19">
        <v>4500000</v>
      </c>
    </row>
    <row r="601" spans="1:2" x14ac:dyDescent="0.3">
      <c r="A601" s="1" t="s">
        <v>2249</v>
      </c>
      <c r="B601" s="19">
        <v>9700000</v>
      </c>
    </row>
    <row r="602" spans="1:2" x14ac:dyDescent="0.3">
      <c r="A602" s="1" t="s">
        <v>397</v>
      </c>
      <c r="B602" s="19">
        <v>10100000</v>
      </c>
    </row>
    <row r="603" spans="1:2" x14ac:dyDescent="0.3">
      <c r="A603" s="1" t="s">
        <v>1433</v>
      </c>
      <c r="B603" s="19">
        <v>13500000</v>
      </c>
    </row>
    <row r="604" spans="1:2" x14ac:dyDescent="0.3">
      <c r="A604" s="1" t="s">
        <v>1310</v>
      </c>
      <c r="B604" s="19">
        <v>6000000</v>
      </c>
    </row>
    <row r="605" spans="1:2" x14ac:dyDescent="0.3">
      <c r="A605" s="1" t="s">
        <v>1156</v>
      </c>
      <c r="B605" s="19">
        <v>11500000</v>
      </c>
    </row>
    <row r="606" spans="1:2" x14ac:dyDescent="0.3">
      <c r="A606" s="1" t="s">
        <v>2199</v>
      </c>
      <c r="B606" s="19">
        <v>16000000</v>
      </c>
    </row>
    <row r="607" spans="1:2" x14ac:dyDescent="0.3">
      <c r="A607" s="1" t="s">
        <v>2288</v>
      </c>
      <c r="B607" s="19">
        <v>12800000</v>
      </c>
    </row>
    <row r="608" spans="1:2" x14ac:dyDescent="0.3">
      <c r="A608" s="1" t="s">
        <v>1470</v>
      </c>
      <c r="B608" s="19">
        <v>17000000</v>
      </c>
    </row>
    <row r="609" spans="1:2" x14ac:dyDescent="0.3">
      <c r="A609" s="1" t="s">
        <v>1016</v>
      </c>
      <c r="B609" s="19">
        <v>3350000</v>
      </c>
    </row>
    <row r="610" spans="1:2" x14ac:dyDescent="0.3">
      <c r="A610" s="1" t="s">
        <v>1992</v>
      </c>
      <c r="B610" s="19">
        <v>27000000</v>
      </c>
    </row>
    <row r="611" spans="1:2" x14ac:dyDescent="0.3">
      <c r="A611" s="1" t="s">
        <v>1203</v>
      </c>
      <c r="B611" s="19">
        <v>6300000</v>
      </c>
    </row>
    <row r="612" spans="1:2" x14ac:dyDescent="0.3">
      <c r="A612" s="1" t="s">
        <v>2186</v>
      </c>
      <c r="B612" s="19">
        <v>8700000</v>
      </c>
    </row>
    <row r="613" spans="1:2" x14ac:dyDescent="0.3">
      <c r="A613" s="1" t="s">
        <v>2015</v>
      </c>
      <c r="B613" s="19">
        <v>11500000</v>
      </c>
    </row>
    <row r="614" spans="1:2" x14ac:dyDescent="0.3">
      <c r="A614" s="1" t="s">
        <v>2352</v>
      </c>
      <c r="B614" s="19">
        <v>6000000</v>
      </c>
    </row>
    <row r="615" spans="1:2" x14ac:dyDescent="0.3">
      <c r="A615" s="1" t="s">
        <v>847</v>
      </c>
      <c r="B615" s="19">
        <v>7300000</v>
      </c>
    </row>
    <row r="616" spans="1:2" x14ac:dyDescent="0.3">
      <c r="A616" s="1" t="s">
        <v>545</v>
      </c>
      <c r="B616" s="19">
        <v>6000000</v>
      </c>
    </row>
    <row r="617" spans="1:2" x14ac:dyDescent="0.3">
      <c r="A617" s="1" t="s">
        <v>2150</v>
      </c>
      <c r="B617" s="19">
        <v>7700000</v>
      </c>
    </row>
    <row r="618" spans="1:2" x14ac:dyDescent="0.3">
      <c r="A618" s="1" t="s">
        <v>2212</v>
      </c>
      <c r="B618" s="19">
        <v>14000000</v>
      </c>
    </row>
    <row r="619" spans="1:2" x14ac:dyDescent="0.3">
      <c r="A619" s="1" t="s">
        <v>2354</v>
      </c>
      <c r="B619" s="19">
        <v>12500000</v>
      </c>
    </row>
    <row r="620" spans="1:2" x14ac:dyDescent="0.3">
      <c r="A620" s="1" t="s">
        <v>663</v>
      </c>
      <c r="B620" s="19">
        <v>8000000</v>
      </c>
    </row>
    <row r="621" spans="1:2" x14ac:dyDescent="0.3">
      <c r="A621" s="1" t="s">
        <v>124</v>
      </c>
      <c r="B621" s="19">
        <v>37200000</v>
      </c>
    </row>
    <row r="622" spans="1:2" x14ac:dyDescent="0.3">
      <c r="A622" s="1" t="s">
        <v>1417</v>
      </c>
      <c r="B622" s="19">
        <v>14500000</v>
      </c>
    </row>
    <row r="623" spans="1:2" x14ac:dyDescent="0.3">
      <c r="A623" s="1" t="s">
        <v>1329</v>
      </c>
      <c r="B623" s="19">
        <v>19000000</v>
      </c>
    </row>
    <row r="624" spans="1:2" x14ac:dyDescent="0.3">
      <c r="A624" s="1" t="s">
        <v>1680</v>
      </c>
      <c r="B624" s="19">
        <v>7100000</v>
      </c>
    </row>
    <row r="625" spans="1:2" x14ac:dyDescent="0.3">
      <c r="A625" s="1" t="s">
        <v>2207</v>
      </c>
      <c r="B625" s="19">
        <v>17000000</v>
      </c>
    </row>
    <row r="626" spans="1:2" x14ac:dyDescent="0.3">
      <c r="A626" s="1" t="s">
        <v>2010</v>
      </c>
      <c r="B626" s="19">
        <v>15000000</v>
      </c>
    </row>
    <row r="627" spans="1:2" x14ac:dyDescent="0.3">
      <c r="A627" s="1" t="s">
        <v>2362</v>
      </c>
      <c r="B627" s="19">
        <v>6500000</v>
      </c>
    </row>
    <row r="628" spans="1:2" x14ac:dyDescent="0.3">
      <c r="A628" s="1" t="s">
        <v>1087</v>
      </c>
      <c r="B628" s="19">
        <v>12600000</v>
      </c>
    </row>
    <row r="629" spans="1:2" x14ac:dyDescent="0.3">
      <c r="A629" s="1" t="s">
        <v>844</v>
      </c>
      <c r="B629" s="19">
        <v>7300000</v>
      </c>
    </row>
    <row r="630" spans="1:2" x14ac:dyDescent="0.3">
      <c r="A630" s="1" t="s">
        <v>2368</v>
      </c>
      <c r="B630" s="19">
        <v>8000000</v>
      </c>
    </row>
    <row r="631" spans="1:2" x14ac:dyDescent="0.3">
      <c r="A631" s="1" t="s">
        <v>2051</v>
      </c>
      <c r="B631" s="19">
        <v>8300000</v>
      </c>
    </row>
    <row r="632" spans="1:2" x14ac:dyDescent="0.3">
      <c r="A632" s="1" t="s">
        <v>1912</v>
      </c>
      <c r="B632" s="19">
        <v>11500000</v>
      </c>
    </row>
    <row r="633" spans="1:2" x14ac:dyDescent="0.3">
      <c r="A633" s="1" t="s">
        <v>2206</v>
      </c>
      <c r="B633" s="19">
        <v>20500000</v>
      </c>
    </row>
    <row r="634" spans="1:2" x14ac:dyDescent="0.3">
      <c r="A634" s="1" t="s">
        <v>1163</v>
      </c>
      <c r="B634" s="19">
        <v>7000000</v>
      </c>
    </row>
    <row r="635" spans="1:2" x14ac:dyDescent="0.3">
      <c r="A635" s="1" t="s">
        <v>2289</v>
      </c>
      <c r="B635" s="19">
        <v>14000000</v>
      </c>
    </row>
    <row r="636" spans="1:2" x14ac:dyDescent="0.3">
      <c r="A636" s="1" t="s">
        <v>1897</v>
      </c>
      <c r="B636" s="19">
        <v>6000000</v>
      </c>
    </row>
    <row r="637" spans="1:2" x14ac:dyDescent="0.3">
      <c r="A637" s="1" t="s">
        <v>1105</v>
      </c>
      <c r="B637" s="19">
        <v>9346000</v>
      </c>
    </row>
    <row r="638" spans="1:2" x14ac:dyDescent="0.3">
      <c r="A638" s="1" t="s">
        <v>2355</v>
      </c>
      <c r="B638" s="19">
        <v>24000000</v>
      </c>
    </row>
    <row r="639" spans="1:2" x14ac:dyDescent="0.3">
      <c r="A639" s="1" t="s">
        <v>1005</v>
      </c>
      <c r="B639" s="19">
        <v>10000000</v>
      </c>
    </row>
    <row r="640" spans="1:2" x14ac:dyDescent="0.3">
      <c r="A640" s="1" t="s">
        <v>1386</v>
      </c>
      <c r="B640" s="19">
        <v>4700000</v>
      </c>
    </row>
    <row r="641" spans="1:2" x14ac:dyDescent="0.3">
      <c r="A641" s="1" t="s">
        <v>1614</v>
      </c>
      <c r="B641" s="19">
        <v>8000000</v>
      </c>
    </row>
    <row r="642" spans="1:2" x14ac:dyDescent="0.3">
      <c r="A642" s="1" t="s">
        <v>2011</v>
      </c>
      <c r="B642" s="19">
        <v>18000000</v>
      </c>
    </row>
    <row r="643" spans="1:2" x14ac:dyDescent="0.3">
      <c r="A643" s="1" t="s">
        <v>748</v>
      </c>
      <c r="B643" s="19">
        <v>12000000</v>
      </c>
    </row>
    <row r="644" spans="1:2" x14ac:dyDescent="0.3">
      <c r="A644" s="1" t="s">
        <v>945</v>
      </c>
      <c r="B644" s="19">
        <v>6000000</v>
      </c>
    </row>
    <row r="645" spans="1:2" x14ac:dyDescent="0.3">
      <c r="A645" s="1" t="s">
        <v>2236</v>
      </c>
      <c r="B645" s="19">
        <v>7200000</v>
      </c>
    </row>
    <row r="646" spans="1:2" x14ac:dyDescent="0.3">
      <c r="A646" s="1" t="s">
        <v>2307</v>
      </c>
      <c r="B646" s="19">
        <v>27400000</v>
      </c>
    </row>
    <row r="647" spans="1:2" x14ac:dyDescent="0.3">
      <c r="A647" s="1" t="s">
        <v>1843</v>
      </c>
      <c r="B647" s="19">
        <v>14300000</v>
      </c>
    </row>
    <row r="648" spans="1:2" x14ac:dyDescent="0.3">
      <c r="A648" s="1" t="s">
        <v>1716</v>
      </c>
      <c r="B648" s="19">
        <v>7500000</v>
      </c>
    </row>
    <row r="649" spans="1:2" x14ac:dyDescent="0.3">
      <c r="A649" s="1" t="s">
        <v>1635</v>
      </c>
      <c r="B649" s="19">
        <v>13500000</v>
      </c>
    </row>
    <row r="650" spans="1:2" x14ac:dyDescent="0.3">
      <c r="A650" s="1" t="s">
        <v>475</v>
      </c>
      <c r="B650" s="19">
        <v>6000000</v>
      </c>
    </row>
    <row r="651" spans="1:2" x14ac:dyDescent="0.3">
      <c r="A651" s="1" t="s">
        <v>1168</v>
      </c>
      <c r="B651" s="19">
        <v>15000000</v>
      </c>
    </row>
    <row r="652" spans="1:2" x14ac:dyDescent="0.3">
      <c r="A652" s="1" t="s">
        <v>1413</v>
      </c>
      <c r="B652" s="19">
        <v>30000000</v>
      </c>
    </row>
    <row r="653" spans="1:2" x14ac:dyDescent="0.3">
      <c r="A653" s="1" t="s">
        <v>1042</v>
      </c>
      <c r="B653" s="19">
        <v>6000000</v>
      </c>
    </row>
    <row r="654" spans="1:2" x14ac:dyDescent="0.3">
      <c r="A654" s="1" t="s">
        <v>2019</v>
      </c>
      <c r="B654" s="19">
        <v>16500000</v>
      </c>
    </row>
    <row r="655" spans="1:2" x14ac:dyDescent="0.3">
      <c r="A655" s="1" t="s">
        <v>427</v>
      </c>
      <c r="B655" s="19">
        <v>9400000</v>
      </c>
    </row>
    <row r="656" spans="1:2" x14ac:dyDescent="0.3">
      <c r="A656" s="1" t="s">
        <v>1971</v>
      </c>
      <c r="B656" s="19">
        <v>22000000</v>
      </c>
    </row>
    <row r="657" spans="1:2" x14ac:dyDescent="0.3">
      <c r="A657" s="1" t="s">
        <v>1610</v>
      </c>
      <c r="B657" s="19">
        <v>11500000</v>
      </c>
    </row>
    <row r="658" spans="1:2" x14ac:dyDescent="0.3">
      <c r="A658" s="1" t="s">
        <v>988</v>
      </c>
      <c r="B658" s="19">
        <v>9300000</v>
      </c>
    </row>
    <row r="659" spans="1:2" x14ac:dyDescent="0.3">
      <c r="A659" s="1" t="s">
        <v>1311</v>
      </c>
      <c r="B659" s="19">
        <v>7000000</v>
      </c>
    </row>
    <row r="660" spans="1:2" x14ac:dyDescent="0.3">
      <c r="A660" s="1" t="s">
        <v>1427</v>
      </c>
      <c r="B660" s="19">
        <v>10000000</v>
      </c>
    </row>
    <row r="661" spans="1:2" x14ac:dyDescent="0.3">
      <c r="A661" s="1" t="s">
        <v>872</v>
      </c>
      <c r="B661" s="19">
        <v>7500000</v>
      </c>
    </row>
    <row r="662" spans="1:2" x14ac:dyDescent="0.3">
      <c r="A662" s="1" t="s">
        <v>401</v>
      </c>
      <c r="B662" s="19">
        <v>5700000</v>
      </c>
    </row>
    <row r="663" spans="1:2" x14ac:dyDescent="0.3">
      <c r="A663" s="1" t="s">
        <v>1031</v>
      </c>
      <c r="B663" s="19">
        <v>12800000</v>
      </c>
    </row>
    <row r="664" spans="1:2" x14ac:dyDescent="0.3">
      <c r="A664" s="1" t="s">
        <v>1655</v>
      </c>
      <c r="B664" s="19">
        <v>5500000</v>
      </c>
    </row>
    <row r="665" spans="1:2" x14ac:dyDescent="0.3">
      <c r="A665" s="1" t="s">
        <v>104</v>
      </c>
      <c r="B665" s="19">
        <v>18000000</v>
      </c>
    </row>
    <row r="666" spans="1:2" x14ac:dyDescent="0.3">
      <c r="A666" s="1" t="s">
        <v>2317</v>
      </c>
      <c r="B666" s="19">
        <v>9000000</v>
      </c>
    </row>
    <row r="667" spans="1:2" x14ac:dyDescent="0.3">
      <c r="A667" s="1" t="s">
        <v>1448</v>
      </c>
      <c r="B667" s="19">
        <v>20000000</v>
      </c>
    </row>
    <row r="668" spans="1:2" x14ac:dyDescent="0.3">
      <c r="A668" s="1" t="s">
        <v>2284</v>
      </c>
      <c r="B668" s="19">
        <v>5200000</v>
      </c>
    </row>
    <row r="669" spans="1:2" x14ac:dyDescent="0.3">
      <c r="A669" s="1" t="s">
        <v>2227</v>
      </c>
      <c r="B669" s="19">
        <v>5300000</v>
      </c>
    </row>
    <row r="670" spans="1:2" x14ac:dyDescent="0.3">
      <c r="A670" s="1" t="s">
        <v>1936</v>
      </c>
      <c r="B670" s="19">
        <v>7500000</v>
      </c>
    </row>
    <row r="671" spans="1:2" x14ac:dyDescent="0.3">
      <c r="A671" s="1" t="s">
        <v>944</v>
      </c>
      <c r="B671" s="19">
        <v>6100000</v>
      </c>
    </row>
    <row r="672" spans="1:2" x14ac:dyDescent="0.3">
      <c r="A672" s="1" t="s">
        <v>2259</v>
      </c>
      <c r="B672" s="19">
        <v>13000000</v>
      </c>
    </row>
    <row r="673" spans="1:2" x14ac:dyDescent="0.3">
      <c r="A673" s="1" t="s">
        <v>2238</v>
      </c>
      <c r="B673" s="19">
        <v>6000000</v>
      </c>
    </row>
    <row r="674" spans="1:2" x14ac:dyDescent="0.3">
      <c r="A674" s="1" t="s">
        <v>265</v>
      </c>
      <c r="B674" s="19">
        <v>13300000</v>
      </c>
    </row>
    <row r="675" spans="1:2" x14ac:dyDescent="0.3">
      <c r="A675" s="1" t="s">
        <v>1644</v>
      </c>
      <c r="B675" s="19">
        <v>11500000</v>
      </c>
    </row>
    <row r="676" spans="1:2" x14ac:dyDescent="0.3">
      <c r="A676" s="1" t="s">
        <v>1316</v>
      </c>
      <c r="B676" s="19">
        <v>5800000</v>
      </c>
    </row>
    <row r="677" spans="1:2" x14ac:dyDescent="0.3">
      <c r="A677" s="1" t="s">
        <v>1589</v>
      </c>
      <c r="B677" s="19">
        <v>5900000</v>
      </c>
    </row>
    <row r="678" spans="1:2" x14ac:dyDescent="0.3">
      <c r="A678" s="1" t="s">
        <v>962</v>
      </c>
      <c r="B678" s="19">
        <v>6000000</v>
      </c>
    </row>
    <row r="679" spans="1:2" x14ac:dyDescent="0.3">
      <c r="A679" s="1" t="s">
        <v>1196</v>
      </c>
      <c r="B679" s="19">
        <v>5300000</v>
      </c>
    </row>
    <row r="680" spans="1:2" x14ac:dyDescent="0.3">
      <c r="A680" s="1" t="s">
        <v>1692</v>
      </c>
      <c r="B680" s="19">
        <v>9000000</v>
      </c>
    </row>
    <row r="681" spans="1:2" x14ac:dyDescent="0.3">
      <c r="A681" s="1" t="s">
        <v>1020</v>
      </c>
      <c r="B681" s="19">
        <v>57000000</v>
      </c>
    </row>
    <row r="682" spans="1:2" x14ac:dyDescent="0.3">
      <c r="A682" s="1" t="s">
        <v>592</v>
      </c>
      <c r="B682" s="19">
        <v>8550000</v>
      </c>
    </row>
    <row r="683" spans="1:2" x14ac:dyDescent="0.3">
      <c r="A683" s="1" t="s">
        <v>1390</v>
      </c>
      <c r="B683" s="19">
        <v>17500000</v>
      </c>
    </row>
    <row r="684" spans="1:2" x14ac:dyDescent="0.3">
      <c r="A684" s="1" t="s">
        <v>1230</v>
      </c>
      <c r="B684" s="19">
        <v>15500000</v>
      </c>
    </row>
    <row r="685" spans="1:2" x14ac:dyDescent="0.3">
      <c r="A685" s="1" t="s">
        <v>2141</v>
      </c>
      <c r="B685" s="19">
        <v>6500000</v>
      </c>
    </row>
    <row r="686" spans="1:2" x14ac:dyDescent="0.3">
      <c r="A686" s="1" t="s">
        <v>2204</v>
      </c>
      <c r="B686" s="19">
        <v>6700000</v>
      </c>
    </row>
    <row r="687" spans="1:2" x14ac:dyDescent="0.3">
      <c r="A687" s="1" t="s">
        <v>1873</v>
      </c>
      <c r="B687" s="19">
        <v>14000000</v>
      </c>
    </row>
    <row r="688" spans="1:2" x14ac:dyDescent="0.3">
      <c r="A688" s="1" t="s">
        <v>631</v>
      </c>
      <c r="B688" s="19">
        <v>8300000</v>
      </c>
    </row>
    <row r="689" spans="1:2" x14ac:dyDescent="0.3">
      <c r="A689" s="1" t="s">
        <v>2260</v>
      </c>
      <c r="B689" s="19">
        <v>28500000</v>
      </c>
    </row>
    <row r="690" spans="1:2" x14ac:dyDescent="0.3">
      <c r="A690" s="1" t="s">
        <v>739</v>
      </c>
      <c r="B690" s="19">
        <v>11352592</v>
      </c>
    </row>
    <row r="691" spans="1:2" x14ac:dyDescent="0.3">
      <c r="A691" s="1" t="s">
        <v>739</v>
      </c>
      <c r="B691" s="19">
        <v>14500000</v>
      </c>
    </row>
    <row r="692" spans="1:2" x14ac:dyDescent="0.3">
      <c r="A692" s="1" t="s">
        <v>1652</v>
      </c>
      <c r="B692" s="19">
        <v>16500000</v>
      </c>
    </row>
    <row r="693" spans="1:2" x14ac:dyDescent="0.3">
      <c r="A693" s="1" t="s">
        <v>853</v>
      </c>
      <c r="B693" s="19">
        <v>10500000</v>
      </c>
    </row>
    <row r="694" spans="1:2" x14ac:dyDescent="0.3">
      <c r="A694" s="1" t="s">
        <v>2039</v>
      </c>
      <c r="B694" s="19">
        <v>9250000</v>
      </c>
    </row>
    <row r="695" spans="1:2" x14ac:dyDescent="0.3">
      <c r="A695" s="1" t="s">
        <v>1006</v>
      </c>
      <c r="B695" s="19">
        <v>5000000</v>
      </c>
    </row>
    <row r="696" spans="1:2" x14ac:dyDescent="0.3">
      <c r="A696" s="1" t="s">
        <v>1980</v>
      </c>
      <c r="B696" s="19">
        <v>6650000</v>
      </c>
    </row>
    <row r="697" spans="1:2" x14ac:dyDescent="0.3">
      <c r="A697" s="1" t="s">
        <v>627</v>
      </c>
      <c r="B697" s="19">
        <v>7000000</v>
      </c>
    </row>
    <row r="698" spans="1:2" x14ac:dyDescent="0.3">
      <c r="A698" s="1" t="s">
        <v>253</v>
      </c>
      <c r="B698" s="19">
        <v>8500000</v>
      </c>
    </row>
    <row r="699" spans="1:2" x14ac:dyDescent="0.3">
      <c r="A699" s="1" t="s">
        <v>253</v>
      </c>
      <c r="B699" s="19">
        <v>8550000</v>
      </c>
    </row>
    <row r="700" spans="1:2" x14ac:dyDescent="0.3">
      <c r="A700" s="1" t="s">
        <v>1326</v>
      </c>
      <c r="B700" s="19">
        <v>4000000</v>
      </c>
    </row>
    <row r="701" spans="1:2" x14ac:dyDescent="0.3">
      <c r="A701" s="1" t="s">
        <v>1511</v>
      </c>
      <c r="B701" s="19">
        <v>8500000</v>
      </c>
    </row>
    <row r="702" spans="1:2" x14ac:dyDescent="0.3">
      <c r="A702" s="1" t="s">
        <v>2009</v>
      </c>
      <c r="B702" s="19">
        <v>19700000</v>
      </c>
    </row>
    <row r="703" spans="1:2" x14ac:dyDescent="0.3">
      <c r="A703" s="1" t="s">
        <v>60</v>
      </c>
      <c r="B703" s="19">
        <v>24500000</v>
      </c>
    </row>
    <row r="704" spans="1:2" x14ac:dyDescent="0.3">
      <c r="A704" s="1" t="s">
        <v>595</v>
      </c>
      <c r="B704" s="19">
        <v>9150000</v>
      </c>
    </row>
    <row r="705" spans="1:2" x14ac:dyDescent="0.3">
      <c r="A705" s="1" t="s">
        <v>671</v>
      </c>
      <c r="B705" s="19">
        <v>11300000</v>
      </c>
    </row>
    <row r="706" spans="1:2" x14ac:dyDescent="0.3">
      <c r="A706" s="1" t="s">
        <v>2175</v>
      </c>
      <c r="B706" s="19">
        <v>14500000</v>
      </c>
    </row>
    <row r="707" spans="1:2" x14ac:dyDescent="0.3">
      <c r="A707" s="1" t="s">
        <v>838</v>
      </c>
      <c r="B707" s="19">
        <v>7000000</v>
      </c>
    </row>
    <row r="708" spans="1:2" x14ac:dyDescent="0.3">
      <c r="A708" s="1" t="s">
        <v>1871</v>
      </c>
      <c r="B708" s="19">
        <v>14300000</v>
      </c>
    </row>
    <row r="709" spans="1:2" x14ac:dyDescent="0.3">
      <c r="A709" s="1" t="s">
        <v>1419</v>
      </c>
      <c r="B709" s="19">
        <v>8500000</v>
      </c>
    </row>
    <row r="710" spans="1:2" x14ac:dyDescent="0.3">
      <c r="A710" s="1" t="s">
        <v>640</v>
      </c>
      <c r="B710" s="19">
        <v>13800000</v>
      </c>
    </row>
    <row r="711" spans="1:2" x14ac:dyDescent="0.3">
      <c r="A711" s="1" t="s">
        <v>1985</v>
      </c>
      <c r="B711" s="19">
        <v>6800000</v>
      </c>
    </row>
    <row r="712" spans="1:2" x14ac:dyDescent="0.3">
      <c r="A712" s="1" t="s">
        <v>1678</v>
      </c>
      <c r="B712" s="19">
        <v>6500000</v>
      </c>
    </row>
    <row r="713" spans="1:2" x14ac:dyDescent="0.3">
      <c r="A713" s="1" t="s">
        <v>421</v>
      </c>
      <c r="B713" s="19">
        <v>8000000</v>
      </c>
    </row>
    <row r="714" spans="1:2" x14ac:dyDescent="0.3">
      <c r="A714" s="1" t="s">
        <v>1377</v>
      </c>
      <c r="B714" s="19">
        <v>11300000</v>
      </c>
    </row>
    <row r="715" spans="1:2" x14ac:dyDescent="0.3">
      <c r="A715" s="1" t="s">
        <v>2035</v>
      </c>
      <c r="B715" s="19">
        <v>13500000</v>
      </c>
    </row>
    <row r="716" spans="1:2" x14ac:dyDescent="0.3">
      <c r="A716" s="1" t="s">
        <v>1231</v>
      </c>
      <c r="B716" s="19">
        <v>22000000</v>
      </c>
    </row>
    <row r="717" spans="1:2" x14ac:dyDescent="0.3">
      <c r="A717" s="1" t="s">
        <v>2129</v>
      </c>
      <c r="B717" s="19">
        <v>6300000</v>
      </c>
    </row>
    <row r="718" spans="1:2" x14ac:dyDescent="0.3">
      <c r="A718" s="1" t="s">
        <v>651</v>
      </c>
      <c r="B718" s="19">
        <v>14300000</v>
      </c>
    </row>
    <row r="719" spans="1:2" x14ac:dyDescent="0.3">
      <c r="A719" s="1" t="s">
        <v>2219</v>
      </c>
      <c r="B719" s="19">
        <v>25000000</v>
      </c>
    </row>
    <row r="720" spans="1:2" x14ac:dyDescent="0.3">
      <c r="A720" s="1" t="s">
        <v>2196</v>
      </c>
      <c r="B720" s="19">
        <v>8000000</v>
      </c>
    </row>
    <row r="721" spans="1:2" x14ac:dyDescent="0.3">
      <c r="A721" s="1" t="s">
        <v>2016</v>
      </c>
      <c r="B721" s="19">
        <v>8800000</v>
      </c>
    </row>
    <row r="722" spans="1:2" x14ac:dyDescent="0.3">
      <c r="A722" s="1" t="s">
        <v>1336</v>
      </c>
      <c r="B722" s="19">
        <v>11500000</v>
      </c>
    </row>
    <row r="723" spans="1:2" x14ac:dyDescent="0.3">
      <c r="A723" s="1" t="s">
        <v>2142</v>
      </c>
      <c r="B723" s="19">
        <v>15300000</v>
      </c>
    </row>
    <row r="724" spans="1:2" x14ac:dyDescent="0.3">
      <c r="A724" s="1" t="s">
        <v>2161</v>
      </c>
      <c r="B724" s="19">
        <v>9500000</v>
      </c>
    </row>
    <row r="725" spans="1:2" x14ac:dyDescent="0.3">
      <c r="A725" s="1" t="s">
        <v>1910</v>
      </c>
      <c r="B725" s="19">
        <v>17000000</v>
      </c>
    </row>
    <row r="726" spans="1:2" x14ac:dyDescent="0.3">
      <c r="A726" s="1" t="s">
        <v>1693</v>
      </c>
      <c r="B726" s="19">
        <v>5700000</v>
      </c>
    </row>
    <row r="727" spans="1:2" x14ac:dyDescent="0.3">
      <c r="A727" s="1" t="s">
        <v>998</v>
      </c>
      <c r="B727" s="19">
        <v>5300000</v>
      </c>
    </row>
    <row r="728" spans="1:2" x14ac:dyDescent="0.3">
      <c r="A728" s="1" t="s">
        <v>1833</v>
      </c>
      <c r="B728" s="19">
        <v>8200000</v>
      </c>
    </row>
    <row r="729" spans="1:2" x14ac:dyDescent="0.3">
      <c r="A729" s="1" t="s">
        <v>377</v>
      </c>
      <c r="B729" s="19">
        <v>5400000</v>
      </c>
    </row>
    <row r="730" spans="1:2" x14ac:dyDescent="0.3">
      <c r="A730" s="1" t="s">
        <v>692</v>
      </c>
      <c r="B730" s="19">
        <v>16000000</v>
      </c>
    </row>
    <row r="731" spans="1:2" x14ac:dyDescent="0.3">
      <c r="A731" s="1" t="s">
        <v>817</v>
      </c>
      <c r="B731" s="19">
        <v>24000000</v>
      </c>
    </row>
    <row r="732" spans="1:2" x14ac:dyDescent="0.3">
      <c r="A732" s="1" t="s">
        <v>1695</v>
      </c>
      <c r="B732" s="19">
        <v>12500000</v>
      </c>
    </row>
    <row r="733" spans="1:2" x14ac:dyDescent="0.3">
      <c r="A733" s="1" t="s">
        <v>2200</v>
      </c>
      <c r="B733" s="19">
        <v>9700000</v>
      </c>
    </row>
    <row r="734" spans="1:2" x14ac:dyDescent="0.3">
      <c r="A734" s="1" t="s">
        <v>1228</v>
      </c>
      <c r="B734" s="19">
        <v>9300000</v>
      </c>
    </row>
    <row r="735" spans="1:2" x14ac:dyDescent="0.3">
      <c r="A735" s="1" t="s">
        <v>1228</v>
      </c>
      <c r="B735" s="19">
        <v>14500000</v>
      </c>
    </row>
    <row r="736" spans="1:2" x14ac:dyDescent="0.3">
      <c r="A736" s="1" t="s">
        <v>2000</v>
      </c>
      <c r="B736" s="19">
        <v>8000000</v>
      </c>
    </row>
    <row r="737" spans="1:2" x14ac:dyDescent="0.3">
      <c r="A737" s="1" t="s">
        <v>2181</v>
      </c>
      <c r="B737" s="19">
        <v>6000000</v>
      </c>
    </row>
    <row r="738" spans="1:2" x14ac:dyDescent="0.3">
      <c r="A738" s="1" t="s">
        <v>2278</v>
      </c>
      <c r="B738" s="19">
        <v>14000000</v>
      </c>
    </row>
    <row r="739" spans="1:2" x14ac:dyDescent="0.3">
      <c r="A739" s="1" t="s">
        <v>1437</v>
      </c>
      <c r="B739" s="19">
        <v>22000000</v>
      </c>
    </row>
    <row r="740" spans="1:2" x14ac:dyDescent="0.3">
      <c r="A740" s="1" t="s">
        <v>2045</v>
      </c>
      <c r="B740" s="19">
        <v>13500000</v>
      </c>
    </row>
    <row r="741" spans="1:2" x14ac:dyDescent="0.3">
      <c r="A741" s="1" t="s">
        <v>1055</v>
      </c>
      <c r="B741" s="19">
        <v>6000000</v>
      </c>
    </row>
    <row r="742" spans="1:2" x14ac:dyDescent="0.3">
      <c r="A742" s="1" t="s">
        <v>2135</v>
      </c>
      <c r="B742" s="19">
        <v>6000000</v>
      </c>
    </row>
    <row r="743" spans="1:2" x14ac:dyDescent="0.3">
      <c r="A743" s="1" t="s">
        <v>1619</v>
      </c>
      <c r="B743" s="19">
        <v>5000000</v>
      </c>
    </row>
    <row r="744" spans="1:2" x14ac:dyDescent="0.3">
      <c r="A744" s="1" t="s">
        <v>2132</v>
      </c>
      <c r="B744" s="19">
        <v>9700000</v>
      </c>
    </row>
    <row r="745" spans="1:2" x14ac:dyDescent="0.3">
      <c r="A745" s="1" t="s">
        <v>1434</v>
      </c>
      <c r="B745" s="19">
        <v>31000000</v>
      </c>
    </row>
    <row r="746" spans="1:2" x14ac:dyDescent="0.3">
      <c r="A746" s="1" t="s">
        <v>2371</v>
      </c>
      <c r="B746" s="19">
        <v>11700000</v>
      </c>
    </row>
    <row r="747" spans="1:2" x14ac:dyDescent="0.3">
      <c r="A747" s="1" t="s">
        <v>1012</v>
      </c>
      <c r="B747" s="19">
        <v>14000000</v>
      </c>
    </row>
    <row r="748" spans="1:2" x14ac:dyDescent="0.3">
      <c r="A748" s="1" t="s">
        <v>1987</v>
      </c>
      <c r="B748" s="19">
        <v>9000000</v>
      </c>
    </row>
    <row r="749" spans="1:2" x14ac:dyDescent="0.3">
      <c r="A749" s="1" t="s">
        <v>453</v>
      </c>
      <c r="B749" s="19">
        <v>5200000</v>
      </c>
    </row>
    <row r="750" spans="1:2" x14ac:dyDescent="0.3">
      <c r="A750" s="1" t="s">
        <v>2074</v>
      </c>
      <c r="B750" s="19">
        <v>8200000</v>
      </c>
    </row>
    <row r="751" spans="1:2" x14ac:dyDescent="0.3">
      <c r="A751" s="1" t="s">
        <v>1943</v>
      </c>
      <c r="B751" s="19">
        <v>4000000</v>
      </c>
    </row>
    <row r="752" spans="1:2" x14ac:dyDescent="0.3">
      <c r="A752" s="1" t="s">
        <v>1458</v>
      </c>
      <c r="B752" s="19">
        <v>11700000</v>
      </c>
    </row>
    <row r="753" spans="1:2" x14ac:dyDescent="0.3">
      <c r="A753" s="1" t="s">
        <v>1563</v>
      </c>
      <c r="B753" s="19">
        <v>10000000</v>
      </c>
    </row>
    <row r="754" spans="1:2" x14ac:dyDescent="0.3">
      <c r="A754" s="1" t="s">
        <v>1447</v>
      </c>
      <c r="B754" s="19">
        <v>7000000</v>
      </c>
    </row>
    <row r="755" spans="1:2" x14ac:dyDescent="0.3">
      <c r="A755" s="1" t="s">
        <v>1979</v>
      </c>
      <c r="B755" s="19">
        <v>9000000</v>
      </c>
    </row>
    <row r="756" spans="1:2" x14ac:dyDescent="0.3">
      <c r="A756" s="1" t="s">
        <v>2026</v>
      </c>
      <c r="B756" s="19">
        <v>9000000</v>
      </c>
    </row>
    <row r="757" spans="1:2" x14ac:dyDescent="0.3">
      <c r="A757" s="1" t="s">
        <v>1981</v>
      </c>
      <c r="B757" s="19">
        <v>8000000</v>
      </c>
    </row>
    <row r="758" spans="1:2" x14ac:dyDescent="0.3">
      <c r="A758" s="1" t="s">
        <v>1292</v>
      </c>
      <c r="B758" s="19">
        <v>11500000</v>
      </c>
    </row>
    <row r="759" spans="1:2" x14ac:dyDescent="0.3">
      <c r="A759" s="1" t="s">
        <v>1579</v>
      </c>
      <c r="B759" s="19">
        <v>19000000</v>
      </c>
    </row>
    <row r="760" spans="1:2" x14ac:dyDescent="0.3">
      <c r="A760" s="1" t="s">
        <v>958</v>
      </c>
      <c r="B760" s="19">
        <v>12500000</v>
      </c>
    </row>
    <row r="761" spans="1:2" x14ac:dyDescent="0.3">
      <c r="A761" s="1" t="s">
        <v>1037</v>
      </c>
      <c r="B761" s="19">
        <v>6160000</v>
      </c>
    </row>
    <row r="762" spans="1:2" x14ac:dyDescent="0.3">
      <c r="A762" s="1" t="s">
        <v>1482</v>
      </c>
      <c r="B762" s="19">
        <v>15000000</v>
      </c>
    </row>
    <row r="763" spans="1:2" x14ac:dyDescent="0.3">
      <c r="A763" s="1" t="s">
        <v>880</v>
      </c>
      <c r="B763" s="19">
        <v>8100000</v>
      </c>
    </row>
    <row r="764" spans="1:2" x14ac:dyDescent="0.3">
      <c r="A764" s="1" t="s">
        <v>1495</v>
      </c>
      <c r="B764" s="19">
        <v>7600000</v>
      </c>
    </row>
    <row r="765" spans="1:2" x14ac:dyDescent="0.3">
      <c r="A765" s="1" t="s">
        <v>646</v>
      </c>
      <c r="B765" s="19">
        <v>6400000</v>
      </c>
    </row>
    <row r="766" spans="1:2" x14ac:dyDescent="0.3">
      <c r="A766" s="1" t="s">
        <v>1166</v>
      </c>
      <c r="B766" s="19">
        <v>9000000</v>
      </c>
    </row>
    <row r="767" spans="1:2" x14ac:dyDescent="0.3">
      <c r="A767" s="1" t="s">
        <v>905</v>
      </c>
      <c r="B767" s="19">
        <v>7000000</v>
      </c>
    </row>
    <row r="768" spans="1:2" x14ac:dyDescent="0.3">
      <c r="A768" s="1" t="s">
        <v>905</v>
      </c>
      <c r="B768" s="19">
        <v>14300000</v>
      </c>
    </row>
    <row r="769" spans="1:2" x14ac:dyDescent="0.3">
      <c r="A769" s="1" t="s">
        <v>1717</v>
      </c>
      <c r="B769" s="19">
        <v>9700000</v>
      </c>
    </row>
    <row r="770" spans="1:2" x14ac:dyDescent="0.3">
      <c r="A770" s="1" t="s">
        <v>2233</v>
      </c>
      <c r="B770" s="19">
        <v>5700000</v>
      </c>
    </row>
    <row r="771" spans="1:2" x14ac:dyDescent="0.3">
      <c r="A771" s="1" t="s">
        <v>708</v>
      </c>
      <c r="B771" s="19">
        <v>15500000</v>
      </c>
    </row>
    <row r="772" spans="1:2" x14ac:dyDescent="0.3">
      <c r="A772" s="1" t="s">
        <v>1686</v>
      </c>
      <c r="B772" s="19">
        <v>10500000</v>
      </c>
    </row>
    <row r="773" spans="1:2" x14ac:dyDescent="0.3">
      <c r="A773" s="1" t="s">
        <v>795</v>
      </c>
      <c r="B773" s="19">
        <v>8000000</v>
      </c>
    </row>
    <row r="774" spans="1:2" x14ac:dyDescent="0.3">
      <c r="A774" s="1" t="s">
        <v>1568</v>
      </c>
      <c r="B774" s="19">
        <v>5500000</v>
      </c>
    </row>
    <row r="775" spans="1:2" x14ac:dyDescent="0.3">
      <c r="A775" s="1" t="s">
        <v>1724</v>
      </c>
      <c r="B775" s="19">
        <v>32000000</v>
      </c>
    </row>
    <row r="776" spans="1:2" x14ac:dyDescent="0.3">
      <c r="A776" s="1" t="s">
        <v>2042</v>
      </c>
      <c r="B776" s="19">
        <v>7100000</v>
      </c>
    </row>
    <row r="777" spans="1:2" x14ac:dyDescent="0.3">
      <c r="A777" s="1" t="s">
        <v>2178</v>
      </c>
      <c r="B777" s="19">
        <v>21500000</v>
      </c>
    </row>
    <row r="778" spans="1:2" x14ac:dyDescent="0.3">
      <c r="A778" s="1" t="s">
        <v>424</v>
      </c>
      <c r="B778" s="19">
        <v>12700000</v>
      </c>
    </row>
    <row r="779" spans="1:2" x14ac:dyDescent="0.3">
      <c r="A779" s="1" t="s">
        <v>1795</v>
      </c>
      <c r="B779" s="19">
        <v>12500000</v>
      </c>
    </row>
    <row r="780" spans="1:2" x14ac:dyDescent="0.3">
      <c r="A780" s="1" t="s">
        <v>665</v>
      </c>
      <c r="B780" s="19">
        <v>15000000</v>
      </c>
    </row>
    <row r="781" spans="1:2" x14ac:dyDescent="0.3">
      <c r="A781" s="1" t="s">
        <v>2024</v>
      </c>
      <c r="B781" s="19">
        <v>12000000</v>
      </c>
    </row>
    <row r="782" spans="1:2" x14ac:dyDescent="0.3">
      <c r="A782" s="1" t="s">
        <v>951</v>
      </c>
      <c r="B782" s="19">
        <v>6700000</v>
      </c>
    </row>
    <row r="783" spans="1:2" x14ac:dyDescent="0.3">
      <c r="A783" s="1" t="s">
        <v>145</v>
      </c>
      <c r="B783" s="19">
        <v>15500000</v>
      </c>
    </row>
    <row r="784" spans="1:2" x14ac:dyDescent="0.3">
      <c r="A784" s="1" t="s">
        <v>2240</v>
      </c>
      <c r="B784" s="19">
        <v>25000000</v>
      </c>
    </row>
    <row r="785" spans="1:2" x14ac:dyDescent="0.3">
      <c r="A785" s="1" t="s">
        <v>2052</v>
      </c>
      <c r="B785" s="19">
        <v>12000000</v>
      </c>
    </row>
    <row r="786" spans="1:2" x14ac:dyDescent="0.3">
      <c r="A786" s="1" t="s">
        <v>1120</v>
      </c>
      <c r="B786" s="19">
        <v>10000000</v>
      </c>
    </row>
    <row r="787" spans="1:2" x14ac:dyDescent="0.3">
      <c r="A787" s="1" t="s">
        <v>2280</v>
      </c>
      <c r="B787" s="19">
        <v>11400000</v>
      </c>
    </row>
    <row r="788" spans="1:2" x14ac:dyDescent="0.3">
      <c r="A788" s="1" t="s">
        <v>2254</v>
      </c>
      <c r="B788" s="19">
        <v>13000000</v>
      </c>
    </row>
    <row r="789" spans="1:2" x14ac:dyDescent="0.3">
      <c r="A789" s="1" t="s">
        <v>1498</v>
      </c>
      <c r="B789" s="19">
        <v>11500000</v>
      </c>
    </row>
    <row r="790" spans="1:2" x14ac:dyDescent="0.3">
      <c r="A790" s="1" t="s">
        <v>2085</v>
      </c>
      <c r="B790" s="19">
        <v>9900000</v>
      </c>
    </row>
    <row r="791" spans="1:2" x14ac:dyDescent="0.3">
      <c r="A791" s="1" t="s">
        <v>429</v>
      </c>
      <c r="B791" s="19">
        <v>8500000</v>
      </c>
    </row>
    <row r="792" spans="1:2" x14ac:dyDescent="0.3">
      <c r="A792" s="1" t="s">
        <v>429</v>
      </c>
      <c r="B792" s="19">
        <v>9500000</v>
      </c>
    </row>
    <row r="793" spans="1:2" x14ac:dyDescent="0.3">
      <c r="A793" s="1" t="s">
        <v>1841</v>
      </c>
      <c r="B793" s="19">
        <v>7650000</v>
      </c>
    </row>
    <row r="794" spans="1:2" x14ac:dyDescent="0.3">
      <c r="A794" s="1" t="s">
        <v>1257</v>
      </c>
      <c r="B794" s="19">
        <v>12600000</v>
      </c>
    </row>
    <row r="795" spans="1:2" x14ac:dyDescent="0.3">
      <c r="A795" s="1" t="s">
        <v>396</v>
      </c>
      <c r="B795" s="19">
        <v>10000000</v>
      </c>
    </row>
    <row r="796" spans="1:2" x14ac:dyDescent="0.3">
      <c r="A796" s="1" t="s">
        <v>1184</v>
      </c>
      <c r="B796" s="19">
        <v>6000000</v>
      </c>
    </row>
    <row r="797" spans="1:2" x14ac:dyDescent="0.3">
      <c r="A797" s="1" t="s">
        <v>1528</v>
      </c>
      <c r="B797" s="19">
        <v>22000000</v>
      </c>
    </row>
    <row r="798" spans="1:2" x14ac:dyDescent="0.3">
      <c r="A798" s="1" t="s">
        <v>1528</v>
      </c>
      <c r="B798" s="19">
        <v>27000000</v>
      </c>
    </row>
    <row r="799" spans="1:2" x14ac:dyDescent="0.3">
      <c r="A799" s="1" t="s">
        <v>2143</v>
      </c>
      <c r="B799" s="19">
        <v>8000000</v>
      </c>
    </row>
    <row r="800" spans="1:2" x14ac:dyDescent="0.3">
      <c r="A800" s="1" t="s">
        <v>499</v>
      </c>
      <c r="B800" s="19">
        <v>6600000</v>
      </c>
    </row>
    <row r="801" spans="1:2" x14ac:dyDescent="0.3">
      <c r="A801" s="1" t="s">
        <v>790</v>
      </c>
      <c r="B801" s="19">
        <v>6100000</v>
      </c>
    </row>
    <row r="802" spans="1:2" x14ac:dyDescent="0.3">
      <c r="A802" s="1" t="s">
        <v>1850</v>
      </c>
      <c r="B802" s="19">
        <v>5500000</v>
      </c>
    </row>
    <row r="803" spans="1:2" x14ac:dyDescent="0.3">
      <c r="A803" s="1" t="s">
        <v>1318</v>
      </c>
      <c r="B803" s="19">
        <v>22500000</v>
      </c>
    </row>
    <row r="804" spans="1:2" x14ac:dyDescent="0.3">
      <c r="A804" s="1" t="s">
        <v>1995</v>
      </c>
      <c r="B804" s="19">
        <v>13000000</v>
      </c>
    </row>
    <row r="805" spans="1:2" x14ac:dyDescent="0.3">
      <c r="A805" s="1" t="s">
        <v>472</v>
      </c>
      <c r="B805" s="19">
        <v>25350000</v>
      </c>
    </row>
    <row r="806" spans="1:2" x14ac:dyDescent="0.3">
      <c r="A806" s="1" t="s">
        <v>1817</v>
      </c>
      <c r="B806" s="19">
        <v>6000000</v>
      </c>
    </row>
    <row r="807" spans="1:2" x14ac:dyDescent="0.3">
      <c r="A807" s="1" t="s">
        <v>320</v>
      </c>
      <c r="B807" s="19">
        <v>11000000</v>
      </c>
    </row>
    <row r="808" spans="1:2" x14ac:dyDescent="0.3">
      <c r="A808" s="1" t="s">
        <v>320</v>
      </c>
      <c r="B808" s="19">
        <v>12000000</v>
      </c>
    </row>
    <row r="809" spans="1:2" x14ac:dyDescent="0.3">
      <c r="A809" s="1" t="s">
        <v>1727</v>
      </c>
      <c r="B809" s="19">
        <v>8500000</v>
      </c>
    </row>
    <row r="810" spans="1:2" x14ac:dyDescent="0.3">
      <c r="A810" s="1" t="s">
        <v>1671</v>
      </c>
      <c r="B810" s="19">
        <v>5700000</v>
      </c>
    </row>
    <row r="811" spans="1:2" x14ac:dyDescent="0.3">
      <c r="A811" s="1" t="s">
        <v>1581</v>
      </c>
      <c r="B811" s="19">
        <v>18600000</v>
      </c>
    </row>
    <row r="812" spans="1:2" x14ac:dyDescent="0.3">
      <c r="A812" s="1" t="s">
        <v>1343</v>
      </c>
      <c r="B812" s="19">
        <v>6000000</v>
      </c>
    </row>
    <row r="813" spans="1:2" x14ac:dyDescent="0.3">
      <c r="A813" s="1" t="s">
        <v>2183</v>
      </c>
      <c r="B813" s="19">
        <v>7000000</v>
      </c>
    </row>
    <row r="814" spans="1:2" x14ac:dyDescent="0.3">
      <c r="A814" s="1" t="s">
        <v>2195</v>
      </c>
      <c r="B814" s="19">
        <v>21000000</v>
      </c>
    </row>
    <row r="815" spans="1:2" x14ac:dyDescent="0.3">
      <c r="A815" s="1" t="s">
        <v>2098</v>
      </c>
      <c r="B815" s="19">
        <v>11500000</v>
      </c>
    </row>
    <row r="816" spans="1:2" x14ac:dyDescent="0.3">
      <c r="A816" s="1" t="s">
        <v>2097</v>
      </c>
      <c r="B816" s="19">
        <v>17500000</v>
      </c>
    </row>
    <row r="817" spans="1:2" x14ac:dyDescent="0.3">
      <c r="A817" s="1" t="s">
        <v>1286</v>
      </c>
      <c r="B817" s="19">
        <v>11700000</v>
      </c>
    </row>
    <row r="818" spans="1:2" x14ac:dyDescent="0.3">
      <c r="A818" s="1" t="s">
        <v>2153</v>
      </c>
      <c r="B818" s="19">
        <v>10520000</v>
      </c>
    </row>
    <row r="819" spans="1:2" x14ac:dyDescent="0.3">
      <c r="A819" s="1" t="s">
        <v>2065</v>
      </c>
      <c r="B819" s="19">
        <v>9800000</v>
      </c>
    </row>
    <row r="820" spans="1:2" x14ac:dyDescent="0.3">
      <c r="A820" s="1" t="s">
        <v>33</v>
      </c>
      <c r="B820" s="19">
        <v>4800000</v>
      </c>
    </row>
    <row r="821" spans="1:2" x14ac:dyDescent="0.3">
      <c r="A821" s="1" t="s">
        <v>267</v>
      </c>
      <c r="B821" s="19">
        <v>9400000</v>
      </c>
    </row>
    <row r="822" spans="1:2" x14ac:dyDescent="0.3">
      <c r="A822" s="1" t="s">
        <v>1279</v>
      </c>
      <c r="B822" s="19">
        <v>12500000</v>
      </c>
    </row>
    <row r="823" spans="1:2" x14ac:dyDescent="0.3">
      <c r="A823" s="1" t="s">
        <v>1930</v>
      </c>
      <c r="B823" s="19">
        <v>8400000</v>
      </c>
    </row>
    <row r="824" spans="1:2" x14ac:dyDescent="0.3">
      <c r="A824" s="1" t="s">
        <v>2107</v>
      </c>
      <c r="B824" s="19">
        <v>8800000</v>
      </c>
    </row>
    <row r="825" spans="1:2" x14ac:dyDescent="0.3">
      <c r="A825" s="1" t="s">
        <v>1856</v>
      </c>
      <c r="B825" s="19">
        <v>8200000</v>
      </c>
    </row>
    <row r="826" spans="1:2" x14ac:dyDescent="0.3">
      <c r="A826" s="1" t="s">
        <v>1534</v>
      </c>
      <c r="B826" s="19">
        <v>6420000</v>
      </c>
    </row>
    <row r="827" spans="1:2" x14ac:dyDescent="0.3">
      <c r="A827" s="1" t="s">
        <v>2264</v>
      </c>
      <c r="B827" s="19">
        <v>17800000</v>
      </c>
    </row>
    <row r="828" spans="1:2" x14ac:dyDescent="0.3">
      <c r="A828" s="1" t="s">
        <v>2311</v>
      </c>
      <c r="B828" s="19">
        <v>20000000</v>
      </c>
    </row>
    <row r="829" spans="1:2" x14ac:dyDescent="0.3">
      <c r="A829" s="1" t="s">
        <v>1009</v>
      </c>
      <c r="B829" s="19">
        <v>25000000</v>
      </c>
    </row>
    <row r="830" spans="1:2" x14ac:dyDescent="0.3">
      <c r="A830" s="1" t="s">
        <v>1690</v>
      </c>
      <c r="B830" s="19">
        <v>12000000</v>
      </c>
    </row>
    <row r="831" spans="1:2" x14ac:dyDescent="0.3">
      <c r="A831" s="1" t="s">
        <v>2258</v>
      </c>
      <c r="B831" s="19">
        <v>15000000</v>
      </c>
    </row>
    <row r="832" spans="1:2" x14ac:dyDescent="0.3">
      <c r="A832" s="1" t="s">
        <v>1121</v>
      </c>
      <c r="B832" s="19">
        <v>5500000</v>
      </c>
    </row>
    <row r="833" spans="1:2" x14ac:dyDescent="0.3">
      <c r="A833" s="1" t="s">
        <v>1988</v>
      </c>
      <c r="B833" s="19">
        <v>17500000</v>
      </c>
    </row>
    <row r="834" spans="1:2" x14ac:dyDescent="0.3">
      <c r="A834" s="1" t="s">
        <v>1913</v>
      </c>
      <c r="B834" s="19">
        <v>10000000</v>
      </c>
    </row>
    <row r="835" spans="1:2" x14ac:dyDescent="0.3">
      <c r="A835" s="1" t="s">
        <v>120</v>
      </c>
      <c r="B835" s="19">
        <v>24000000</v>
      </c>
    </row>
    <row r="836" spans="1:2" x14ac:dyDescent="0.3">
      <c r="A836" s="1" t="s">
        <v>1762</v>
      </c>
      <c r="B836" s="19">
        <v>11000000</v>
      </c>
    </row>
    <row r="837" spans="1:2" x14ac:dyDescent="0.3">
      <c r="A837" s="1" t="s">
        <v>2282</v>
      </c>
      <c r="B837" s="19">
        <v>6500000</v>
      </c>
    </row>
    <row r="838" spans="1:2" x14ac:dyDescent="0.3">
      <c r="A838" s="1" t="s">
        <v>992</v>
      </c>
      <c r="B838" s="19">
        <v>9300000</v>
      </c>
    </row>
    <row r="839" spans="1:2" x14ac:dyDescent="0.3">
      <c r="A839" s="1" t="s">
        <v>1691</v>
      </c>
      <c r="B839" s="19">
        <v>5800000</v>
      </c>
    </row>
    <row r="840" spans="1:2" x14ac:dyDescent="0.3">
      <c r="A840" s="1" t="s">
        <v>2232</v>
      </c>
      <c r="B840" s="19">
        <v>11500000</v>
      </c>
    </row>
    <row r="841" spans="1:2" x14ac:dyDescent="0.3">
      <c r="A841" s="1" t="s">
        <v>2218</v>
      </c>
      <c r="B841" s="19">
        <v>18000000</v>
      </c>
    </row>
    <row r="842" spans="1:2" x14ac:dyDescent="0.3">
      <c r="A842" s="1" t="s">
        <v>491</v>
      </c>
      <c r="B842" s="19">
        <v>6300000</v>
      </c>
    </row>
    <row r="843" spans="1:2" x14ac:dyDescent="0.3">
      <c r="A843" s="1" t="s">
        <v>1785</v>
      </c>
      <c r="B843" s="19">
        <v>7500000</v>
      </c>
    </row>
    <row r="844" spans="1:2" x14ac:dyDescent="0.3">
      <c r="A844" s="1" t="s">
        <v>57</v>
      </c>
      <c r="B844" s="19">
        <v>7100000</v>
      </c>
    </row>
    <row r="845" spans="1:2" x14ac:dyDescent="0.3">
      <c r="A845" s="1" t="s">
        <v>1978</v>
      </c>
      <c r="B845" s="19">
        <v>6000000</v>
      </c>
    </row>
    <row r="846" spans="1:2" x14ac:dyDescent="0.3">
      <c r="A846" s="1" t="s">
        <v>378</v>
      </c>
      <c r="B846" s="19">
        <v>10200000</v>
      </c>
    </row>
    <row r="847" spans="1:2" x14ac:dyDescent="0.3">
      <c r="A847" s="1" t="s">
        <v>1805</v>
      </c>
      <c r="B847" s="19">
        <v>25000000</v>
      </c>
    </row>
    <row r="848" spans="1:2" x14ac:dyDescent="0.3">
      <c r="A848" s="1" t="s">
        <v>1488</v>
      </c>
      <c r="B848" s="19">
        <v>9500000</v>
      </c>
    </row>
    <row r="849" spans="1:2" x14ac:dyDescent="0.3">
      <c r="A849" s="1" t="s">
        <v>1363</v>
      </c>
      <c r="B849" s="19">
        <v>5900000</v>
      </c>
    </row>
    <row r="850" spans="1:2" x14ac:dyDescent="0.3">
      <c r="A850" s="1" t="s">
        <v>1844</v>
      </c>
      <c r="B850" s="19">
        <v>5500000</v>
      </c>
    </row>
    <row r="851" spans="1:2" x14ac:dyDescent="0.3">
      <c r="A851" s="1" t="s">
        <v>664</v>
      </c>
      <c r="B851" s="19">
        <v>8500000</v>
      </c>
    </row>
    <row r="852" spans="1:2" x14ac:dyDescent="0.3">
      <c r="A852" s="1" t="s">
        <v>664</v>
      </c>
      <c r="B852" s="19">
        <v>10290000</v>
      </c>
    </row>
    <row r="853" spans="1:2" x14ac:dyDescent="0.3">
      <c r="A853" s="1" t="s">
        <v>1530</v>
      </c>
      <c r="B853" s="19">
        <v>30000000</v>
      </c>
    </row>
    <row r="854" spans="1:2" x14ac:dyDescent="0.3">
      <c r="A854" s="1" t="s">
        <v>1952</v>
      </c>
      <c r="B854" s="19">
        <v>7000000</v>
      </c>
    </row>
    <row r="855" spans="1:2" x14ac:dyDescent="0.3">
      <c r="A855" s="1" t="s">
        <v>2113</v>
      </c>
      <c r="B855" s="19">
        <v>7200000</v>
      </c>
    </row>
    <row r="856" spans="1:2" x14ac:dyDescent="0.3">
      <c r="A856" s="1" t="s">
        <v>743</v>
      </c>
      <c r="B856" s="19">
        <v>9350000</v>
      </c>
    </row>
    <row r="857" spans="1:2" x14ac:dyDescent="0.3">
      <c r="A857" s="1" t="s">
        <v>1091</v>
      </c>
      <c r="B857" s="19">
        <v>11200000</v>
      </c>
    </row>
    <row r="858" spans="1:2" x14ac:dyDescent="0.3">
      <c r="A858" s="1" t="s">
        <v>2248</v>
      </c>
      <c r="B858" s="19">
        <v>9000000</v>
      </c>
    </row>
    <row r="859" spans="1:2" x14ac:dyDescent="0.3">
      <c r="A859" s="1" t="s">
        <v>409</v>
      </c>
      <c r="B859" s="19">
        <v>6300000</v>
      </c>
    </row>
    <row r="860" spans="1:2" x14ac:dyDescent="0.3">
      <c r="A860" s="1" t="s">
        <v>1481</v>
      </c>
      <c r="B860" s="19">
        <v>10500000</v>
      </c>
    </row>
    <row r="861" spans="1:2" x14ac:dyDescent="0.3">
      <c r="A861" s="1" t="s">
        <v>777</v>
      </c>
      <c r="B861" s="19">
        <v>16000000</v>
      </c>
    </row>
    <row r="862" spans="1:2" x14ac:dyDescent="0.3">
      <c r="A862" s="1" t="s">
        <v>2242</v>
      </c>
      <c r="B862" s="19">
        <v>7700000</v>
      </c>
    </row>
    <row r="863" spans="1:2" x14ac:dyDescent="0.3">
      <c r="A863" s="1" t="s">
        <v>1573</v>
      </c>
      <c r="B863" s="19">
        <v>5700000</v>
      </c>
    </row>
    <row r="864" spans="1:2" x14ac:dyDescent="0.3">
      <c r="A864" s="1" t="s">
        <v>1729</v>
      </c>
      <c r="B864" s="19">
        <v>7800000</v>
      </c>
    </row>
    <row r="865" spans="1:2" x14ac:dyDescent="0.3">
      <c r="A865" s="1" t="s">
        <v>1752</v>
      </c>
      <c r="B865" s="19">
        <v>12000000</v>
      </c>
    </row>
    <row r="866" spans="1:2" x14ac:dyDescent="0.3">
      <c r="A866" s="1" t="s">
        <v>719</v>
      </c>
      <c r="B866" s="19">
        <v>10000000</v>
      </c>
    </row>
    <row r="867" spans="1:2" x14ac:dyDescent="0.3">
      <c r="A867" s="1" t="s">
        <v>643</v>
      </c>
      <c r="B867" s="19">
        <v>9300000</v>
      </c>
    </row>
    <row r="868" spans="1:2" x14ac:dyDescent="0.3">
      <c r="A868" s="1" t="s">
        <v>515</v>
      </c>
      <c r="B868" s="19">
        <v>14000000</v>
      </c>
    </row>
    <row r="869" spans="1:2" x14ac:dyDescent="0.3">
      <c r="A869" s="1" t="s">
        <v>1965</v>
      </c>
      <c r="B869" s="19">
        <v>9500000</v>
      </c>
    </row>
    <row r="870" spans="1:2" x14ac:dyDescent="0.3">
      <c r="A870" s="1" t="s">
        <v>1472</v>
      </c>
      <c r="B870" s="19">
        <v>16500000</v>
      </c>
    </row>
    <row r="871" spans="1:2" x14ac:dyDescent="0.3">
      <c r="A871" s="1" t="s">
        <v>622</v>
      </c>
      <c r="B871" s="19">
        <v>3500000</v>
      </c>
    </row>
    <row r="872" spans="1:2" x14ac:dyDescent="0.3">
      <c r="A872" s="1" t="s">
        <v>926</v>
      </c>
      <c r="B872" s="19">
        <v>7600000</v>
      </c>
    </row>
    <row r="873" spans="1:2" x14ac:dyDescent="0.3">
      <c r="A873" s="1" t="s">
        <v>1773</v>
      </c>
      <c r="B873" s="19">
        <v>9800000</v>
      </c>
    </row>
    <row r="874" spans="1:2" x14ac:dyDescent="0.3">
      <c r="A874" s="1" t="s">
        <v>2119</v>
      </c>
      <c r="B874" s="19">
        <v>8000000</v>
      </c>
    </row>
    <row r="875" spans="1:2" x14ac:dyDescent="0.3">
      <c r="A875" s="1" t="s">
        <v>2267</v>
      </c>
      <c r="B875" s="19">
        <v>17000000</v>
      </c>
    </row>
    <row r="876" spans="1:2" x14ac:dyDescent="0.3">
      <c r="A876" s="1" t="s">
        <v>1846</v>
      </c>
      <c r="B876" s="19">
        <v>9000000</v>
      </c>
    </row>
    <row r="877" spans="1:2" x14ac:dyDescent="0.3">
      <c r="A877" s="1" t="s">
        <v>2092</v>
      </c>
      <c r="B877" s="19">
        <v>17000000</v>
      </c>
    </row>
    <row r="878" spans="1:2" x14ac:dyDescent="0.3">
      <c r="A878" s="1" t="s">
        <v>1664</v>
      </c>
      <c r="B878" s="19">
        <v>7000000</v>
      </c>
    </row>
    <row r="879" spans="1:2" x14ac:dyDescent="0.3">
      <c r="A879" s="1" t="s">
        <v>1813</v>
      </c>
      <c r="B879" s="19">
        <v>9000000</v>
      </c>
    </row>
    <row r="880" spans="1:2" x14ac:dyDescent="0.3">
      <c r="A880" s="1" t="s">
        <v>1501</v>
      </c>
      <c r="B880" s="19">
        <v>11500000</v>
      </c>
    </row>
    <row r="881" spans="1:2" x14ac:dyDescent="0.3">
      <c r="A881" s="1" t="s">
        <v>1575</v>
      </c>
      <c r="B881" s="19">
        <v>31000000</v>
      </c>
    </row>
    <row r="882" spans="1:2" x14ac:dyDescent="0.3">
      <c r="A882" s="1" t="s">
        <v>333</v>
      </c>
      <c r="B882" s="19">
        <v>10000000</v>
      </c>
    </row>
    <row r="883" spans="1:2" x14ac:dyDescent="0.3">
      <c r="A883" s="1" t="s">
        <v>552</v>
      </c>
      <c r="B883" s="19">
        <v>7000000</v>
      </c>
    </row>
    <row r="884" spans="1:2" x14ac:dyDescent="0.3">
      <c r="A884" s="1" t="s">
        <v>768</v>
      </c>
      <c r="B884" s="19">
        <v>5200000</v>
      </c>
    </row>
    <row r="885" spans="1:2" x14ac:dyDescent="0.3">
      <c r="A885" s="1" t="s">
        <v>1801</v>
      </c>
      <c r="B885" s="19">
        <v>10500000</v>
      </c>
    </row>
    <row r="886" spans="1:2" x14ac:dyDescent="0.3">
      <c r="A886" s="1" t="s">
        <v>2210</v>
      </c>
      <c r="B886" s="19">
        <v>14000000</v>
      </c>
    </row>
    <row r="887" spans="1:2" x14ac:dyDescent="0.3">
      <c r="A887" s="1" t="s">
        <v>1651</v>
      </c>
      <c r="B887" s="19">
        <v>12500000</v>
      </c>
    </row>
    <row r="888" spans="1:2" x14ac:dyDescent="0.3">
      <c r="A888" s="1" t="s">
        <v>1126</v>
      </c>
      <c r="B888" s="19">
        <v>5200000</v>
      </c>
    </row>
    <row r="889" spans="1:2" x14ac:dyDescent="0.3">
      <c r="A889" s="1" t="s">
        <v>1898</v>
      </c>
      <c r="B889" s="19">
        <v>11800000</v>
      </c>
    </row>
    <row r="890" spans="1:2" x14ac:dyDescent="0.3">
      <c r="A890" s="1" t="s">
        <v>1401</v>
      </c>
      <c r="B890" s="19">
        <v>9500000</v>
      </c>
    </row>
    <row r="891" spans="1:2" x14ac:dyDescent="0.3">
      <c r="A891" s="1" t="s">
        <v>471</v>
      </c>
      <c r="B891" s="19">
        <v>10500000</v>
      </c>
    </row>
    <row r="892" spans="1:2" x14ac:dyDescent="0.3">
      <c r="A892" s="1" t="s">
        <v>471</v>
      </c>
      <c r="B892" s="19">
        <v>11200000</v>
      </c>
    </row>
    <row r="893" spans="1:2" x14ac:dyDescent="0.3">
      <c r="A893" s="1" t="s">
        <v>1842</v>
      </c>
      <c r="B893" s="19">
        <v>7000000</v>
      </c>
    </row>
    <row r="894" spans="1:2" x14ac:dyDescent="0.3">
      <c r="A894" s="1" t="s">
        <v>1206</v>
      </c>
      <c r="B894" s="19">
        <v>13500000</v>
      </c>
    </row>
    <row r="895" spans="1:2" x14ac:dyDescent="0.3">
      <c r="A895" s="1" t="s">
        <v>1792</v>
      </c>
      <c r="B895" s="19">
        <v>11800000</v>
      </c>
    </row>
    <row r="896" spans="1:2" x14ac:dyDescent="0.3">
      <c r="A896" s="1" t="s">
        <v>1476</v>
      </c>
      <c r="B896" s="19">
        <v>13300000</v>
      </c>
    </row>
    <row r="897" spans="1:2" x14ac:dyDescent="0.3">
      <c r="A897" s="1" t="s">
        <v>2298</v>
      </c>
      <c r="B897" s="19">
        <v>23000000</v>
      </c>
    </row>
    <row r="898" spans="1:2" x14ac:dyDescent="0.3">
      <c r="A898" s="1" t="s">
        <v>1932</v>
      </c>
      <c r="B898" s="19">
        <v>6300000</v>
      </c>
    </row>
    <row r="899" spans="1:2" x14ac:dyDescent="0.3">
      <c r="A899" s="1" t="s">
        <v>2283</v>
      </c>
      <c r="B899" s="19">
        <v>12000000</v>
      </c>
    </row>
    <row r="900" spans="1:2" x14ac:dyDescent="0.3">
      <c r="A900" s="1" t="s">
        <v>1474</v>
      </c>
      <c r="B900" s="19">
        <v>16500000</v>
      </c>
    </row>
    <row r="901" spans="1:2" x14ac:dyDescent="0.3">
      <c r="A901" s="1" t="s">
        <v>1809</v>
      </c>
      <c r="B901" s="19">
        <v>6500000</v>
      </c>
    </row>
    <row r="902" spans="1:2" x14ac:dyDescent="0.3">
      <c r="A902" s="1" t="s">
        <v>2269</v>
      </c>
      <c r="B902" s="19">
        <v>12500000</v>
      </c>
    </row>
    <row r="903" spans="1:2" x14ac:dyDescent="0.3">
      <c r="A903" s="1" t="s">
        <v>2271</v>
      </c>
      <c r="B903" s="19">
        <v>17000000</v>
      </c>
    </row>
    <row r="904" spans="1:2" x14ac:dyDescent="0.3">
      <c r="A904" s="1" t="s">
        <v>1802</v>
      </c>
      <c r="B904" s="19">
        <v>10800000</v>
      </c>
    </row>
    <row r="905" spans="1:2" x14ac:dyDescent="0.3">
      <c r="A905" s="1" t="s">
        <v>1758</v>
      </c>
      <c r="B905" s="19">
        <v>7500000</v>
      </c>
    </row>
    <row r="906" spans="1:2" x14ac:dyDescent="0.3">
      <c r="A906" s="1" t="s">
        <v>955</v>
      </c>
      <c r="B906" s="19">
        <v>13000000</v>
      </c>
    </row>
    <row r="907" spans="1:2" x14ac:dyDescent="0.3">
      <c r="A907" s="1" t="s">
        <v>955</v>
      </c>
      <c r="B907" s="19">
        <v>17000000</v>
      </c>
    </row>
    <row r="908" spans="1:2" x14ac:dyDescent="0.3">
      <c r="A908" s="1" t="s">
        <v>2241</v>
      </c>
      <c r="B908" s="19">
        <v>14000000</v>
      </c>
    </row>
    <row r="909" spans="1:2" x14ac:dyDescent="0.3">
      <c r="A909" s="1" t="s">
        <v>1551</v>
      </c>
      <c r="B909" s="19">
        <v>6500000</v>
      </c>
    </row>
    <row r="910" spans="1:2" x14ac:dyDescent="0.3">
      <c r="A910" s="1" t="s">
        <v>1340</v>
      </c>
      <c r="B910" s="19">
        <v>10500000</v>
      </c>
    </row>
    <row r="911" spans="1:2" x14ac:dyDescent="0.3">
      <c r="A911" s="1" t="s">
        <v>1199</v>
      </c>
      <c r="B911" s="19">
        <v>9000000</v>
      </c>
    </row>
    <row r="912" spans="1:2" x14ac:dyDescent="0.3">
      <c r="A912" s="1" t="s">
        <v>1633</v>
      </c>
      <c r="B912" s="19">
        <v>10000000</v>
      </c>
    </row>
    <row r="913" spans="1:2" x14ac:dyDescent="0.3">
      <c r="A913" s="1" t="s">
        <v>1880</v>
      </c>
      <c r="B913" s="19">
        <v>13500000</v>
      </c>
    </row>
    <row r="914" spans="1:2" x14ac:dyDescent="0.3">
      <c r="A914" s="1" t="s">
        <v>2116</v>
      </c>
      <c r="B914" s="19">
        <v>10500000</v>
      </c>
    </row>
    <row r="915" spans="1:2" x14ac:dyDescent="0.3">
      <c r="A915" s="1" t="s">
        <v>1663</v>
      </c>
      <c r="B915" s="19">
        <v>15000000</v>
      </c>
    </row>
    <row r="916" spans="1:2" x14ac:dyDescent="0.3">
      <c r="A916" s="1" t="s">
        <v>1656</v>
      </c>
      <c r="B916" s="19">
        <v>19000000</v>
      </c>
    </row>
    <row r="917" spans="1:2" x14ac:dyDescent="0.3">
      <c r="A917" s="1" t="s">
        <v>1656</v>
      </c>
      <c r="B917" s="19">
        <v>19500000</v>
      </c>
    </row>
    <row r="918" spans="1:2" x14ac:dyDescent="0.3">
      <c r="A918" s="1" t="s">
        <v>1699</v>
      </c>
      <c r="B918" s="19">
        <v>10500000</v>
      </c>
    </row>
    <row r="919" spans="1:2" x14ac:dyDescent="0.3">
      <c r="A919" s="1" t="s">
        <v>2348</v>
      </c>
      <c r="B919" s="19">
        <v>16000000</v>
      </c>
    </row>
    <row r="920" spans="1:2" x14ac:dyDescent="0.3">
      <c r="A920" s="1" t="s">
        <v>1054</v>
      </c>
      <c r="B920" s="19">
        <v>9300000</v>
      </c>
    </row>
    <row r="921" spans="1:2" x14ac:dyDescent="0.3">
      <c r="A921" s="1" t="s">
        <v>1994</v>
      </c>
      <c r="B921" s="19">
        <v>10000000</v>
      </c>
    </row>
    <row r="922" spans="1:2" x14ac:dyDescent="0.3">
      <c r="A922" s="1" t="s">
        <v>1658</v>
      </c>
      <c r="B922" s="19">
        <v>8000000</v>
      </c>
    </row>
    <row r="923" spans="1:2" x14ac:dyDescent="0.3">
      <c r="A923" s="1" t="s">
        <v>2034</v>
      </c>
      <c r="B923" s="19">
        <v>7200000</v>
      </c>
    </row>
    <row r="924" spans="1:2" x14ac:dyDescent="0.3">
      <c r="A924" s="1" t="s">
        <v>1962</v>
      </c>
      <c r="B924" s="19">
        <v>6000000</v>
      </c>
    </row>
    <row r="925" spans="1:2" x14ac:dyDescent="0.3">
      <c r="A925" s="1" t="s">
        <v>1659</v>
      </c>
      <c r="B925" s="19">
        <v>12300000</v>
      </c>
    </row>
    <row r="926" spans="1:2" x14ac:dyDescent="0.3">
      <c r="A926" s="1" t="s">
        <v>2257</v>
      </c>
      <c r="B926" s="19">
        <v>10000000</v>
      </c>
    </row>
    <row r="927" spans="1:2" x14ac:dyDescent="0.3">
      <c r="A927" s="1" t="s">
        <v>1445</v>
      </c>
      <c r="B927" s="19">
        <v>9300000</v>
      </c>
    </row>
    <row r="928" spans="1:2" x14ac:dyDescent="0.3">
      <c r="A928" s="1" t="s">
        <v>1854</v>
      </c>
      <c r="B928" s="19">
        <v>12500000</v>
      </c>
    </row>
    <row r="929" spans="1:2" x14ac:dyDescent="0.3">
      <c r="A929" s="1" t="s">
        <v>1080</v>
      </c>
      <c r="B929" s="19">
        <v>10200000</v>
      </c>
    </row>
    <row r="930" spans="1:2" x14ac:dyDescent="0.3">
      <c r="A930" s="1" t="s">
        <v>727</v>
      </c>
      <c r="B930" s="19">
        <v>9800000</v>
      </c>
    </row>
    <row r="931" spans="1:2" x14ac:dyDescent="0.3">
      <c r="A931" s="1" t="s">
        <v>284</v>
      </c>
      <c r="B931" s="19">
        <v>12500000</v>
      </c>
    </row>
    <row r="932" spans="1:2" x14ac:dyDescent="0.3">
      <c r="A932" s="1" t="s">
        <v>1766</v>
      </c>
      <c r="B932" s="19">
        <v>15200000</v>
      </c>
    </row>
    <row r="933" spans="1:2" x14ac:dyDescent="0.3">
      <c r="A933" s="1" t="s">
        <v>616</v>
      </c>
      <c r="B933" s="19">
        <v>15300000</v>
      </c>
    </row>
    <row r="934" spans="1:2" x14ac:dyDescent="0.3">
      <c r="A934" s="1" t="s">
        <v>1179</v>
      </c>
      <c r="B934" s="19">
        <v>13000000</v>
      </c>
    </row>
    <row r="935" spans="1:2" x14ac:dyDescent="0.3">
      <c r="A935" s="1" t="s">
        <v>1999</v>
      </c>
      <c r="B935" s="19">
        <v>19000000</v>
      </c>
    </row>
    <row r="936" spans="1:2" x14ac:dyDescent="0.3">
      <c r="A936" s="1" t="s">
        <v>488</v>
      </c>
      <c r="B936" s="19">
        <v>9750000</v>
      </c>
    </row>
    <row r="937" spans="1:2" x14ac:dyDescent="0.3">
      <c r="A937" s="1" t="s">
        <v>1755</v>
      </c>
      <c r="B937" s="19">
        <v>9400000</v>
      </c>
    </row>
    <row r="938" spans="1:2" x14ac:dyDescent="0.3">
      <c r="A938" s="1" t="s">
        <v>2262</v>
      </c>
      <c r="B938" s="19">
        <v>15000000</v>
      </c>
    </row>
    <row r="939" spans="1:2" x14ac:dyDescent="0.3">
      <c r="A939" s="1" t="s">
        <v>1687</v>
      </c>
      <c r="B939" s="19">
        <v>10000000</v>
      </c>
    </row>
    <row r="940" spans="1:2" x14ac:dyDescent="0.3">
      <c r="A940" s="1" t="s">
        <v>1599</v>
      </c>
      <c r="B940" s="19">
        <v>11000000</v>
      </c>
    </row>
    <row r="941" spans="1:2" x14ac:dyDescent="0.3">
      <c r="A941" s="1" t="s">
        <v>1000</v>
      </c>
      <c r="B941" s="19">
        <v>16900000</v>
      </c>
    </row>
    <row r="942" spans="1:2" x14ac:dyDescent="0.3">
      <c r="A942" s="1" t="s">
        <v>525</v>
      </c>
      <c r="B942" s="19">
        <v>9000000</v>
      </c>
    </row>
    <row r="943" spans="1:2" x14ac:dyDescent="0.3">
      <c r="A943" s="1" t="s">
        <v>1347</v>
      </c>
      <c r="B943" s="19">
        <v>11000000</v>
      </c>
    </row>
    <row r="944" spans="1:2" x14ac:dyDescent="0.3">
      <c r="A944" s="1" t="s">
        <v>414</v>
      </c>
      <c r="B944" s="19">
        <v>6700000</v>
      </c>
    </row>
    <row r="945" spans="1:2" x14ac:dyDescent="0.3">
      <c r="A945" s="1" t="s">
        <v>1697</v>
      </c>
      <c r="B945" s="19">
        <v>6500000</v>
      </c>
    </row>
    <row r="946" spans="1:2" x14ac:dyDescent="0.3">
      <c r="A946" s="1" t="s">
        <v>2180</v>
      </c>
      <c r="B946" s="19">
        <v>7500000</v>
      </c>
    </row>
    <row r="947" spans="1:2" x14ac:dyDescent="0.3">
      <c r="A947" s="1" t="s">
        <v>1504</v>
      </c>
      <c r="B947" s="19">
        <v>11500000</v>
      </c>
    </row>
    <row r="948" spans="1:2" x14ac:dyDescent="0.3">
      <c r="A948" s="1" t="s">
        <v>2223</v>
      </c>
      <c r="B948" s="19">
        <v>12900000</v>
      </c>
    </row>
    <row r="949" spans="1:2" x14ac:dyDescent="0.3">
      <c r="A949" s="1" t="s">
        <v>1861</v>
      </c>
      <c r="B949" s="19">
        <v>13000000</v>
      </c>
    </row>
    <row r="950" spans="1:2" x14ac:dyDescent="0.3">
      <c r="A950" s="1" t="s">
        <v>1861</v>
      </c>
      <c r="B950" s="19">
        <v>14990000</v>
      </c>
    </row>
    <row r="951" spans="1:2" x14ac:dyDescent="0.3">
      <c r="A951" s="1" t="s">
        <v>1173</v>
      </c>
      <c r="B951" s="19">
        <v>30000000</v>
      </c>
    </row>
    <row r="952" spans="1:2" x14ac:dyDescent="0.3">
      <c r="A952" s="1" t="s">
        <v>1173</v>
      </c>
      <c r="B952" s="19">
        <v>30200000</v>
      </c>
    </row>
    <row r="953" spans="1:2" x14ac:dyDescent="0.3">
      <c r="A953" s="1" t="s">
        <v>1661</v>
      </c>
      <c r="B953" s="19">
        <v>28500000</v>
      </c>
    </row>
    <row r="954" spans="1:2" x14ac:dyDescent="0.3">
      <c r="A954" s="1" t="s">
        <v>1613</v>
      </c>
      <c r="B954" s="19">
        <v>10000000</v>
      </c>
    </row>
    <row r="955" spans="1:2" x14ac:dyDescent="0.3">
      <c r="A955" s="1" t="s">
        <v>1181</v>
      </c>
      <c r="B955" s="19">
        <v>16200000</v>
      </c>
    </row>
    <row r="956" spans="1:2" x14ac:dyDescent="0.3">
      <c r="A956" s="1" t="s">
        <v>2359</v>
      </c>
      <c r="B956" s="19">
        <v>17000000</v>
      </c>
    </row>
    <row r="957" spans="1:2" x14ac:dyDescent="0.3">
      <c r="A957" s="1" t="s">
        <v>1382</v>
      </c>
      <c r="B957" s="19">
        <v>15000000</v>
      </c>
    </row>
    <row r="958" spans="1:2" x14ac:dyDescent="0.3">
      <c r="A958" s="1" t="s">
        <v>1719</v>
      </c>
      <c r="B958" s="19">
        <v>28500000</v>
      </c>
    </row>
    <row r="959" spans="1:2" x14ac:dyDescent="0.3">
      <c r="A959" s="1" t="s">
        <v>1907</v>
      </c>
      <c r="B959" s="19">
        <v>7000000</v>
      </c>
    </row>
    <row r="960" spans="1:2" x14ac:dyDescent="0.3">
      <c r="A960" s="1" t="s">
        <v>2111</v>
      </c>
      <c r="B960" s="19">
        <v>8000000</v>
      </c>
    </row>
    <row r="961" spans="1:2" x14ac:dyDescent="0.3">
      <c r="A961" s="1" t="s">
        <v>689</v>
      </c>
      <c r="B961" s="19">
        <v>8100000</v>
      </c>
    </row>
    <row r="962" spans="1:2" x14ac:dyDescent="0.3">
      <c r="A962" s="1" t="s">
        <v>464</v>
      </c>
      <c r="B962" s="19">
        <v>12800000</v>
      </c>
    </row>
    <row r="963" spans="1:2" x14ac:dyDescent="0.3">
      <c r="A963" s="1" t="s">
        <v>1774</v>
      </c>
      <c r="B963" s="19">
        <v>17000000</v>
      </c>
    </row>
    <row r="964" spans="1:2" x14ac:dyDescent="0.3">
      <c r="A964" s="1" t="s">
        <v>2173</v>
      </c>
      <c r="B964" s="19">
        <v>30000000</v>
      </c>
    </row>
    <row r="965" spans="1:2" x14ac:dyDescent="0.3">
      <c r="A965" s="1" t="s">
        <v>1526</v>
      </c>
      <c r="B965" s="19">
        <v>7500000</v>
      </c>
    </row>
    <row r="966" spans="1:2" x14ac:dyDescent="0.3">
      <c r="A966" s="1" t="s">
        <v>1323</v>
      </c>
      <c r="B966" s="19">
        <v>7000000</v>
      </c>
    </row>
    <row r="967" spans="1:2" x14ac:dyDescent="0.3">
      <c r="A967" s="1" t="s">
        <v>599</v>
      </c>
      <c r="B967" s="19">
        <v>9250000</v>
      </c>
    </row>
    <row r="968" spans="1:2" x14ac:dyDescent="0.3">
      <c r="A968" s="1" t="s">
        <v>1128</v>
      </c>
      <c r="B968" s="19">
        <v>5700000</v>
      </c>
    </row>
    <row r="969" spans="1:2" x14ac:dyDescent="0.3">
      <c r="A969" s="1" t="s">
        <v>490</v>
      </c>
      <c r="B969" s="19">
        <v>9200000</v>
      </c>
    </row>
    <row r="970" spans="1:2" x14ac:dyDescent="0.3">
      <c r="A970" s="1" t="s">
        <v>703</v>
      </c>
      <c r="B970" s="19">
        <v>10600000</v>
      </c>
    </row>
    <row r="971" spans="1:2" x14ac:dyDescent="0.3">
      <c r="A971" s="1" t="s">
        <v>1319</v>
      </c>
      <c r="B971" s="19">
        <v>16000000</v>
      </c>
    </row>
    <row r="972" spans="1:2" x14ac:dyDescent="0.3">
      <c r="A972" s="1" t="s">
        <v>518</v>
      </c>
      <c r="B972" s="19">
        <v>8800000</v>
      </c>
    </row>
    <row r="973" spans="1:2" x14ac:dyDescent="0.3">
      <c r="A973" s="1" t="s">
        <v>122</v>
      </c>
      <c r="B973" s="19">
        <v>20000000</v>
      </c>
    </row>
    <row r="974" spans="1:2" x14ac:dyDescent="0.3">
      <c r="A974" s="1" t="s">
        <v>2067</v>
      </c>
      <c r="B974" s="19">
        <v>14500000</v>
      </c>
    </row>
    <row r="975" spans="1:2" x14ac:dyDescent="0.3">
      <c r="A975" s="1" t="s">
        <v>2165</v>
      </c>
      <c r="B975" s="19">
        <v>17000000</v>
      </c>
    </row>
    <row r="976" spans="1:2" x14ac:dyDescent="0.3">
      <c r="A976" s="1" t="s">
        <v>403</v>
      </c>
      <c r="B976" s="19">
        <v>9000000</v>
      </c>
    </row>
    <row r="977" spans="1:2" x14ac:dyDescent="0.3">
      <c r="A977" s="1" t="s">
        <v>1503</v>
      </c>
      <c r="B977" s="19">
        <v>8500000</v>
      </c>
    </row>
    <row r="978" spans="1:2" x14ac:dyDescent="0.3">
      <c r="A978" s="1" t="s">
        <v>1886</v>
      </c>
      <c r="B978" s="19">
        <v>32000000</v>
      </c>
    </row>
    <row r="979" spans="1:2" x14ac:dyDescent="0.3">
      <c r="A979" s="1" t="s">
        <v>1595</v>
      </c>
      <c r="B979" s="19">
        <v>7500000</v>
      </c>
    </row>
    <row r="980" spans="1:2" x14ac:dyDescent="0.3">
      <c r="A980" s="1" t="s">
        <v>1829</v>
      </c>
      <c r="B980" s="19">
        <v>6000000</v>
      </c>
    </row>
    <row r="981" spans="1:2" x14ac:dyDescent="0.3">
      <c r="A981" s="1" t="s">
        <v>1402</v>
      </c>
      <c r="B981" s="19">
        <v>10000000</v>
      </c>
    </row>
    <row r="982" spans="1:2" x14ac:dyDescent="0.3">
      <c r="A982" s="1" t="s">
        <v>2230</v>
      </c>
      <c r="B982" s="19">
        <v>6500000</v>
      </c>
    </row>
    <row r="983" spans="1:2" x14ac:dyDescent="0.3">
      <c r="A983" s="1" t="s">
        <v>1485</v>
      </c>
      <c r="B983" s="19">
        <v>11700000</v>
      </c>
    </row>
    <row r="984" spans="1:2" x14ac:dyDescent="0.3">
      <c r="A984" s="1" t="s">
        <v>2084</v>
      </c>
      <c r="B984" s="19">
        <v>11500000</v>
      </c>
    </row>
    <row r="985" spans="1:2" x14ac:dyDescent="0.3">
      <c r="A985" s="1" t="s">
        <v>1627</v>
      </c>
      <c r="B985" s="19">
        <v>6000000</v>
      </c>
    </row>
    <row r="986" spans="1:2" x14ac:dyDescent="0.3">
      <c r="A986" s="1" t="s">
        <v>567</v>
      </c>
      <c r="B986" s="19">
        <v>8200000</v>
      </c>
    </row>
    <row r="987" spans="1:2" x14ac:dyDescent="0.3">
      <c r="A987" s="1" t="s">
        <v>1989</v>
      </c>
      <c r="B987" s="19">
        <v>11500000</v>
      </c>
    </row>
    <row r="988" spans="1:2" x14ac:dyDescent="0.3">
      <c r="A988" s="1" t="s">
        <v>674</v>
      </c>
      <c r="B988" s="19">
        <v>8700000</v>
      </c>
    </row>
    <row r="989" spans="1:2" x14ac:dyDescent="0.3">
      <c r="A989" s="1" t="s">
        <v>674</v>
      </c>
      <c r="B989" s="19">
        <v>9500000</v>
      </c>
    </row>
    <row r="990" spans="1:2" x14ac:dyDescent="0.3">
      <c r="A990" s="1" t="s">
        <v>1942</v>
      </c>
      <c r="B990" s="19">
        <v>8700000</v>
      </c>
    </row>
    <row r="991" spans="1:2" x14ac:dyDescent="0.3">
      <c r="A991" s="1" t="s">
        <v>1778</v>
      </c>
      <c r="B991" s="19">
        <v>6000000</v>
      </c>
    </row>
    <row r="992" spans="1:2" x14ac:dyDescent="0.3">
      <c r="A992" s="1" t="s">
        <v>893</v>
      </c>
      <c r="B992" s="19">
        <v>5800000</v>
      </c>
    </row>
    <row r="993" spans="1:2" x14ac:dyDescent="0.3">
      <c r="A993" s="1" t="s">
        <v>1919</v>
      </c>
      <c r="B993" s="19">
        <v>12500000</v>
      </c>
    </row>
    <row r="994" spans="1:2" x14ac:dyDescent="0.3">
      <c r="A994" s="1" t="s">
        <v>1177</v>
      </c>
      <c r="B994" s="19">
        <v>9700000</v>
      </c>
    </row>
    <row r="995" spans="1:2" x14ac:dyDescent="0.3">
      <c r="A995" s="1" t="s">
        <v>1177</v>
      </c>
      <c r="B995" s="19">
        <v>11500000</v>
      </c>
    </row>
    <row r="996" spans="1:2" x14ac:dyDescent="0.3">
      <c r="A996" s="1" t="s">
        <v>1698</v>
      </c>
      <c r="B996" s="19">
        <v>15000000</v>
      </c>
    </row>
    <row r="997" spans="1:2" x14ac:dyDescent="0.3">
      <c r="A997" s="1" t="s">
        <v>980</v>
      </c>
      <c r="B997" s="19">
        <v>24500000</v>
      </c>
    </row>
    <row r="998" spans="1:2" x14ac:dyDescent="0.3">
      <c r="A998" s="1" t="s">
        <v>1636</v>
      </c>
      <c r="B998" s="19">
        <v>5000000</v>
      </c>
    </row>
    <row r="999" spans="1:2" x14ac:dyDescent="0.3">
      <c r="A999" s="1" t="s">
        <v>1949</v>
      </c>
      <c r="B999" s="19">
        <v>18000000</v>
      </c>
    </row>
    <row r="1000" spans="1:2" x14ac:dyDescent="0.3">
      <c r="A1000" s="1" t="s">
        <v>1298</v>
      </c>
      <c r="B1000" s="19">
        <v>14000000</v>
      </c>
    </row>
    <row r="1001" spans="1:2" x14ac:dyDescent="0.3">
      <c r="A1001" s="1" t="s">
        <v>2028</v>
      </c>
      <c r="B1001" s="19">
        <v>12000000</v>
      </c>
    </row>
    <row r="1002" spans="1:2" x14ac:dyDescent="0.3">
      <c r="A1002" s="1" t="s">
        <v>2023</v>
      </c>
      <c r="B1002" s="19">
        <v>10300000</v>
      </c>
    </row>
    <row r="1003" spans="1:2" x14ac:dyDescent="0.3">
      <c r="A1003" s="1" t="s">
        <v>1436</v>
      </c>
      <c r="B1003" s="19">
        <v>14700000</v>
      </c>
    </row>
    <row r="1004" spans="1:2" x14ac:dyDescent="0.3">
      <c r="A1004" s="1" t="s">
        <v>1606</v>
      </c>
      <c r="B1004" s="19">
        <v>8700000</v>
      </c>
    </row>
    <row r="1005" spans="1:2" x14ac:dyDescent="0.3">
      <c r="A1005" s="1" t="s">
        <v>902</v>
      </c>
      <c r="B1005" s="19">
        <v>9500000</v>
      </c>
    </row>
    <row r="1006" spans="1:2" x14ac:dyDescent="0.3">
      <c r="A1006" s="1" t="s">
        <v>781</v>
      </c>
      <c r="B1006" s="19">
        <v>13400000</v>
      </c>
    </row>
    <row r="1007" spans="1:2" x14ac:dyDescent="0.3">
      <c r="A1007" s="1" t="s">
        <v>1558</v>
      </c>
      <c r="B1007" s="19">
        <v>12500000</v>
      </c>
    </row>
    <row r="1008" spans="1:2" x14ac:dyDescent="0.3">
      <c r="A1008" s="1" t="s">
        <v>336</v>
      </c>
      <c r="B1008" s="19">
        <v>16350000</v>
      </c>
    </row>
    <row r="1009" spans="1:2" x14ac:dyDescent="0.3">
      <c r="A1009" s="1" t="s">
        <v>977</v>
      </c>
      <c r="B1009" s="19">
        <v>16050000</v>
      </c>
    </row>
    <row r="1010" spans="1:2" x14ac:dyDescent="0.3">
      <c r="A1010" s="1" t="s">
        <v>1705</v>
      </c>
      <c r="B1010" s="19">
        <v>7500000</v>
      </c>
    </row>
    <row r="1011" spans="1:2" x14ac:dyDescent="0.3">
      <c r="A1011" s="1" t="s">
        <v>1110</v>
      </c>
      <c r="B1011" s="19">
        <v>13300000</v>
      </c>
    </row>
    <row r="1012" spans="1:2" x14ac:dyDescent="0.3">
      <c r="A1012" s="1" t="s">
        <v>2137</v>
      </c>
      <c r="B1012" s="19">
        <v>9130000</v>
      </c>
    </row>
    <row r="1013" spans="1:2" x14ac:dyDescent="0.3">
      <c r="A1013" s="1" t="s">
        <v>503</v>
      </c>
      <c r="B1013" s="19">
        <v>5500000</v>
      </c>
    </row>
    <row r="1014" spans="1:2" x14ac:dyDescent="0.3">
      <c r="A1014" s="1" t="s">
        <v>1064</v>
      </c>
      <c r="B1014" s="19">
        <v>17500000</v>
      </c>
    </row>
    <row r="1015" spans="1:2" x14ac:dyDescent="0.3">
      <c r="A1015" s="1" t="s">
        <v>802</v>
      </c>
      <c r="B1015" s="19">
        <v>16000000</v>
      </c>
    </row>
    <row r="1016" spans="1:2" x14ac:dyDescent="0.3">
      <c r="A1016" s="1" t="s">
        <v>1828</v>
      </c>
      <c r="B1016" s="19">
        <v>9500000</v>
      </c>
    </row>
    <row r="1017" spans="1:2" x14ac:dyDescent="0.3">
      <c r="A1017" s="1" t="s">
        <v>882</v>
      </c>
      <c r="B1017" s="19">
        <v>15000000</v>
      </c>
    </row>
    <row r="1018" spans="1:2" x14ac:dyDescent="0.3">
      <c r="A1018" s="1" t="s">
        <v>1721</v>
      </c>
      <c r="B1018" s="19">
        <v>18000000</v>
      </c>
    </row>
    <row r="1019" spans="1:2" x14ac:dyDescent="0.3">
      <c r="A1019" s="1" t="s">
        <v>1715</v>
      </c>
      <c r="B1019" s="19">
        <v>23800000</v>
      </c>
    </row>
    <row r="1020" spans="1:2" x14ac:dyDescent="0.3">
      <c r="A1020" s="1" t="s">
        <v>2053</v>
      </c>
      <c r="B1020" s="19">
        <v>37300000</v>
      </c>
    </row>
    <row r="1021" spans="1:2" x14ac:dyDescent="0.3">
      <c r="A1021" s="1" t="s">
        <v>2004</v>
      </c>
      <c r="B1021" s="19">
        <v>12200000</v>
      </c>
    </row>
    <row r="1022" spans="1:2" x14ac:dyDescent="0.3">
      <c r="A1022" s="1" t="s">
        <v>2228</v>
      </c>
      <c r="B1022" s="19">
        <v>7000000</v>
      </c>
    </row>
    <row r="1023" spans="1:2" x14ac:dyDescent="0.3">
      <c r="A1023" s="1" t="s">
        <v>2255</v>
      </c>
      <c r="B1023" s="19">
        <v>14500000</v>
      </c>
    </row>
    <row r="1024" spans="1:2" x14ac:dyDescent="0.3">
      <c r="A1024" s="1" t="s">
        <v>1454</v>
      </c>
      <c r="B1024" s="19">
        <v>11000000</v>
      </c>
    </row>
    <row r="1025" spans="1:2" x14ac:dyDescent="0.3">
      <c r="A1025" s="1" t="s">
        <v>693</v>
      </c>
      <c r="B1025" s="19">
        <v>8800000</v>
      </c>
    </row>
    <row r="1026" spans="1:2" x14ac:dyDescent="0.3">
      <c r="A1026" s="1" t="s">
        <v>695</v>
      </c>
      <c r="B1026" s="19">
        <v>5700000</v>
      </c>
    </row>
    <row r="1027" spans="1:2" x14ac:dyDescent="0.3">
      <c r="A1027" s="1" t="s">
        <v>1027</v>
      </c>
      <c r="B1027" s="19">
        <v>9000000</v>
      </c>
    </row>
    <row r="1028" spans="1:2" x14ac:dyDescent="0.3">
      <c r="A1028" s="1" t="s">
        <v>1827</v>
      </c>
      <c r="B1028" s="19">
        <v>22000000</v>
      </c>
    </row>
    <row r="1029" spans="1:2" x14ac:dyDescent="0.3">
      <c r="A1029" s="1" t="s">
        <v>1450</v>
      </c>
      <c r="B1029" s="19">
        <v>7500000</v>
      </c>
    </row>
    <row r="1030" spans="1:2" x14ac:dyDescent="0.3">
      <c r="A1030" s="1" t="s">
        <v>554</v>
      </c>
      <c r="B1030" s="19">
        <v>9800000</v>
      </c>
    </row>
    <row r="1031" spans="1:2" x14ac:dyDescent="0.3">
      <c r="A1031" s="1" t="s">
        <v>986</v>
      </c>
      <c r="B1031" s="19">
        <v>5100000</v>
      </c>
    </row>
    <row r="1032" spans="1:2" x14ac:dyDescent="0.3">
      <c r="A1032" s="1" t="s">
        <v>366</v>
      </c>
      <c r="B1032" s="19">
        <v>5900000</v>
      </c>
    </row>
    <row r="1033" spans="1:2" x14ac:dyDescent="0.3">
      <c r="A1033" s="1" t="s">
        <v>1395</v>
      </c>
      <c r="B1033" s="19">
        <v>15500000</v>
      </c>
    </row>
    <row r="1034" spans="1:2" x14ac:dyDescent="0.3">
      <c r="A1034" s="1" t="s">
        <v>1682</v>
      </c>
      <c r="B1034" s="19">
        <v>7500000</v>
      </c>
    </row>
    <row r="1035" spans="1:2" x14ac:dyDescent="0.3">
      <c r="A1035" s="1" t="s">
        <v>863</v>
      </c>
      <c r="B1035" s="19">
        <v>11000000</v>
      </c>
    </row>
    <row r="1036" spans="1:2" x14ac:dyDescent="0.3">
      <c r="A1036" s="1" t="s">
        <v>723</v>
      </c>
      <c r="B1036" s="19">
        <v>21000000</v>
      </c>
    </row>
    <row r="1037" spans="1:2" x14ac:dyDescent="0.3">
      <c r="A1037" s="1" t="s">
        <v>2198</v>
      </c>
      <c r="B1037" s="19">
        <v>7100000</v>
      </c>
    </row>
    <row r="1038" spans="1:2" x14ac:dyDescent="0.3">
      <c r="A1038" s="1" t="s">
        <v>275</v>
      </c>
      <c r="B1038" s="19">
        <v>11500000</v>
      </c>
    </row>
    <row r="1039" spans="1:2" x14ac:dyDescent="0.3">
      <c r="A1039" s="1" t="s">
        <v>275</v>
      </c>
      <c r="B1039" s="19">
        <v>13490000</v>
      </c>
    </row>
    <row r="1040" spans="1:2" x14ac:dyDescent="0.3">
      <c r="A1040" s="1" t="s">
        <v>633</v>
      </c>
      <c r="B1040" s="19">
        <v>14700000</v>
      </c>
    </row>
    <row r="1041" spans="1:2" x14ac:dyDescent="0.3">
      <c r="A1041" s="1" t="s">
        <v>996</v>
      </c>
      <c r="B1041" s="19">
        <v>7600000</v>
      </c>
    </row>
    <row r="1042" spans="1:2" x14ac:dyDescent="0.3">
      <c r="A1042" s="1" t="s">
        <v>1499</v>
      </c>
      <c r="B1042" s="19">
        <v>13250000</v>
      </c>
    </row>
    <row r="1043" spans="1:2" x14ac:dyDescent="0.3">
      <c r="A1043" s="1" t="s">
        <v>968</v>
      </c>
      <c r="B1043" s="19">
        <v>8300000</v>
      </c>
    </row>
    <row r="1044" spans="1:2" x14ac:dyDescent="0.3">
      <c r="A1044" s="1" t="s">
        <v>1552</v>
      </c>
      <c r="B1044" s="19">
        <v>6500000</v>
      </c>
    </row>
    <row r="1045" spans="1:2" x14ac:dyDescent="0.3">
      <c r="A1045" s="1" t="s">
        <v>927</v>
      </c>
      <c r="B1045" s="19">
        <v>10700000</v>
      </c>
    </row>
    <row r="1046" spans="1:2" x14ac:dyDescent="0.3">
      <c r="A1046" s="1" t="s">
        <v>387</v>
      </c>
      <c r="B1046" s="19">
        <v>8700000</v>
      </c>
    </row>
    <row r="1047" spans="1:2" x14ac:dyDescent="0.3">
      <c r="A1047" s="1" t="s">
        <v>581</v>
      </c>
      <c r="B1047" s="19">
        <v>8000000</v>
      </c>
    </row>
    <row r="1048" spans="1:2" x14ac:dyDescent="0.3">
      <c r="A1048" s="1" t="s">
        <v>1955</v>
      </c>
      <c r="B1048" s="19">
        <v>8250000</v>
      </c>
    </row>
    <row r="1049" spans="1:2" x14ac:dyDescent="0.3">
      <c r="A1049" s="1" t="s">
        <v>1174</v>
      </c>
      <c r="B1049" s="19">
        <v>5700000</v>
      </c>
    </row>
    <row r="1050" spans="1:2" x14ac:dyDescent="0.3">
      <c r="A1050" s="1" t="s">
        <v>1174</v>
      </c>
      <c r="B1050" s="19">
        <v>6800000</v>
      </c>
    </row>
    <row r="1051" spans="1:2" x14ac:dyDescent="0.3">
      <c r="A1051" s="1" t="s">
        <v>942</v>
      </c>
      <c r="B1051" s="19">
        <v>13300000</v>
      </c>
    </row>
    <row r="1052" spans="1:2" x14ac:dyDescent="0.3">
      <c r="A1052" s="1" t="s">
        <v>1081</v>
      </c>
      <c r="B1052" s="19">
        <v>16500000</v>
      </c>
    </row>
    <row r="1053" spans="1:2" x14ac:dyDescent="0.3">
      <c r="A1053" s="1" t="s">
        <v>1798</v>
      </c>
      <c r="B1053" s="19">
        <v>10000000</v>
      </c>
    </row>
    <row r="1054" spans="1:2" x14ac:dyDescent="0.3">
      <c r="A1054" s="1" t="s">
        <v>2029</v>
      </c>
      <c r="B1054" s="19">
        <v>11000000</v>
      </c>
    </row>
    <row r="1055" spans="1:2" x14ac:dyDescent="0.3">
      <c r="A1055" s="1" t="s">
        <v>978</v>
      </c>
      <c r="B1055" s="19">
        <v>5550000</v>
      </c>
    </row>
    <row r="1056" spans="1:2" x14ac:dyDescent="0.3">
      <c r="A1056" s="1" t="s">
        <v>390</v>
      </c>
      <c r="B1056" s="19">
        <v>13000000</v>
      </c>
    </row>
    <row r="1057" spans="1:2" x14ac:dyDescent="0.3">
      <c r="A1057" s="1" t="s">
        <v>666</v>
      </c>
      <c r="B1057" s="19">
        <v>10500000</v>
      </c>
    </row>
    <row r="1058" spans="1:2" x14ac:dyDescent="0.3">
      <c r="A1058" s="1" t="s">
        <v>737</v>
      </c>
      <c r="B1058" s="19">
        <v>21500000</v>
      </c>
    </row>
    <row r="1059" spans="1:2" x14ac:dyDescent="0.3">
      <c r="A1059" s="1" t="s">
        <v>287</v>
      </c>
      <c r="B1059" s="19">
        <v>14600000</v>
      </c>
    </row>
    <row r="1060" spans="1:2" x14ac:dyDescent="0.3">
      <c r="A1060" s="1" t="s">
        <v>1267</v>
      </c>
      <c r="B1060" s="19">
        <v>10200000</v>
      </c>
    </row>
    <row r="1061" spans="1:2" x14ac:dyDescent="0.3">
      <c r="A1061" s="1" t="s">
        <v>1267</v>
      </c>
      <c r="B1061" s="19">
        <v>10600000</v>
      </c>
    </row>
    <row r="1062" spans="1:2" x14ac:dyDescent="0.3">
      <c r="A1062" s="1" t="s">
        <v>1412</v>
      </c>
      <c r="B1062" s="19">
        <v>15000000</v>
      </c>
    </row>
    <row r="1063" spans="1:2" x14ac:dyDescent="0.3">
      <c r="A1063" s="1" t="s">
        <v>1240</v>
      </c>
      <c r="B1063" s="19">
        <v>9800000</v>
      </c>
    </row>
    <row r="1064" spans="1:2" x14ac:dyDescent="0.3">
      <c r="A1064" s="1" t="s">
        <v>922</v>
      </c>
      <c r="B1064" s="19">
        <v>25000000</v>
      </c>
    </row>
    <row r="1065" spans="1:2" x14ac:dyDescent="0.3">
      <c r="A1065" s="1" t="s">
        <v>1398</v>
      </c>
      <c r="B1065" s="19">
        <v>6500000</v>
      </c>
    </row>
    <row r="1066" spans="1:2" x14ac:dyDescent="0.3">
      <c r="A1066" s="1" t="s">
        <v>1539</v>
      </c>
      <c r="B1066" s="19">
        <v>7500000</v>
      </c>
    </row>
    <row r="1067" spans="1:2" x14ac:dyDescent="0.3">
      <c r="A1067" s="1" t="s">
        <v>2151</v>
      </c>
      <c r="B1067" s="19">
        <v>20000000</v>
      </c>
    </row>
    <row r="1068" spans="1:2" x14ac:dyDescent="0.3">
      <c r="A1068" s="1" t="s">
        <v>656</v>
      </c>
      <c r="B1068" s="19">
        <v>7450000</v>
      </c>
    </row>
    <row r="1069" spans="1:2" x14ac:dyDescent="0.3">
      <c r="A1069" s="1" t="s">
        <v>1544</v>
      </c>
      <c r="B1069" s="19">
        <v>14250000</v>
      </c>
    </row>
    <row r="1070" spans="1:2" x14ac:dyDescent="0.3">
      <c r="A1070" s="1" t="s">
        <v>1529</v>
      </c>
      <c r="B1070" s="19">
        <v>12000000</v>
      </c>
    </row>
    <row r="1071" spans="1:2" x14ac:dyDescent="0.3">
      <c r="A1071" s="1" t="s">
        <v>1510</v>
      </c>
      <c r="B1071" s="19">
        <v>7500000</v>
      </c>
    </row>
    <row r="1072" spans="1:2" x14ac:dyDescent="0.3">
      <c r="A1072" s="1" t="s">
        <v>864</v>
      </c>
      <c r="B1072" s="19">
        <v>11000000</v>
      </c>
    </row>
    <row r="1073" spans="1:2" x14ac:dyDescent="0.3">
      <c r="A1073" s="1" t="s">
        <v>1634</v>
      </c>
      <c r="B1073" s="19">
        <v>7900000</v>
      </c>
    </row>
    <row r="1074" spans="1:2" x14ac:dyDescent="0.3">
      <c r="A1074" s="1" t="s">
        <v>1908</v>
      </c>
      <c r="B1074" s="19">
        <v>19300000</v>
      </c>
    </row>
    <row r="1075" spans="1:2" x14ac:dyDescent="0.3">
      <c r="A1075" s="1" t="s">
        <v>1921</v>
      </c>
      <c r="B1075" s="19">
        <v>11000000</v>
      </c>
    </row>
    <row r="1076" spans="1:2" x14ac:dyDescent="0.3">
      <c r="A1076" s="1" t="s">
        <v>1365</v>
      </c>
      <c r="B1076" s="19">
        <v>7200000</v>
      </c>
    </row>
    <row r="1077" spans="1:2" x14ac:dyDescent="0.3">
      <c r="A1077" s="1" t="s">
        <v>1421</v>
      </c>
      <c r="B1077" s="19">
        <v>7300000</v>
      </c>
    </row>
    <row r="1078" spans="1:2" x14ac:dyDescent="0.3">
      <c r="A1078" s="1" t="s">
        <v>2049</v>
      </c>
      <c r="B1078" s="19">
        <v>12150000</v>
      </c>
    </row>
    <row r="1079" spans="1:2" x14ac:dyDescent="0.3">
      <c r="A1079" s="1" t="s">
        <v>1970</v>
      </c>
      <c r="B1079" s="19">
        <v>10500000</v>
      </c>
    </row>
    <row r="1080" spans="1:2" x14ac:dyDescent="0.3">
      <c r="A1080" s="1" t="s">
        <v>1085</v>
      </c>
      <c r="B1080" s="19">
        <v>7100000</v>
      </c>
    </row>
    <row r="1081" spans="1:2" x14ac:dyDescent="0.3">
      <c r="A1081" s="1" t="s">
        <v>256</v>
      </c>
      <c r="B1081" s="19">
        <v>7700000</v>
      </c>
    </row>
    <row r="1082" spans="1:2" x14ac:dyDescent="0.3">
      <c r="A1082" s="1" t="s">
        <v>2353</v>
      </c>
      <c r="B1082" s="19">
        <v>12000000</v>
      </c>
    </row>
    <row r="1083" spans="1:2" x14ac:dyDescent="0.3">
      <c r="A1083" s="1" t="s">
        <v>2270</v>
      </c>
      <c r="B1083" s="19">
        <v>10000000</v>
      </c>
    </row>
    <row r="1084" spans="1:2" x14ac:dyDescent="0.3">
      <c r="A1084" s="1" t="s">
        <v>2112</v>
      </c>
      <c r="B1084" s="19">
        <v>9000000</v>
      </c>
    </row>
    <row r="1085" spans="1:2" x14ac:dyDescent="0.3">
      <c r="A1085" s="1" t="s">
        <v>1312</v>
      </c>
      <c r="B1085" s="19">
        <v>14500000</v>
      </c>
    </row>
    <row r="1086" spans="1:2" x14ac:dyDescent="0.3">
      <c r="A1086" s="1" t="s">
        <v>1928</v>
      </c>
      <c r="B1086" s="19">
        <v>11000000</v>
      </c>
    </row>
    <row r="1087" spans="1:2" x14ac:dyDescent="0.3">
      <c r="A1087" s="1" t="s">
        <v>1520</v>
      </c>
      <c r="B1087" s="19">
        <v>11000000</v>
      </c>
    </row>
    <row r="1088" spans="1:2" x14ac:dyDescent="0.3">
      <c r="A1088" s="1" t="s">
        <v>1718</v>
      </c>
      <c r="B1088" s="19">
        <v>10000000</v>
      </c>
    </row>
    <row r="1089" spans="1:2" x14ac:dyDescent="0.3">
      <c r="A1089" s="1" t="s">
        <v>456</v>
      </c>
      <c r="B1089" s="19">
        <v>10000000</v>
      </c>
    </row>
    <row r="1090" spans="1:2" x14ac:dyDescent="0.3">
      <c r="A1090" s="1" t="s">
        <v>1244</v>
      </c>
      <c r="B1090" s="19">
        <v>10500000</v>
      </c>
    </row>
    <row r="1091" spans="1:2" x14ac:dyDescent="0.3">
      <c r="A1091" s="1" t="s">
        <v>1743</v>
      </c>
      <c r="B1091" s="19">
        <v>9900000</v>
      </c>
    </row>
    <row r="1092" spans="1:2" x14ac:dyDescent="0.3">
      <c r="A1092" s="1" t="s">
        <v>1354</v>
      </c>
      <c r="B1092" s="19">
        <v>8000000</v>
      </c>
    </row>
    <row r="1093" spans="1:2" x14ac:dyDescent="0.3">
      <c r="A1093" s="1" t="s">
        <v>370</v>
      </c>
      <c r="B1093" s="19">
        <v>6000000</v>
      </c>
    </row>
    <row r="1094" spans="1:2" x14ac:dyDescent="0.3">
      <c r="A1094" s="1" t="s">
        <v>1420</v>
      </c>
      <c r="B1094" s="19">
        <v>9400000</v>
      </c>
    </row>
    <row r="1095" spans="1:2" x14ac:dyDescent="0.3">
      <c r="A1095" s="1" t="s">
        <v>37</v>
      </c>
      <c r="B1095" s="19">
        <v>6200000</v>
      </c>
    </row>
    <row r="1096" spans="1:2" x14ac:dyDescent="0.3">
      <c r="A1096" s="1" t="s">
        <v>684</v>
      </c>
      <c r="B1096" s="19">
        <v>23000000</v>
      </c>
    </row>
    <row r="1097" spans="1:2" x14ac:dyDescent="0.3">
      <c r="A1097" s="1" t="s">
        <v>1414</v>
      </c>
      <c r="B1097" s="19">
        <v>18000000</v>
      </c>
    </row>
    <row r="1098" spans="1:2" x14ac:dyDescent="0.3">
      <c r="A1098" s="1" t="s">
        <v>1515</v>
      </c>
      <c r="B1098" s="19">
        <v>11300000</v>
      </c>
    </row>
    <row r="1099" spans="1:2" x14ac:dyDescent="0.3">
      <c r="A1099" s="1" t="s">
        <v>669</v>
      </c>
      <c r="B1099" s="19">
        <v>7300000</v>
      </c>
    </row>
    <row r="1100" spans="1:2" x14ac:dyDescent="0.3">
      <c r="A1100" s="1" t="s">
        <v>74</v>
      </c>
      <c r="B1100" s="19">
        <v>6900000</v>
      </c>
    </row>
    <row r="1101" spans="1:2" x14ac:dyDescent="0.3">
      <c r="A1101" s="1" t="s">
        <v>1241</v>
      </c>
      <c r="B1101" s="19">
        <v>16000000</v>
      </c>
    </row>
    <row r="1102" spans="1:2" x14ac:dyDescent="0.3">
      <c r="A1102" s="1" t="s">
        <v>969</v>
      </c>
      <c r="B1102" s="19">
        <v>6200000</v>
      </c>
    </row>
    <row r="1103" spans="1:2" x14ac:dyDescent="0.3">
      <c r="A1103" s="1" t="s">
        <v>1415</v>
      </c>
      <c r="B1103" s="19">
        <v>13000000</v>
      </c>
    </row>
    <row r="1104" spans="1:2" x14ac:dyDescent="0.3">
      <c r="A1104" s="1" t="s">
        <v>1730</v>
      </c>
      <c r="B1104" s="19">
        <v>12200000</v>
      </c>
    </row>
    <row r="1105" spans="1:2" x14ac:dyDescent="0.3">
      <c r="A1105" s="1" t="s">
        <v>1688</v>
      </c>
      <c r="B1105" s="19">
        <v>21250000</v>
      </c>
    </row>
    <row r="1106" spans="1:2" x14ac:dyDescent="0.3">
      <c r="A1106" s="1" t="s">
        <v>1483</v>
      </c>
      <c r="B1106" s="19">
        <v>9700000</v>
      </c>
    </row>
    <row r="1107" spans="1:2" x14ac:dyDescent="0.3">
      <c r="A1107" s="1" t="s">
        <v>1262</v>
      </c>
      <c r="B1107" s="19">
        <v>10000000</v>
      </c>
    </row>
    <row r="1108" spans="1:2" x14ac:dyDescent="0.3">
      <c r="A1108" s="1" t="s">
        <v>2036</v>
      </c>
      <c r="B1108" s="19">
        <v>21500000</v>
      </c>
    </row>
    <row r="1109" spans="1:2" x14ac:dyDescent="0.3">
      <c r="A1109" s="1" t="s">
        <v>1235</v>
      </c>
      <c r="B1109" s="19">
        <v>11000000</v>
      </c>
    </row>
    <row r="1110" spans="1:2" x14ac:dyDescent="0.3">
      <c r="A1110" s="1" t="s">
        <v>1814</v>
      </c>
      <c r="B1110" s="19">
        <v>22500000</v>
      </c>
    </row>
    <row r="1111" spans="1:2" x14ac:dyDescent="0.3">
      <c r="A1111" s="1" t="s">
        <v>1189</v>
      </c>
      <c r="B1111" s="19">
        <v>10900000</v>
      </c>
    </row>
    <row r="1112" spans="1:2" x14ac:dyDescent="0.3">
      <c r="A1112" s="1" t="s">
        <v>1154</v>
      </c>
      <c r="B1112" s="19">
        <v>10150000</v>
      </c>
    </row>
    <row r="1113" spans="1:2" x14ac:dyDescent="0.3">
      <c r="A1113" s="1" t="s">
        <v>1217</v>
      </c>
      <c r="B1113" s="19">
        <v>11750000</v>
      </c>
    </row>
    <row r="1114" spans="1:2" x14ac:dyDescent="0.3">
      <c r="A1114" s="1" t="s">
        <v>2306</v>
      </c>
      <c r="B1114" s="19">
        <v>18000000</v>
      </c>
    </row>
    <row r="1115" spans="1:2" x14ac:dyDescent="0.3">
      <c r="A1115" s="1" t="s">
        <v>1057</v>
      </c>
      <c r="B1115" s="19">
        <v>13500000</v>
      </c>
    </row>
    <row r="1116" spans="1:2" x14ac:dyDescent="0.3">
      <c r="A1116" s="1" t="s">
        <v>1388</v>
      </c>
      <c r="B1116" s="19">
        <v>5000000</v>
      </c>
    </row>
    <row r="1117" spans="1:2" x14ac:dyDescent="0.3">
      <c r="A1117" s="1" t="s">
        <v>1259</v>
      </c>
      <c r="B1117" s="19">
        <v>21000000</v>
      </c>
    </row>
    <row r="1118" spans="1:2" x14ac:dyDescent="0.3">
      <c r="A1118" s="1" t="s">
        <v>446</v>
      </c>
      <c r="B1118" s="19">
        <v>9600000</v>
      </c>
    </row>
    <row r="1119" spans="1:2" x14ac:dyDescent="0.3">
      <c r="A1119" s="1" t="s">
        <v>1585</v>
      </c>
      <c r="B1119" s="19">
        <v>8400000</v>
      </c>
    </row>
    <row r="1120" spans="1:2" x14ac:dyDescent="0.3">
      <c r="A1120" s="1" t="s">
        <v>1895</v>
      </c>
      <c r="B1120" s="19">
        <v>10700000</v>
      </c>
    </row>
    <row r="1121" spans="1:2" x14ac:dyDescent="0.3">
      <c r="A1121" s="1" t="s">
        <v>1261</v>
      </c>
      <c r="B1121" s="19">
        <v>9500000</v>
      </c>
    </row>
    <row r="1122" spans="1:2" x14ac:dyDescent="0.3">
      <c r="A1122" s="1" t="s">
        <v>522</v>
      </c>
      <c r="B1122" s="19">
        <v>8500000</v>
      </c>
    </row>
    <row r="1123" spans="1:2" x14ac:dyDescent="0.3">
      <c r="A1123" s="1" t="s">
        <v>1839</v>
      </c>
      <c r="B1123" s="19">
        <v>9000000</v>
      </c>
    </row>
    <row r="1124" spans="1:2" x14ac:dyDescent="0.3">
      <c r="A1124" s="1" t="s">
        <v>792</v>
      </c>
      <c r="B1124" s="19">
        <v>6100000</v>
      </c>
    </row>
    <row r="1125" spans="1:2" x14ac:dyDescent="0.3">
      <c r="A1125" s="1" t="s">
        <v>2083</v>
      </c>
      <c r="B1125" s="19">
        <v>14500000</v>
      </c>
    </row>
    <row r="1126" spans="1:2" x14ac:dyDescent="0.3">
      <c r="A1126" s="1" t="s">
        <v>1647</v>
      </c>
      <c r="B1126" s="19">
        <v>26500000</v>
      </c>
    </row>
    <row r="1127" spans="1:2" x14ac:dyDescent="0.3">
      <c r="A1127" s="1" t="s">
        <v>956</v>
      </c>
      <c r="B1127" s="19">
        <v>5900000</v>
      </c>
    </row>
    <row r="1128" spans="1:2" x14ac:dyDescent="0.3">
      <c r="A1128" s="1" t="s">
        <v>1464</v>
      </c>
      <c r="B1128" s="19">
        <v>13700000</v>
      </c>
    </row>
    <row r="1129" spans="1:2" x14ac:dyDescent="0.3">
      <c r="A1129" s="1" t="s">
        <v>1770</v>
      </c>
      <c r="B1129" s="19">
        <v>6800000</v>
      </c>
    </row>
    <row r="1130" spans="1:2" x14ac:dyDescent="0.3">
      <c r="A1130" s="1" t="s">
        <v>611</v>
      </c>
      <c r="B1130" s="19">
        <v>15000000</v>
      </c>
    </row>
    <row r="1131" spans="1:2" x14ac:dyDescent="0.3">
      <c r="A1131" s="1" t="s">
        <v>1819</v>
      </c>
      <c r="B1131" s="19">
        <v>5300000</v>
      </c>
    </row>
    <row r="1132" spans="1:2" x14ac:dyDescent="0.3">
      <c r="A1132" s="1" t="s">
        <v>1775</v>
      </c>
      <c r="B1132" s="19">
        <v>6000000</v>
      </c>
    </row>
    <row r="1133" spans="1:2" x14ac:dyDescent="0.3">
      <c r="A1133" s="1" t="s">
        <v>2167</v>
      </c>
      <c r="B1133" s="19">
        <v>10000000</v>
      </c>
    </row>
    <row r="1134" spans="1:2" x14ac:dyDescent="0.3">
      <c r="A1134" s="1" t="s">
        <v>1242</v>
      </c>
      <c r="B1134" s="19">
        <v>8500000</v>
      </c>
    </row>
    <row r="1135" spans="1:2" x14ac:dyDescent="0.3">
      <c r="A1135" s="1" t="s">
        <v>2246</v>
      </c>
      <c r="B1135" s="19">
        <v>11000000</v>
      </c>
    </row>
    <row r="1136" spans="1:2" x14ac:dyDescent="0.3">
      <c r="A1136" s="1" t="s">
        <v>1639</v>
      </c>
      <c r="B1136" s="19">
        <v>7000000</v>
      </c>
    </row>
    <row r="1137" spans="1:2" x14ac:dyDescent="0.3">
      <c r="A1137" s="1" t="s">
        <v>1277</v>
      </c>
      <c r="B1137" s="19">
        <v>8900000</v>
      </c>
    </row>
    <row r="1138" spans="1:2" x14ac:dyDescent="0.3">
      <c r="A1138" s="1" t="s">
        <v>1376</v>
      </c>
      <c r="B1138" s="19">
        <v>10000000</v>
      </c>
    </row>
    <row r="1139" spans="1:2" x14ac:dyDescent="0.3">
      <c r="A1139" s="1" t="s">
        <v>351</v>
      </c>
      <c r="B1139" s="19">
        <v>8900000</v>
      </c>
    </row>
    <row r="1140" spans="1:2" x14ac:dyDescent="0.3">
      <c r="A1140" s="1" t="s">
        <v>1147</v>
      </c>
      <c r="B1140" s="19">
        <v>9400000</v>
      </c>
    </row>
    <row r="1141" spans="1:2" x14ac:dyDescent="0.3">
      <c r="A1141" s="1" t="s">
        <v>1070</v>
      </c>
      <c r="B1141" s="19">
        <v>5800000</v>
      </c>
    </row>
    <row r="1142" spans="1:2" x14ac:dyDescent="0.3">
      <c r="A1142" s="1" t="s">
        <v>1740</v>
      </c>
      <c r="B1142" s="19">
        <v>7500000</v>
      </c>
    </row>
    <row r="1143" spans="1:2" x14ac:dyDescent="0.3">
      <c r="A1143" s="1" t="s">
        <v>779</v>
      </c>
      <c r="B1143" s="19">
        <v>10350000</v>
      </c>
    </row>
    <row r="1144" spans="1:2" x14ac:dyDescent="0.3">
      <c r="A1144" s="1" t="s">
        <v>498</v>
      </c>
      <c r="B1144" s="19">
        <v>5900000</v>
      </c>
    </row>
    <row r="1145" spans="1:2" x14ac:dyDescent="0.3">
      <c r="A1145" s="1" t="s">
        <v>2316</v>
      </c>
      <c r="B1145" s="19">
        <v>7750000</v>
      </c>
    </row>
    <row r="1146" spans="1:2" x14ac:dyDescent="0.3">
      <c r="A1146" s="1" t="s">
        <v>1929</v>
      </c>
      <c r="B1146" s="19">
        <v>11800000</v>
      </c>
    </row>
    <row r="1147" spans="1:2" x14ac:dyDescent="0.3">
      <c r="A1147" s="1" t="s">
        <v>2134</v>
      </c>
      <c r="B1147" s="19">
        <v>24000000</v>
      </c>
    </row>
    <row r="1148" spans="1:2" x14ac:dyDescent="0.3">
      <c r="A1148" s="1" t="s">
        <v>2063</v>
      </c>
      <c r="B1148" s="19">
        <v>12000000</v>
      </c>
    </row>
    <row r="1149" spans="1:2" x14ac:dyDescent="0.3">
      <c r="A1149" s="1" t="s">
        <v>943</v>
      </c>
      <c r="B1149" s="19">
        <v>22930500</v>
      </c>
    </row>
    <row r="1150" spans="1:2" x14ac:dyDescent="0.3">
      <c r="A1150" s="1" t="s">
        <v>1432</v>
      </c>
      <c r="B1150" s="19">
        <v>19500000</v>
      </c>
    </row>
    <row r="1151" spans="1:2" x14ac:dyDescent="0.3">
      <c r="A1151" s="1" t="s">
        <v>1275</v>
      </c>
      <c r="B1151" s="19">
        <v>6500000</v>
      </c>
    </row>
    <row r="1152" spans="1:2" x14ac:dyDescent="0.3">
      <c r="A1152" s="1" t="s">
        <v>818</v>
      </c>
      <c r="B1152" s="19">
        <v>10350000</v>
      </c>
    </row>
    <row r="1153" spans="1:2" x14ac:dyDescent="0.3">
      <c r="A1153" s="1" t="s">
        <v>931</v>
      </c>
      <c r="B1153" s="19">
        <v>6300000</v>
      </c>
    </row>
    <row r="1154" spans="1:2" x14ac:dyDescent="0.3">
      <c r="A1154" s="1" t="s">
        <v>1484</v>
      </c>
      <c r="B1154" s="19">
        <v>8000000</v>
      </c>
    </row>
    <row r="1155" spans="1:2" x14ac:dyDescent="0.3">
      <c r="A1155" s="1" t="s">
        <v>2103</v>
      </c>
      <c r="B1155" s="19">
        <v>22000000</v>
      </c>
    </row>
    <row r="1156" spans="1:2" x14ac:dyDescent="0.3">
      <c r="A1156" s="1" t="s">
        <v>759</v>
      </c>
      <c r="B1156" s="19">
        <v>10300000</v>
      </c>
    </row>
    <row r="1157" spans="1:2" x14ac:dyDescent="0.3">
      <c r="A1157" s="1" t="s">
        <v>1123</v>
      </c>
      <c r="B1157" s="19">
        <v>10489616</v>
      </c>
    </row>
    <row r="1158" spans="1:2" x14ac:dyDescent="0.3">
      <c r="A1158" s="1" t="s">
        <v>2294</v>
      </c>
      <c r="B1158" s="19">
        <v>16500000</v>
      </c>
    </row>
    <row r="1159" spans="1:2" x14ac:dyDescent="0.3">
      <c r="A1159" s="1" t="s">
        <v>1757</v>
      </c>
      <c r="B1159" s="19">
        <v>12700000</v>
      </c>
    </row>
    <row r="1160" spans="1:2" x14ac:dyDescent="0.3">
      <c r="A1160" s="1" t="s">
        <v>1836</v>
      </c>
      <c r="B1160" s="19">
        <v>9500000</v>
      </c>
    </row>
    <row r="1161" spans="1:2" x14ac:dyDescent="0.3">
      <c r="A1161" s="1" t="s">
        <v>1523</v>
      </c>
      <c r="B1161" s="19">
        <v>13000000</v>
      </c>
    </row>
    <row r="1162" spans="1:2" x14ac:dyDescent="0.3">
      <c r="A1162" s="1" t="s">
        <v>1394</v>
      </c>
      <c r="B1162" s="19">
        <v>8500000</v>
      </c>
    </row>
    <row r="1163" spans="1:2" x14ac:dyDescent="0.3">
      <c r="A1163" s="1" t="s">
        <v>1299</v>
      </c>
      <c r="B1163" s="19">
        <v>14250000</v>
      </c>
    </row>
    <row r="1164" spans="1:2" x14ac:dyDescent="0.3">
      <c r="A1164" s="1" t="s">
        <v>837</v>
      </c>
      <c r="B1164" s="19">
        <v>7400000</v>
      </c>
    </row>
    <row r="1165" spans="1:2" x14ac:dyDescent="0.3">
      <c r="A1165" s="1" t="s">
        <v>925</v>
      </c>
      <c r="B1165" s="19">
        <v>7500000</v>
      </c>
    </row>
    <row r="1166" spans="1:2" x14ac:dyDescent="0.3">
      <c r="A1166" s="1" t="s">
        <v>1374</v>
      </c>
      <c r="B1166" s="19">
        <v>11300000</v>
      </c>
    </row>
    <row r="1167" spans="1:2" x14ac:dyDescent="0.3">
      <c r="A1167" s="1" t="s">
        <v>1100</v>
      </c>
      <c r="B1167" s="19">
        <v>7800000</v>
      </c>
    </row>
    <row r="1168" spans="1:2" x14ac:dyDescent="0.3">
      <c r="A1168" s="1" t="s">
        <v>1208</v>
      </c>
      <c r="B1168" s="19">
        <v>7600000</v>
      </c>
    </row>
    <row r="1169" spans="1:2" x14ac:dyDescent="0.3">
      <c r="A1169" s="1" t="s">
        <v>1653</v>
      </c>
      <c r="B1169" s="19">
        <v>13500000</v>
      </c>
    </row>
    <row r="1170" spans="1:2" x14ac:dyDescent="0.3">
      <c r="A1170" s="1" t="s">
        <v>2366</v>
      </c>
      <c r="B1170" s="19">
        <v>16000000</v>
      </c>
    </row>
    <row r="1171" spans="1:2" x14ac:dyDescent="0.3">
      <c r="A1171" s="1" t="s">
        <v>511</v>
      </c>
      <c r="B1171" s="19">
        <v>24000000</v>
      </c>
    </row>
    <row r="1172" spans="1:2" x14ac:dyDescent="0.3">
      <c r="A1172" s="1" t="s">
        <v>1588</v>
      </c>
      <c r="B1172" s="19">
        <v>12000000</v>
      </c>
    </row>
    <row r="1173" spans="1:2" x14ac:dyDescent="0.3">
      <c r="A1173" s="1" t="s">
        <v>1353</v>
      </c>
      <c r="B1173" s="19">
        <v>9500000</v>
      </c>
    </row>
    <row r="1174" spans="1:2" x14ac:dyDescent="0.3">
      <c r="A1174" s="1" t="s">
        <v>1786</v>
      </c>
      <c r="B1174" s="19">
        <v>6000000</v>
      </c>
    </row>
    <row r="1175" spans="1:2" x14ac:dyDescent="0.3">
      <c r="A1175" s="1" t="s">
        <v>1490</v>
      </c>
      <c r="B1175" s="19">
        <v>7800000</v>
      </c>
    </row>
    <row r="1176" spans="1:2" x14ac:dyDescent="0.3">
      <c r="A1176" s="1" t="s">
        <v>228</v>
      </c>
      <c r="B1176" s="19">
        <v>4850000</v>
      </c>
    </row>
    <row r="1177" spans="1:2" x14ac:dyDescent="0.3">
      <c r="A1177" s="1" t="s">
        <v>1615</v>
      </c>
      <c r="B1177" s="19">
        <v>16000000</v>
      </c>
    </row>
    <row r="1178" spans="1:2" x14ac:dyDescent="0.3">
      <c r="A1178" s="1" t="s">
        <v>1939</v>
      </c>
      <c r="B1178" s="19">
        <v>8300000</v>
      </c>
    </row>
    <row r="1179" spans="1:2" x14ac:dyDescent="0.3">
      <c r="A1179" s="1" t="s">
        <v>1389</v>
      </c>
      <c r="B1179" s="19">
        <v>11500000</v>
      </c>
    </row>
    <row r="1180" spans="1:2" x14ac:dyDescent="0.3">
      <c r="A1180" s="1" t="s">
        <v>2334</v>
      </c>
      <c r="B1180" s="19">
        <v>9000000</v>
      </c>
    </row>
    <row r="1181" spans="1:2" x14ac:dyDescent="0.3">
      <c r="A1181" s="1" t="s">
        <v>1440</v>
      </c>
      <c r="B1181" s="19">
        <v>24000000</v>
      </c>
    </row>
    <row r="1182" spans="1:2" x14ac:dyDescent="0.3">
      <c r="A1182" s="1" t="s">
        <v>1629</v>
      </c>
      <c r="B1182" s="19">
        <v>15000000</v>
      </c>
    </row>
    <row r="1183" spans="1:2" x14ac:dyDescent="0.3">
      <c r="A1183" s="1" t="s">
        <v>1723</v>
      </c>
      <c r="B1183" s="19">
        <v>21500000</v>
      </c>
    </row>
    <row r="1184" spans="1:2" x14ac:dyDescent="0.3">
      <c r="A1184" s="1" t="s">
        <v>1694</v>
      </c>
      <c r="B1184" s="19">
        <v>31000000</v>
      </c>
    </row>
    <row r="1185" spans="1:2" x14ac:dyDescent="0.3">
      <c r="A1185" s="1" t="s">
        <v>1502</v>
      </c>
      <c r="B1185" s="19">
        <v>9500000</v>
      </c>
    </row>
    <row r="1186" spans="1:2" x14ac:dyDescent="0.3">
      <c r="A1186" s="1" t="s">
        <v>1062</v>
      </c>
      <c r="B1186" s="19">
        <v>12000000</v>
      </c>
    </row>
    <row r="1187" spans="1:2" x14ac:dyDescent="0.3">
      <c r="A1187" s="1" t="s">
        <v>1864</v>
      </c>
      <c r="B1187" s="19">
        <v>38000000</v>
      </c>
    </row>
    <row r="1188" spans="1:2" x14ac:dyDescent="0.3">
      <c r="A1188" s="1" t="s">
        <v>1071</v>
      </c>
      <c r="B1188" s="19">
        <v>10000000</v>
      </c>
    </row>
    <row r="1189" spans="1:2" x14ac:dyDescent="0.3">
      <c r="A1189" s="1" t="s">
        <v>1742</v>
      </c>
      <c r="B1189" s="19">
        <v>18000000</v>
      </c>
    </row>
    <row r="1190" spans="1:2" x14ac:dyDescent="0.3">
      <c r="A1190" s="1" t="s">
        <v>1430</v>
      </c>
      <c r="B1190" s="19">
        <v>9500000</v>
      </c>
    </row>
    <row r="1191" spans="1:2" x14ac:dyDescent="0.3">
      <c r="A1191" s="1" t="s">
        <v>2046</v>
      </c>
      <c r="B1191" s="19">
        <v>20000000</v>
      </c>
    </row>
    <row r="1192" spans="1:2" x14ac:dyDescent="0.3">
      <c r="A1192" s="1" t="s">
        <v>1327</v>
      </c>
      <c r="B1192" s="19">
        <v>7000000</v>
      </c>
    </row>
    <row r="1193" spans="1:2" x14ac:dyDescent="0.3">
      <c r="A1193" s="1" t="s">
        <v>1461</v>
      </c>
      <c r="B1193" s="19">
        <v>10270000</v>
      </c>
    </row>
    <row r="1194" spans="1:2" x14ac:dyDescent="0.3">
      <c r="A1194" s="1" t="s">
        <v>713</v>
      </c>
      <c r="B1194" s="19">
        <v>10200000</v>
      </c>
    </row>
    <row r="1195" spans="1:2" x14ac:dyDescent="0.3">
      <c r="A1195" s="1" t="s">
        <v>1300</v>
      </c>
      <c r="B1195" s="19">
        <v>15200000</v>
      </c>
    </row>
    <row r="1196" spans="1:2" x14ac:dyDescent="0.3">
      <c r="A1196" s="1" t="s">
        <v>477</v>
      </c>
      <c r="B1196" s="19">
        <v>18000000</v>
      </c>
    </row>
    <row r="1197" spans="1:2" x14ac:dyDescent="0.3">
      <c r="A1197" s="1" t="s">
        <v>1124</v>
      </c>
      <c r="B1197" s="19">
        <v>32000000</v>
      </c>
    </row>
    <row r="1198" spans="1:2" x14ac:dyDescent="0.3">
      <c r="A1198" s="1" t="s">
        <v>949</v>
      </c>
      <c r="B1198" s="19">
        <v>10200000</v>
      </c>
    </row>
    <row r="1199" spans="1:2" x14ac:dyDescent="0.3">
      <c r="A1199" s="1" t="s">
        <v>2185</v>
      </c>
      <c r="B1199" s="19">
        <v>6500000</v>
      </c>
    </row>
    <row r="1200" spans="1:2" x14ac:dyDescent="0.3">
      <c r="A1200" s="1" t="s">
        <v>1869</v>
      </c>
      <c r="B1200" s="19">
        <v>8000000</v>
      </c>
    </row>
    <row r="1201" spans="1:2" x14ac:dyDescent="0.3">
      <c r="A1201" s="1" t="s">
        <v>6666</v>
      </c>
      <c r="B1201" s="19">
        <v>13400000</v>
      </c>
    </row>
    <row r="1202" spans="1:2" x14ac:dyDescent="0.3">
      <c r="A1202" s="1" t="s">
        <v>2224</v>
      </c>
      <c r="B1202" s="19">
        <v>8000000</v>
      </c>
    </row>
    <row r="1203" spans="1:2" x14ac:dyDescent="0.3">
      <c r="A1203" s="1" t="s">
        <v>1049</v>
      </c>
      <c r="B1203" s="19">
        <v>11300000</v>
      </c>
    </row>
    <row r="1204" spans="1:2" x14ac:dyDescent="0.3">
      <c r="A1204" s="1" t="s">
        <v>1216</v>
      </c>
      <c r="B1204" s="19">
        <v>7000000</v>
      </c>
    </row>
    <row r="1205" spans="1:2" x14ac:dyDescent="0.3">
      <c r="A1205" s="1" t="s">
        <v>557</v>
      </c>
      <c r="B1205" s="19">
        <v>5500000</v>
      </c>
    </row>
    <row r="1206" spans="1:2" x14ac:dyDescent="0.3">
      <c r="A1206" s="1" t="s">
        <v>1689</v>
      </c>
      <c r="B1206" s="19">
        <v>32500000</v>
      </c>
    </row>
    <row r="1207" spans="1:2" x14ac:dyDescent="0.3">
      <c r="A1207" s="1" t="s">
        <v>1107</v>
      </c>
      <c r="B1207" s="19">
        <v>13500000</v>
      </c>
    </row>
    <row r="1208" spans="1:2" x14ac:dyDescent="0.3">
      <c r="A1208" s="1" t="s">
        <v>1973</v>
      </c>
      <c r="B1208" s="19">
        <v>6200000</v>
      </c>
    </row>
    <row r="1209" spans="1:2" x14ac:dyDescent="0.3">
      <c r="A1209" s="1" t="s">
        <v>6519</v>
      </c>
      <c r="B1209" s="19">
        <v>7200000</v>
      </c>
    </row>
    <row r="1210" spans="1:2" x14ac:dyDescent="0.3">
      <c r="A1210" s="1" t="s">
        <v>828</v>
      </c>
      <c r="B1210" s="19">
        <v>17000000</v>
      </c>
    </row>
    <row r="1211" spans="1:2" x14ac:dyDescent="0.3">
      <c r="A1211" s="1" t="s">
        <v>1990</v>
      </c>
      <c r="B1211" s="19">
        <v>9840000</v>
      </c>
    </row>
    <row r="1212" spans="1:2" x14ac:dyDescent="0.3">
      <c r="A1212" s="1" t="s">
        <v>2225</v>
      </c>
      <c r="B1212" s="19">
        <v>22000000</v>
      </c>
    </row>
    <row r="1213" spans="1:2" x14ac:dyDescent="0.3">
      <c r="A1213" s="1" t="s">
        <v>1649</v>
      </c>
      <c r="B1213" s="19">
        <v>11000000</v>
      </c>
    </row>
    <row r="1214" spans="1:2" x14ac:dyDescent="0.3">
      <c r="A1214" s="1" t="s">
        <v>419</v>
      </c>
      <c r="B1214" s="19">
        <v>5700000</v>
      </c>
    </row>
    <row r="1215" spans="1:2" x14ac:dyDescent="0.3">
      <c r="A1215" s="1" t="s">
        <v>1923</v>
      </c>
      <c r="B1215" s="19">
        <v>13000000</v>
      </c>
    </row>
    <row r="1216" spans="1:2" x14ac:dyDescent="0.3">
      <c r="A1216" s="1" t="s">
        <v>2309</v>
      </c>
      <c r="B1216" s="19">
        <v>6700000</v>
      </c>
    </row>
    <row r="1217" spans="1:2" x14ac:dyDescent="0.3">
      <c r="A1217" s="1" t="s">
        <v>1198</v>
      </c>
      <c r="B1217" s="19">
        <v>7900000</v>
      </c>
    </row>
    <row r="1218" spans="1:2" x14ac:dyDescent="0.3">
      <c r="A1218" s="1" t="s">
        <v>1238</v>
      </c>
      <c r="B1218" s="19">
        <v>10000000</v>
      </c>
    </row>
    <row r="1219" spans="1:2" x14ac:dyDescent="0.3">
      <c r="A1219" s="1" t="s">
        <v>1136</v>
      </c>
      <c r="B1219" s="19">
        <v>6400000</v>
      </c>
    </row>
    <row r="1220" spans="1:2" x14ac:dyDescent="0.3">
      <c r="A1220" s="1" t="s">
        <v>1331</v>
      </c>
      <c r="B1220" s="19">
        <v>24700000</v>
      </c>
    </row>
    <row r="1221" spans="1:2" x14ac:dyDescent="0.3">
      <c r="A1221" s="1" t="s">
        <v>694</v>
      </c>
      <c r="B1221" s="19">
        <v>10300000</v>
      </c>
    </row>
    <row r="1222" spans="1:2" x14ac:dyDescent="0.3">
      <c r="A1222" s="1" t="s">
        <v>2160</v>
      </c>
      <c r="B1222" s="19">
        <v>6400000</v>
      </c>
    </row>
    <row r="1223" spans="1:2" x14ac:dyDescent="0.3">
      <c r="A1223" s="1" t="s">
        <v>1372</v>
      </c>
      <c r="B1223" s="19">
        <v>37000000</v>
      </c>
    </row>
    <row r="1224" spans="1:2" x14ac:dyDescent="0.3">
      <c r="A1224" s="1" t="s">
        <v>1422</v>
      </c>
      <c r="B1224" s="19">
        <v>6000000</v>
      </c>
    </row>
    <row r="1225" spans="1:2" x14ac:dyDescent="0.3">
      <c r="A1225" s="1" t="s">
        <v>1849</v>
      </c>
      <c r="B1225" s="19">
        <v>12000000</v>
      </c>
    </row>
    <row r="1226" spans="1:2" x14ac:dyDescent="0.3">
      <c r="A1226" s="1" t="s">
        <v>1328</v>
      </c>
      <c r="B1226" s="19">
        <v>12000000</v>
      </c>
    </row>
    <row r="1227" spans="1:2" x14ac:dyDescent="0.3">
      <c r="A1227" s="1" t="s">
        <v>1882</v>
      </c>
      <c r="B1227" s="19">
        <v>7000000</v>
      </c>
    </row>
    <row r="1228" spans="1:2" x14ac:dyDescent="0.3">
      <c r="A1228" s="1" t="s">
        <v>1602</v>
      </c>
      <c r="B1228" s="19">
        <v>15000000</v>
      </c>
    </row>
    <row r="1229" spans="1:2" x14ac:dyDescent="0.3">
      <c r="A1229" s="1" t="s">
        <v>528</v>
      </c>
      <c r="B1229" s="19">
        <v>9000000</v>
      </c>
    </row>
    <row r="1230" spans="1:2" x14ac:dyDescent="0.3">
      <c r="A1230" s="1" t="s">
        <v>1017</v>
      </c>
      <c r="B1230" s="19">
        <v>15000000</v>
      </c>
    </row>
    <row r="1231" spans="1:2" x14ac:dyDescent="0.3">
      <c r="A1231" s="1" t="s">
        <v>360</v>
      </c>
      <c r="B1231" s="19">
        <v>10800000</v>
      </c>
    </row>
    <row r="1232" spans="1:2" x14ac:dyDescent="0.3">
      <c r="A1232" s="1" t="s">
        <v>1175</v>
      </c>
      <c r="B1232" s="19">
        <v>9300000</v>
      </c>
    </row>
    <row r="1233" spans="1:2" x14ac:dyDescent="0.3">
      <c r="A1233" s="1" t="s">
        <v>1486</v>
      </c>
      <c r="B1233" s="19">
        <v>13500000</v>
      </c>
    </row>
    <row r="1234" spans="1:2" x14ac:dyDescent="0.3">
      <c r="A1234" s="1" t="s">
        <v>1925</v>
      </c>
      <c r="B1234" s="19">
        <v>19000000</v>
      </c>
    </row>
    <row r="1235" spans="1:2" x14ac:dyDescent="0.3">
      <c r="A1235" s="1" t="s">
        <v>2281</v>
      </c>
      <c r="B1235" s="19">
        <v>7350000</v>
      </c>
    </row>
    <row r="1236" spans="1:2" x14ac:dyDescent="0.3">
      <c r="A1236" s="1" t="s">
        <v>1162</v>
      </c>
      <c r="B1236" s="19">
        <v>25800000</v>
      </c>
    </row>
    <row r="1237" spans="1:2" x14ac:dyDescent="0.3">
      <c r="A1237" s="1" t="s">
        <v>1202</v>
      </c>
      <c r="B1237" s="19">
        <v>6500000</v>
      </c>
    </row>
    <row r="1238" spans="1:2" x14ac:dyDescent="0.3">
      <c r="A1238" s="1" t="s">
        <v>506</v>
      </c>
      <c r="B1238" s="19">
        <v>6900000</v>
      </c>
    </row>
    <row r="1239" spans="1:2" x14ac:dyDescent="0.3">
      <c r="A1239" s="1" t="s">
        <v>1863</v>
      </c>
      <c r="B1239" s="19">
        <v>22000000</v>
      </c>
    </row>
    <row r="1240" spans="1:2" x14ac:dyDescent="0.3">
      <c r="A1240" s="1" t="s">
        <v>1554</v>
      </c>
      <c r="B1240" s="19">
        <v>12000000</v>
      </c>
    </row>
    <row r="1241" spans="1:2" x14ac:dyDescent="0.3">
      <c r="A1241" s="1" t="s">
        <v>1222</v>
      </c>
      <c r="B1241" s="19">
        <v>5700000</v>
      </c>
    </row>
    <row r="1242" spans="1:2" x14ac:dyDescent="0.3">
      <c r="A1242" s="1" t="s">
        <v>1569</v>
      </c>
      <c r="B1242" s="19">
        <v>4430000</v>
      </c>
    </row>
    <row r="1243" spans="1:2" x14ac:dyDescent="0.3">
      <c r="A1243" s="1" t="s">
        <v>1491</v>
      </c>
      <c r="B1243" s="19">
        <v>9800000</v>
      </c>
    </row>
    <row r="1244" spans="1:2" x14ac:dyDescent="0.3">
      <c r="A1244" s="1" t="s">
        <v>681</v>
      </c>
      <c r="B1244" s="19">
        <v>5000000</v>
      </c>
    </row>
    <row r="1245" spans="1:2" x14ac:dyDescent="0.3">
      <c r="A1245" s="1" t="s">
        <v>4335</v>
      </c>
      <c r="B1245" s="19">
        <v>10200000</v>
      </c>
    </row>
    <row r="1246" spans="1:2" x14ac:dyDescent="0.3">
      <c r="A1246" s="1" t="s">
        <v>836</v>
      </c>
      <c r="B1246" s="19">
        <v>7000000</v>
      </c>
    </row>
    <row r="1247" spans="1:2" x14ac:dyDescent="0.3">
      <c r="A1247" s="1" t="s">
        <v>1867</v>
      </c>
      <c r="B1247" s="19">
        <v>7500000</v>
      </c>
    </row>
    <row r="1248" spans="1:2" x14ac:dyDescent="0.3">
      <c r="A1248" s="1" t="s">
        <v>2347</v>
      </c>
      <c r="B1248" s="19">
        <v>16250000</v>
      </c>
    </row>
    <row r="1249" spans="1:2" x14ac:dyDescent="0.3">
      <c r="A1249" s="1" t="s">
        <v>2237</v>
      </c>
      <c r="B1249" s="19">
        <v>6800000</v>
      </c>
    </row>
    <row r="1250" spans="1:2" x14ac:dyDescent="0.3">
      <c r="A1250" s="1" t="s">
        <v>1411</v>
      </c>
      <c r="B1250" s="19">
        <v>7800000</v>
      </c>
    </row>
    <row r="1251" spans="1:2" x14ac:dyDescent="0.3">
      <c r="A1251" s="1" t="s">
        <v>658</v>
      </c>
      <c r="B1251" s="19">
        <v>12500000</v>
      </c>
    </row>
    <row r="1252" spans="1:2" x14ac:dyDescent="0.3">
      <c r="A1252" s="1" t="s">
        <v>620</v>
      </c>
      <c r="B1252" s="19">
        <v>5200000</v>
      </c>
    </row>
    <row r="1253" spans="1:2" x14ac:dyDescent="0.3">
      <c r="A1253" s="1" t="s">
        <v>2099</v>
      </c>
      <c r="B1253" s="19">
        <v>22300000</v>
      </c>
    </row>
    <row r="1254" spans="1:2" x14ac:dyDescent="0.3">
      <c r="A1254" s="1" t="s">
        <v>2303</v>
      </c>
      <c r="B1254" s="19">
        <v>14500000</v>
      </c>
    </row>
    <row r="1255" spans="1:2" x14ac:dyDescent="0.3">
      <c r="A1255" s="1" t="s">
        <v>1282</v>
      </c>
      <c r="B1255" s="19">
        <v>13500000</v>
      </c>
    </row>
    <row r="1256" spans="1:2" x14ac:dyDescent="0.3">
      <c r="A1256" s="1" t="s">
        <v>2174</v>
      </c>
      <c r="B1256" s="19">
        <v>21700000</v>
      </c>
    </row>
    <row r="1257" spans="1:2" x14ac:dyDescent="0.3">
      <c r="A1257" s="1" t="s">
        <v>1532</v>
      </c>
      <c r="B1257" s="19">
        <v>17500000</v>
      </c>
    </row>
    <row r="1258" spans="1:2" x14ac:dyDescent="0.3">
      <c r="A1258" s="1" t="s">
        <v>2162</v>
      </c>
      <c r="B1258" s="19">
        <v>21900000</v>
      </c>
    </row>
    <row r="1259" spans="1:2" x14ac:dyDescent="0.3">
      <c r="A1259" s="1" t="s">
        <v>1180</v>
      </c>
      <c r="B1259" s="19">
        <v>8000000</v>
      </c>
    </row>
    <row r="1260" spans="1:2" x14ac:dyDescent="0.3">
      <c r="A1260" s="1" t="s">
        <v>1628</v>
      </c>
      <c r="B1260" s="19">
        <v>9500000</v>
      </c>
    </row>
    <row r="1261" spans="1:2" x14ac:dyDescent="0.3">
      <c r="A1261" s="1" t="s">
        <v>1442</v>
      </c>
      <c r="B1261" s="19">
        <v>11500000</v>
      </c>
    </row>
    <row r="1262" spans="1:2" x14ac:dyDescent="0.3">
      <c r="A1262" s="1" t="s">
        <v>636</v>
      </c>
      <c r="B1262" s="19">
        <v>5700000</v>
      </c>
    </row>
    <row r="1263" spans="1:2" x14ac:dyDescent="0.3">
      <c r="A1263" s="1" t="s">
        <v>1681</v>
      </c>
      <c r="B1263" s="19">
        <v>10500000</v>
      </c>
    </row>
    <row r="1264" spans="1:2" x14ac:dyDescent="0.3">
      <c r="A1264" s="1" t="s">
        <v>1375</v>
      </c>
      <c r="B1264" s="19">
        <v>17500000</v>
      </c>
    </row>
    <row r="1265" spans="1:2" x14ac:dyDescent="0.3">
      <c r="A1265" s="1" t="s">
        <v>1352</v>
      </c>
      <c r="B1265" s="19">
        <v>12000000</v>
      </c>
    </row>
    <row r="1266" spans="1:2" x14ac:dyDescent="0.3">
      <c r="A1266" s="1" t="s">
        <v>450</v>
      </c>
      <c r="B1266" s="19">
        <v>27600000</v>
      </c>
    </row>
    <row r="1267" spans="1:2" x14ac:dyDescent="0.3">
      <c r="A1267" s="1" t="s">
        <v>890</v>
      </c>
      <c r="B1267" s="19">
        <v>4900000</v>
      </c>
    </row>
    <row r="1268" spans="1:2" x14ac:dyDescent="0.3">
      <c r="A1268" s="1" t="s">
        <v>1603</v>
      </c>
      <c r="B1268" s="19">
        <v>8500000</v>
      </c>
    </row>
    <row r="1269" spans="1:2" x14ac:dyDescent="0.3">
      <c r="A1269" s="1" t="s">
        <v>1078</v>
      </c>
      <c r="B1269" s="19">
        <v>11143728</v>
      </c>
    </row>
    <row r="1270" spans="1:2" x14ac:dyDescent="0.3">
      <c r="A1270" s="1" t="s">
        <v>1211</v>
      </c>
      <c r="B1270" s="19">
        <v>12800000</v>
      </c>
    </row>
    <row r="1271" spans="1:2" x14ac:dyDescent="0.3">
      <c r="A1271" s="1" t="s">
        <v>700</v>
      </c>
      <c r="B1271" s="19">
        <v>6450000</v>
      </c>
    </row>
    <row r="1272" spans="1:2" x14ac:dyDescent="0.3">
      <c r="A1272" s="1" t="s">
        <v>753</v>
      </c>
      <c r="B1272" s="19">
        <v>7200000</v>
      </c>
    </row>
    <row r="1273" spans="1:2" x14ac:dyDescent="0.3">
      <c r="A1273" s="1" t="s">
        <v>1832</v>
      </c>
      <c r="B1273" s="19">
        <v>14500000</v>
      </c>
    </row>
    <row r="1274" spans="1:2" x14ac:dyDescent="0.3">
      <c r="A1274" s="1" t="s">
        <v>963</v>
      </c>
      <c r="B1274" s="19">
        <v>6800000</v>
      </c>
    </row>
    <row r="1275" spans="1:2" x14ac:dyDescent="0.3">
      <c r="A1275" s="1" t="s">
        <v>1094</v>
      </c>
      <c r="B1275" s="19">
        <v>14500000</v>
      </c>
    </row>
    <row r="1276" spans="1:2" x14ac:dyDescent="0.3">
      <c r="A1276" s="1" t="s">
        <v>538</v>
      </c>
      <c r="B1276" s="19">
        <v>10600000</v>
      </c>
    </row>
    <row r="1277" spans="1:2" x14ac:dyDescent="0.3">
      <c r="A1277" s="1" t="s">
        <v>1767</v>
      </c>
      <c r="B1277" s="19">
        <v>18000000</v>
      </c>
    </row>
    <row r="1278" spans="1:2" x14ac:dyDescent="0.3">
      <c r="A1278" s="1" t="s">
        <v>705</v>
      </c>
      <c r="B1278" s="19">
        <v>7000000</v>
      </c>
    </row>
    <row r="1279" spans="1:2" x14ac:dyDescent="0.3">
      <c r="A1279" s="1" t="s">
        <v>1192</v>
      </c>
      <c r="B1279" s="19">
        <v>11800000</v>
      </c>
    </row>
    <row r="1280" spans="1:2" x14ac:dyDescent="0.3">
      <c r="A1280" s="1" t="s">
        <v>2032</v>
      </c>
      <c r="B1280" s="19">
        <v>10300000</v>
      </c>
    </row>
    <row r="1281" spans="1:2" x14ac:dyDescent="0.3">
      <c r="A1281" s="1" t="s">
        <v>1683</v>
      </c>
      <c r="B1281" s="19">
        <v>11200000</v>
      </c>
    </row>
    <row r="1282" spans="1:2" x14ac:dyDescent="0.3">
      <c r="A1282" s="1" t="s">
        <v>1348</v>
      </c>
      <c r="B1282" s="19">
        <v>33000000</v>
      </c>
    </row>
    <row r="1283" spans="1:2" x14ac:dyDescent="0.3">
      <c r="A1283" s="1" t="s">
        <v>1790</v>
      </c>
      <c r="B1283" s="19">
        <v>16000000</v>
      </c>
    </row>
    <row r="1284" spans="1:2" x14ac:dyDescent="0.3">
      <c r="A1284" s="1" t="s">
        <v>1288</v>
      </c>
      <c r="B1284" s="19">
        <v>11500000</v>
      </c>
    </row>
    <row r="1285" spans="1:2" x14ac:dyDescent="0.3">
      <c r="A1285" s="1" t="s">
        <v>1545</v>
      </c>
      <c r="B1285" s="19">
        <v>15500000</v>
      </c>
    </row>
    <row r="1286" spans="1:2" x14ac:dyDescent="0.3">
      <c r="A1286" s="1" t="s">
        <v>797</v>
      </c>
      <c r="B1286" s="19">
        <v>5500000</v>
      </c>
    </row>
    <row r="1287" spans="1:2" x14ac:dyDescent="0.3">
      <c r="A1287" s="1" t="s">
        <v>407</v>
      </c>
      <c r="B1287" s="19">
        <v>7800000</v>
      </c>
    </row>
    <row r="1288" spans="1:2" x14ac:dyDescent="0.3">
      <c r="A1288" s="1" t="s">
        <v>786</v>
      </c>
      <c r="B1288" s="19">
        <v>6200000</v>
      </c>
    </row>
    <row r="1289" spans="1:2" x14ac:dyDescent="0.3">
      <c r="A1289" s="1" t="s">
        <v>939</v>
      </c>
      <c r="B1289" s="19">
        <v>6600000</v>
      </c>
    </row>
    <row r="1290" spans="1:2" x14ac:dyDescent="0.3">
      <c r="A1290" s="1" t="s">
        <v>715</v>
      </c>
      <c r="B1290" s="19">
        <v>9800000</v>
      </c>
    </row>
    <row r="1291" spans="1:2" x14ac:dyDescent="0.3">
      <c r="A1291" s="1" t="s">
        <v>722</v>
      </c>
      <c r="B1291" s="19">
        <v>10500000</v>
      </c>
    </row>
    <row r="1292" spans="1:2" x14ac:dyDescent="0.3">
      <c r="A1292" s="1" t="s">
        <v>1066</v>
      </c>
      <c r="B1292" s="19">
        <v>10200000</v>
      </c>
    </row>
    <row r="1293" spans="1:2" x14ac:dyDescent="0.3">
      <c r="A1293" s="1" t="s">
        <v>470</v>
      </c>
      <c r="B1293" s="19">
        <v>4450000</v>
      </c>
    </row>
    <row r="1294" spans="1:2" x14ac:dyDescent="0.3">
      <c r="A1294" s="1" t="s">
        <v>717</v>
      </c>
      <c r="B1294" s="19">
        <v>5840000</v>
      </c>
    </row>
    <row r="1295" spans="1:2" x14ac:dyDescent="0.3">
      <c r="A1295" s="1" t="s">
        <v>1183</v>
      </c>
      <c r="B1295" s="19">
        <v>19850000</v>
      </c>
    </row>
    <row r="1296" spans="1:2" x14ac:dyDescent="0.3">
      <c r="A1296" s="1" t="s">
        <v>1092</v>
      </c>
      <c r="B1296" s="19">
        <v>11500000</v>
      </c>
    </row>
    <row r="1297" spans="1:2" x14ac:dyDescent="0.3">
      <c r="A1297" s="1" t="s">
        <v>1728</v>
      </c>
      <c r="B1297" s="19">
        <v>6000000</v>
      </c>
    </row>
    <row r="1298" spans="1:2" x14ac:dyDescent="0.3">
      <c r="A1298" s="1" t="s">
        <v>917</v>
      </c>
      <c r="B1298" s="19">
        <v>21700000</v>
      </c>
    </row>
    <row r="1299" spans="1:2" x14ac:dyDescent="0.3">
      <c r="A1299" s="1" t="s">
        <v>1079</v>
      </c>
      <c r="B1299" s="19">
        <v>10500000</v>
      </c>
    </row>
    <row r="1300" spans="1:2" x14ac:dyDescent="0.3">
      <c r="A1300" s="1" t="s">
        <v>6667</v>
      </c>
      <c r="B1300" s="19">
        <v>6450000</v>
      </c>
    </row>
    <row r="1301" spans="1:2" x14ac:dyDescent="0.3">
      <c r="A1301" s="1" t="s">
        <v>1922</v>
      </c>
      <c r="B1301" s="19">
        <v>10200000</v>
      </c>
    </row>
    <row r="1302" spans="1:2" x14ac:dyDescent="0.3">
      <c r="A1302" s="1" t="s">
        <v>1130</v>
      </c>
      <c r="B1302" s="19">
        <v>13500000</v>
      </c>
    </row>
    <row r="1303" spans="1:2" x14ac:dyDescent="0.3">
      <c r="A1303" s="1" t="s">
        <v>1253</v>
      </c>
      <c r="B1303" s="19">
        <v>14500000</v>
      </c>
    </row>
    <row r="1304" spans="1:2" x14ac:dyDescent="0.3">
      <c r="A1304" s="1" t="s">
        <v>422</v>
      </c>
      <c r="B1304" s="19">
        <v>9000000</v>
      </c>
    </row>
    <row r="1305" spans="1:2" x14ac:dyDescent="0.3">
      <c r="A1305" s="1" t="s">
        <v>1021</v>
      </c>
      <c r="B1305" s="19">
        <v>19400000</v>
      </c>
    </row>
    <row r="1306" spans="1:2" x14ac:dyDescent="0.3">
      <c r="A1306" s="1" t="s">
        <v>1562</v>
      </c>
      <c r="B1306" s="19">
        <v>7000000</v>
      </c>
    </row>
    <row r="1307" spans="1:2" x14ac:dyDescent="0.3">
      <c r="A1307" s="1" t="s">
        <v>608</v>
      </c>
      <c r="B1307" s="19">
        <v>10000000</v>
      </c>
    </row>
    <row r="1308" spans="1:2" x14ac:dyDescent="0.3">
      <c r="A1308" s="1" t="s">
        <v>1487</v>
      </c>
      <c r="B1308" s="19">
        <v>10500000</v>
      </c>
    </row>
    <row r="1309" spans="1:2" x14ac:dyDescent="0.3">
      <c r="A1309" s="1" t="s">
        <v>812</v>
      </c>
      <c r="B1309" s="19">
        <v>13000000</v>
      </c>
    </row>
    <row r="1310" spans="1:2" x14ac:dyDescent="0.3">
      <c r="A1310" s="1" t="s">
        <v>146</v>
      </c>
      <c r="B1310" s="19">
        <v>10300000</v>
      </c>
    </row>
    <row r="1311" spans="1:2" x14ac:dyDescent="0.3">
      <c r="A1311" s="1" t="s">
        <v>1051</v>
      </c>
      <c r="B1311" s="19">
        <v>12100000</v>
      </c>
    </row>
    <row r="1312" spans="1:2" x14ac:dyDescent="0.3">
      <c r="A1312" s="1" t="s">
        <v>1212</v>
      </c>
      <c r="B1312" s="19">
        <v>9800000</v>
      </c>
    </row>
    <row r="1313" spans="1:2" x14ac:dyDescent="0.3">
      <c r="A1313" s="1" t="s">
        <v>1204</v>
      </c>
      <c r="B1313" s="19">
        <v>11500000</v>
      </c>
    </row>
    <row r="1314" spans="1:2" x14ac:dyDescent="0.3">
      <c r="A1314" s="1" t="s">
        <v>1887</v>
      </c>
      <c r="B1314" s="19">
        <v>7200000</v>
      </c>
    </row>
    <row r="1315" spans="1:2" x14ac:dyDescent="0.3">
      <c r="A1315" s="1" t="s">
        <v>465</v>
      </c>
      <c r="B1315" s="19">
        <v>8800000</v>
      </c>
    </row>
    <row r="1316" spans="1:2" x14ac:dyDescent="0.3">
      <c r="A1316" s="1" t="s">
        <v>1700</v>
      </c>
      <c r="B1316" s="19">
        <v>15200000</v>
      </c>
    </row>
    <row r="1317" spans="1:2" x14ac:dyDescent="0.3">
      <c r="A1317" s="1" t="s">
        <v>808</v>
      </c>
      <c r="B1317" s="19">
        <v>14200000</v>
      </c>
    </row>
    <row r="1318" spans="1:2" x14ac:dyDescent="0.3">
      <c r="A1318" s="1" t="s">
        <v>875</v>
      </c>
      <c r="B1318" s="19">
        <v>8600000</v>
      </c>
    </row>
    <row r="1319" spans="1:2" x14ac:dyDescent="0.3">
      <c r="A1319" s="1" t="s">
        <v>1141</v>
      </c>
      <c r="B1319" s="19">
        <v>10000000</v>
      </c>
    </row>
    <row r="1320" spans="1:2" x14ac:dyDescent="0.3">
      <c r="A1320" s="1" t="s">
        <v>1466</v>
      </c>
      <c r="B1320" s="19">
        <v>11900000</v>
      </c>
    </row>
    <row r="1321" spans="1:2" x14ac:dyDescent="0.3">
      <c r="A1321" s="1" t="s">
        <v>1044</v>
      </c>
      <c r="B1321" s="19">
        <v>10600000</v>
      </c>
    </row>
    <row r="1322" spans="1:2" x14ac:dyDescent="0.3">
      <c r="A1322" s="1" t="s">
        <v>480</v>
      </c>
      <c r="B1322" s="19">
        <v>6300000</v>
      </c>
    </row>
    <row r="1323" spans="1:2" x14ac:dyDescent="0.3">
      <c r="A1323" s="1" t="s">
        <v>2253</v>
      </c>
      <c r="B1323" s="19">
        <v>9000000</v>
      </c>
    </row>
    <row r="1324" spans="1:2" x14ac:dyDescent="0.3">
      <c r="A1324" s="1" t="s">
        <v>706</v>
      </c>
      <c r="B1324" s="19">
        <v>14562895</v>
      </c>
    </row>
    <row r="1325" spans="1:2" x14ac:dyDescent="0.3">
      <c r="A1325" s="1" t="s">
        <v>937</v>
      </c>
      <c r="B1325" s="19">
        <v>8950000</v>
      </c>
    </row>
    <row r="1326" spans="1:2" x14ac:dyDescent="0.3">
      <c r="A1326" s="1" t="s">
        <v>744</v>
      </c>
      <c r="B1326" s="19">
        <v>37000000</v>
      </c>
    </row>
    <row r="1327" spans="1:2" x14ac:dyDescent="0.3">
      <c r="A1327" s="1" t="s">
        <v>47</v>
      </c>
      <c r="B1327" s="19">
        <v>9500000</v>
      </c>
    </row>
    <row r="1328" spans="1:2" x14ac:dyDescent="0.3">
      <c r="A1328" s="1" t="s">
        <v>923</v>
      </c>
      <c r="B1328" s="19">
        <v>18000000</v>
      </c>
    </row>
    <row r="1329" spans="1:2" x14ac:dyDescent="0.3">
      <c r="A1329" s="1" t="s">
        <v>1429</v>
      </c>
      <c r="B1329" s="19">
        <v>11000000</v>
      </c>
    </row>
    <row r="1330" spans="1:2" x14ac:dyDescent="0.3">
      <c r="A1330" s="1" t="s">
        <v>485</v>
      </c>
      <c r="B1330" s="19">
        <v>6600000</v>
      </c>
    </row>
    <row r="1331" spans="1:2" x14ac:dyDescent="0.3">
      <c r="A1331" s="1" t="s">
        <v>785</v>
      </c>
      <c r="B1331" s="19">
        <v>16300000</v>
      </c>
    </row>
    <row r="1332" spans="1:2" x14ac:dyDescent="0.3">
      <c r="A1332" s="1" t="s">
        <v>1479</v>
      </c>
      <c r="B1332" s="19">
        <v>16350000</v>
      </c>
    </row>
    <row r="1333" spans="1:2" x14ac:dyDescent="0.3">
      <c r="A1333" s="1" t="s">
        <v>754</v>
      </c>
      <c r="B1333" s="19">
        <v>9650000</v>
      </c>
    </row>
    <row r="1334" spans="1:2" x14ac:dyDescent="0.3">
      <c r="A1334" s="1" t="s">
        <v>2077</v>
      </c>
      <c r="B1334" s="19">
        <v>9500000</v>
      </c>
    </row>
    <row r="1335" spans="1:2" x14ac:dyDescent="0.3">
      <c r="A1335" s="1" t="s">
        <v>1519</v>
      </c>
      <c r="B1335" s="19">
        <v>35000000</v>
      </c>
    </row>
    <row r="1336" spans="1:2" x14ac:dyDescent="0.3">
      <c r="A1336" s="1" t="s">
        <v>1290</v>
      </c>
      <c r="B1336" s="19">
        <v>14000000</v>
      </c>
    </row>
    <row r="1337" spans="1:2" x14ac:dyDescent="0.3">
      <c r="A1337" s="1" t="s">
        <v>782</v>
      </c>
      <c r="B1337" s="19">
        <v>15500000</v>
      </c>
    </row>
    <row r="1338" spans="1:2" x14ac:dyDescent="0.3">
      <c r="A1338" s="1" t="s">
        <v>1459</v>
      </c>
      <c r="B1338" s="19">
        <v>11700000</v>
      </c>
    </row>
    <row r="1339" spans="1:2" x14ac:dyDescent="0.3">
      <c r="A1339" s="1" t="s">
        <v>1101</v>
      </c>
      <c r="B1339" s="19">
        <v>30000000</v>
      </c>
    </row>
    <row r="1340" spans="1:2" x14ac:dyDescent="0.3">
      <c r="A1340" s="1" t="s">
        <v>1741</v>
      </c>
      <c r="B1340" s="19">
        <v>10500000</v>
      </c>
    </row>
    <row r="1341" spans="1:2" x14ac:dyDescent="0.3">
      <c r="A1341" s="1" t="s">
        <v>166</v>
      </c>
      <c r="B1341" s="19">
        <v>10100000</v>
      </c>
    </row>
    <row r="1342" spans="1:2" x14ac:dyDescent="0.3">
      <c r="A1342" s="1" t="s">
        <v>733</v>
      </c>
      <c r="B1342" s="19">
        <v>10000000</v>
      </c>
    </row>
    <row r="1343" spans="1:2" x14ac:dyDescent="0.3">
      <c r="A1343" s="1" t="s">
        <v>2193</v>
      </c>
      <c r="B1343" s="19">
        <v>17000000</v>
      </c>
    </row>
    <row r="1344" spans="1:2" x14ac:dyDescent="0.3">
      <c r="A1344" s="1" t="s">
        <v>349</v>
      </c>
      <c r="B1344" s="19">
        <v>11500000</v>
      </c>
    </row>
    <row r="1345" spans="1:2" x14ac:dyDescent="0.3">
      <c r="A1345" s="1" t="s">
        <v>2342</v>
      </c>
      <c r="B1345" s="19">
        <v>8500000</v>
      </c>
    </row>
    <row r="1346" spans="1:2" x14ac:dyDescent="0.3">
      <c r="A1346" s="1" t="s">
        <v>2168</v>
      </c>
      <c r="B1346" s="19">
        <v>20000000</v>
      </c>
    </row>
    <row r="1347" spans="1:2" x14ac:dyDescent="0.3">
      <c r="A1347" s="1" t="s">
        <v>1155</v>
      </c>
      <c r="B1347" s="19">
        <v>11500000</v>
      </c>
    </row>
    <row r="1348" spans="1:2" x14ac:dyDescent="0.3">
      <c r="A1348" s="1" t="s">
        <v>1536</v>
      </c>
      <c r="B1348" s="19">
        <v>12500000</v>
      </c>
    </row>
    <row r="1349" spans="1:2" x14ac:dyDescent="0.3">
      <c r="A1349" s="1" t="s">
        <v>1033</v>
      </c>
      <c r="B1349" s="19">
        <v>10250000</v>
      </c>
    </row>
    <row r="1350" spans="1:2" x14ac:dyDescent="0.3">
      <c r="A1350" s="1" t="s">
        <v>1566</v>
      </c>
      <c r="B1350" s="19">
        <v>19000000</v>
      </c>
    </row>
    <row r="1351" spans="1:2" x14ac:dyDescent="0.3">
      <c r="A1351" s="1" t="s">
        <v>1137</v>
      </c>
      <c r="B1351" s="19">
        <v>12000000</v>
      </c>
    </row>
    <row r="1352" spans="1:2" x14ac:dyDescent="0.3">
      <c r="A1352" s="1" t="s">
        <v>1517</v>
      </c>
      <c r="B1352" s="19">
        <v>17500000</v>
      </c>
    </row>
    <row r="1353" spans="1:2" x14ac:dyDescent="0.3">
      <c r="A1353" s="1" t="s">
        <v>2076</v>
      </c>
      <c r="B1353" s="19">
        <v>6750000</v>
      </c>
    </row>
    <row r="1354" spans="1:2" x14ac:dyDescent="0.3">
      <c r="A1354" s="1" t="s">
        <v>2329</v>
      </c>
      <c r="B1354" s="19">
        <v>28000000</v>
      </c>
    </row>
    <row r="1355" spans="1:2" x14ac:dyDescent="0.3">
      <c r="A1355" s="1" t="s">
        <v>673</v>
      </c>
      <c r="B1355" s="19">
        <v>6600000</v>
      </c>
    </row>
    <row r="1356" spans="1:2" x14ac:dyDescent="0.3">
      <c r="A1356" s="1" t="s">
        <v>1045</v>
      </c>
      <c r="B1356" s="19">
        <v>6300000</v>
      </c>
    </row>
    <row r="1357" spans="1:2" x14ac:dyDescent="0.3">
      <c r="A1357" s="1" t="s">
        <v>629</v>
      </c>
      <c r="B1357" s="19">
        <v>4400000</v>
      </c>
    </row>
    <row r="1358" spans="1:2" x14ac:dyDescent="0.3">
      <c r="A1358" s="1" t="s">
        <v>629</v>
      </c>
      <c r="B1358" s="19">
        <v>6150000</v>
      </c>
    </row>
    <row r="1359" spans="1:2" x14ac:dyDescent="0.3">
      <c r="A1359" s="1" t="s">
        <v>2365</v>
      </c>
      <c r="B1359" s="19">
        <v>14800000</v>
      </c>
    </row>
    <row r="1360" spans="1:2" x14ac:dyDescent="0.3">
      <c r="A1360" s="1" t="s">
        <v>1541</v>
      </c>
      <c r="B1360" s="19">
        <v>11000000</v>
      </c>
    </row>
    <row r="1361" spans="1:2" x14ac:dyDescent="0.3">
      <c r="A1361" s="1" t="s">
        <v>1590</v>
      </c>
      <c r="B1361" s="19">
        <v>30000000</v>
      </c>
    </row>
    <row r="1362" spans="1:2" x14ac:dyDescent="0.3">
      <c r="A1362" s="1" t="s">
        <v>1308</v>
      </c>
      <c r="B1362" s="19">
        <v>24284433</v>
      </c>
    </row>
    <row r="1363" spans="1:2" x14ac:dyDescent="0.3">
      <c r="A1363" s="1" t="s">
        <v>1428</v>
      </c>
      <c r="B1363" s="19">
        <v>9000000</v>
      </c>
    </row>
    <row r="1364" spans="1:2" x14ac:dyDescent="0.3">
      <c r="A1364" s="1" t="s">
        <v>1167</v>
      </c>
      <c r="B1364" s="19">
        <v>5850000</v>
      </c>
    </row>
    <row r="1365" spans="1:2" x14ac:dyDescent="0.3">
      <c r="A1365" s="1" t="s">
        <v>839</v>
      </c>
      <c r="B1365" s="19">
        <v>19500000</v>
      </c>
    </row>
    <row r="1366" spans="1:2" x14ac:dyDescent="0.3">
      <c r="A1366" s="1" t="s">
        <v>1403</v>
      </c>
      <c r="B1366" s="19">
        <v>17850000</v>
      </c>
    </row>
    <row r="1367" spans="1:2" x14ac:dyDescent="0.3">
      <c r="A1367" s="1" t="s">
        <v>1677</v>
      </c>
      <c r="B1367" s="19">
        <v>7400000</v>
      </c>
    </row>
    <row r="1368" spans="1:2" x14ac:dyDescent="0.3">
      <c r="A1368" s="1" t="s">
        <v>18</v>
      </c>
      <c r="B1368" s="19">
        <v>5300000</v>
      </c>
    </row>
    <row r="1369" spans="1:2" x14ac:dyDescent="0.3">
      <c r="A1369" s="1" t="s">
        <v>1387</v>
      </c>
      <c r="B1369" s="19">
        <v>13500000</v>
      </c>
    </row>
    <row r="1370" spans="1:2" x14ac:dyDescent="0.3">
      <c r="A1370" s="1" t="s">
        <v>1512</v>
      </c>
      <c r="B1370" s="19">
        <v>13500000</v>
      </c>
    </row>
    <row r="1371" spans="1:2" x14ac:dyDescent="0.3">
      <c r="A1371" s="1" t="s">
        <v>364</v>
      </c>
      <c r="B1371" s="19">
        <v>6150000</v>
      </c>
    </row>
    <row r="1372" spans="1:2" x14ac:dyDescent="0.3">
      <c r="A1372" s="1" t="s">
        <v>835</v>
      </c>
      <c r="B1372" s="19">
        <v>16000000</v>
      </c>
    </row>
    <row r="1373" spans="1:2" x14ac:dyDescent="0.3">
      <c r="A1373" s="1" t="s">
        <v>1002</v>
      </c>
      <c r="B1373" s="19">
        <v>15000000</v>
      </c>
    </row>
    <row r="1374" spans="1:2" x14ac:dyDescent="0.3">
      <c r="A1374" s="1" t="s">
        <v>1972</v>
      </c>
      <c r="B1374" s="19">
        <v>24000000</v>
      </c>
    </row>
    <row r="1375" spans="1:2" x14ac:dyDescent="0.3">
      <c r="A1375" s="1" t="s">
        <v>1283</v>
      </c>
      <c r="B1375" s="19">
        <v>10000000</v>
      </c>
    </row>
    <row r="1376" spans="1:2" x14ac:dyDescent="0.3">
      <c r="A1376" s="1" t="s">
        <v>811</v>
      </c>
      <c r="B1376" s="19">
        <v>8000000</v>
      </c>
    </row>
    <row r="1377" spans="1:2" x14ac:dyDescent="0.3">
      <c r="A1377" s="1" t="s">
        <v>615</v>
      </c>
      <c r="B1377" s="19">
        <v>19900000</v>
      </c>
    </row>
    <row r="1378" spans="1:2" x14ac:dyDescent="0.3">
      <c r="A1378" s="1" t="s">
        <v>1508</v>
      </c>
      <c r="B1378" s="19">
        <v>10200000</v>
      </c>
    </row>
    <row r="1379" spans="1:2" x14ac:dyDescent="0.3">
      <c r="A1379" s="1" t="s">
        <v>1439</v>
      </c>
      <c r="B1379" s="19">
        <v>17500000</v>
      </c>
    </row>
    <row r="1380" spans="1:2" x14ac:dyDescent="0.3">
      <c r="A1380" s="1" t="s">
        <v>574</v>
      </c>
      <c r="B1380" s="19">
        <v>12200000</v>
      </c>
    </row>
    <row r="1381" spans="1:2" x14ac:dyDescent="0.3">
      <c r="A1381" s="1" t="s">
        <v>1580</v>
      </c>
      <c r="B1381" s="19">
        <v>9500000</v>
      </c>
    </row>
    <row r="1382" spans="1:2" x14ac:dyDescent="0.3">
      <c r="A1382" s="1" t="s">
        <v>1129</v>
      </c>
      <c r="B1382" s="19">
        <v>12100000</v>
      </c>
    </row>
    <row r="1383" spans="1:2" x14ac:dyDescent="0.3">
      <c r="A1383" s="1" t="s">
        <v>1218</v>
      </c>
      <c r="B1383" s="19">
        <v>16000000</v>
      </c>
    </row>
    <row r="1384" spans="1:2" x14ac:dyDescent="0.3">
      <c r="A1384" s="1" t="s">
        <v>1396</v>
      </c>
      <c r="B1384" s="19">
        <v>19880000</v>
      </c>
    </row>
    <row r="1385" spans="1:2" x14ac:dyDescent="0.3">
      <c r="A1385" s="1" t="s">
        <v>142</v>
      </c>
      <c r="B1385" s="19">
        <v>14500000</v>
      </c>
    </row>
    <row r="1386" spans="1:2" x14ac:dyDescent="0.3">
      <c r="A1386" s="1" t="s">
        <v>508</v>
      </c>
      <c r="B1386" s="19">
        <v>14500000</v>
      </c>
    </row>
    <row r="1387" spans="1:2" x14ac:dyDescent="0.3">
      <c r="A1387" s="1" t="s">
        <v>1918</v>
      </c>
      <c r="B1387" s="19">
        <v>22500000</v>
      </c>
    </row>
    <row r="1388" spans="1:2" x14ac:dyDescent="0.3">
      <c r="A1388" s="1" t="s">
        <v>1822</v>
      </c>
      <c r="B1388" s="19">
        <v>10500000</v>
      </c>
    </row>
    <row r="1389" spans="1:2" x14ac:dyDescent="0.3">
      <c r="A1389" s="1" t="s">
        <v>1747</v>
      </c>
      <c r="B1389" s="19">
        <v>20000000</v>
      </c>
    </row>
    <row r="1390" spans="1:2" x14ac:dyDescent="0.3">
      <c r="A1390" s="1" t="s">
        <v>1109</v>
      </c>
      <c r="B1390" s="19">
        <v>32000000</v>
      </c>
    </row>
    <row r="1391" spans="1:2" x14ac:dyDescent="0.3">
      <c r="A1391" s="1" t="s">
        <v>2197</v>
      </c>
      <c r="B1391" s="19">
        <v>13270000</v>
      </c>
    </row>
    <row r="1392" spans="1:2" x14ac:dyDescent="0.3">
      <c r="A1392" s="1" t="s">
        <v>1065</v>
      </c>
      <c r="B1392" s="19">
        <v>15500000</v>
      </c>
    </row>
    <row r="1393" spans="1:2" x14ac:dyDescent="0.3">
      <c r="A1393" s="1" t="s">
        <v>1294</v>
      </c>
      <c r="B1393" s="19">
        <v>7800000</v>
      </c>
    </row>
    <row r="1394" spans="1:2" x14ac:dyDescent="0.3">
      <c r="A1394" s="1" t="s">
        <v>2117</v>
      </c>
      <c r="B1394" s="19">
        <v>10300000</v>
      </c>
    </row>
    <row r="1395" spans="1:2" x14ac:dyDescent="0.3">
      <c r="A1395" s="1" t="s">
        <v>888</v>
      </c>
      <c r="B1395" s="19">
        <v>11000000</v>
      </c>
    </row>
    <row r="1396" spans="1:2" x14ac:dyDescent="0.3">
      <c r="A1396" s="1" t="s">
        <v>774</v>
      </c>
      <c r="B1396" s="19">
        <v>9000000</v>
      </c>
    </row>
    <row r="1397" spans="1:2" x14ac:dyDescent="0.3">
      <c r="A1397" s="1" t="s">
        <v>1219</v>
      </c>
      <c r="B1397" s="19">
        <v>18200000</v>
      </c>
    </row>
    <row r="1398" spans="1:2" x14ac:dyDescent="0.3">
      <c r="A1398" s="1" t="s">
        <v>44</v>
      </c>
      <c r="B1398" s="19">
        <v>10000000</v>
      </c>
    </row>
    <row r="1399" spans="1:2" x14ac:dyDescent="0.3">
      <c r="A1399" s="1" t="s">
        <v>1993</v>
      </c>
      <c r="B1399" s="19">
        <v>15900000</v>
      </c>
    </row>
    <row r="1400" spans="1:2" x14ac:dyDescent="0.3">
      <c r="A1400" s="1" t="s">
        <v>1574</v>
      </c>
      <c r="B1400" s="19">
        <v>8650000</v>
      </c>
    </row>
    <row r="1401" spans="1:2" x14ac:dyDescent="0.3">
      <c r="A1401" s="1" t="s">
        <v>1598</v>
      </c>
      <c r="B1401" s="19">
        <v>6800000</v>
      </c>
    </row>
    <row r="1402" spans="1:2" x14ac:dyDescent="0.3">
      <c r="A1402" s="1" t="s">
        <v>825</v>
      </c>
      <c r="B1402" s="19">
        <v>9000000</v>
      </c>
    </row>
    <row r="1403" spans="1:2" x14ac:dyDescent="0.3">
      <c r="A1403" s="1" t="s">
        <v>2164</v>
      </c>
      <c r="B1403" s="19">
        <v>11000000</v>
      </c>
    </row>
    <row r="1404" spans="1:2" x14ac:dyDescent="0.3">
      <c r="A1404" s="1" t="s">
        <v>876</v>
      </c>
      <c r="B1404" s="19">
        <v>10500000</v>
      </c>
    </row>
    <row r="1405" spans="1:2" x14ac:dyDescent="0.3">
      <c r="A1405" s="1" t="s">
        <v>1711</v>
      </c>
      <c r="B1405" s="19">
        <v>9700000</v>
      </c>
    </row>
    <row r="1406" spans="1:2" x14ac:dyDescent="0.3">
      <c r="A1406" s="1" t="s">
        <v>1159</v>
      </c>
      <c r="B1406" s="19">
        <v>15000000</v>
      </c>
    </row>
    <row r="1407" spans="1:2" x14ac:dyDescent="0.3">
      <c r="A1407" s="1" t="s">
        <v>823</v>
      </c>
      <c r="B1407" s="19">
        <v>6500000</v>
      </c>
    </row>
    <row r="1408" spans="1:2" x14ac:dyDescent="0.3">
      <c r="A1408" s="1" t="s">
        <v>2323</v>
      </c>
      <c r="B1408" s="19">
        <v>13000000</v>
      </c>
    </row>
    <row r="1409" spans="1:2" x14ac:dyDescent="0.3">
      <c r="A1409" s="1" t="s">
        <v>1024</v>
      </c>
      <c r="B1409" s="19">
        <v>28650000</v>
      </c>
    </row>
    <row r="1410" spans="1:2" x14ac:dyDescent="0.3">
      <c r="A1410" s="1" t="s">
        <v>607</v>
      </c>
      <c r="B1410" s="19">
        <v>27500000</v>
      </c>
    </row>
    <row r="1411" spans="1:2" x14ac:dyDescent="0.3">
      <c r="A1411" s="1" t="s">
        <v>830</v>
      </c>
      <c r="B1411" s="19">
        <v>9400000</v>
      </c>
    </row>
    <row r="1412" spans="1:2" x14ac:dyDescent="0.3">
      <c r="A1412" s="1" t="s">
        <v>2245</v>
      </c>
      <c r="B1412" s="19">
        <v>12800000</v>
      </c>
    </row>
    <row r="1413" spans="1:2" x14ac:dyDescent="0.3">
      <c r="A1413" s="1" t="s">
        <v>1144</v>
      </c>
      <c r="B1413" s="19">
        <v>15500000</v>
      </c>
    </row>
    <row r="1414" spans="1:2" x14ac:dyDescent="0.3">
      <c r="A1414" s="1" t="s">
        <v>1513</v>
      </c>
      <c r="B1414" s="19">
        <v>10500000</v>
      </c>
    </row>
    <row r="1415" spans="1:2" x14ac:dyDescent="0.3">
      <c r="A1415" s="1" t="s">
        <v>1960</v>
      </c>
      <c r="B1415" s="19">
        <v>32886100</v>
      </c>
    </row>
    <row r="1416" spans="1:2" x14ac:dyDescent="0.3">
      <c r="A1416" s="1" t="s">
        <v>1469</v>
      </c>
      <c r="B1416" s="19">
        <v>15500000</v>
      </c>
    </row>
    <row r="1417" spans="1:2" x14ac:dyDescent="0.3">
      <c r="A1417" s="1" t="s">
        <v>1373</v>
      </c>
      <c r="B1417" s="19">
        <v>14200000</v>
      </c>
    </row>
    <row r="1418" spans="1:2" x14ac:dyDescent="0.3">
      <c r="A1418" s="1" t="s">
        <v>1274</v>
      </c>
      <c r="B1418" s="19">
        <v>11500000</v>
      </c>
    </row>
    <row r="1419" spans="1:2" x14ac:dyDescent="0.3">
      <c r="A1419" s="1" t="s">
        <v>1295</v>
      </c>
      <c r="B1419" s="19">
        <v>22000000</v>
      </c>
    </row>
    <row r="1420" spans="1:2" x14ac:dyDescent="0.3">
      <c r="A1420" s="1" t="s">
        <v>908</v>
      </c>
      <c r="B1420" s="19">
        <v>6600000</v>
      </c>
    </row>
    <row r="1421" spans="1:2" x14ac:dyDescent="0.3">
      <c r="A1421" s="1" t="s">
        <v>1522</v>
      </c>
      <c r="B1421" s="19">
        <v>13500000</v>
      </c>
    </row>
    <row r="1422" spans="1:2" x14ac:dyDescent="0.3">
      <c r="A1422" s="1" t="s">
        <v>6668</v>
      </c>
      <c r="B1422" s="19">
        <v>11500000</v>
      </c>
    </row>
    <row r="1423" spans="1:2" x14ac:dyDescent="0.3">
      <c r="A1423" s="1" t="s">
        <v>468</v>
      </c>
      <c r="B1423" s="19">
        <v>11300000</v>
      </c>
    </row>
    <row r="1424" spans="1:2" x14ac:dyDescent="0.3">
      <c r="A1424" s="1" t="s">
        <v>1673</v>
      </c>
      <c r="B1424" s="19">
        <v>12800000</v>
      </c>
    </row>
    <row r="1425" spans="1:2" x14ac:dyDescent="0.3">
      <c r="A1425" s="1" t="s">
        <v>1059</v>
      </c>
      <c r="B1425" s="19">
        <v>12000000</v>
      </c>
    </row>
    <row r="1426" spans="1:2" x14ac:dyDescent="0.3">
      <c r="A1426" s="1" t="s">
        <v>442</v>
      </c>
      <c r="B1426" s="19">
        <v>8600000</v>
      </c>
    </row>
    <row r="1427" spans="1:2" x14ac:dyDescent="0.3">
      <c r="A1427" s="1" t="s">
        <v>935</v>
      </c>
      <c r="B1427" s="19">
        <v>6000000</v>
      </c>
    </row>
    <row r="1428" spans="1:2" x14ac:dyDescent="0.3">
      <c r="A1428" s="1" t="s">
        <v>1853</v>
      </c>
      <c r="B1428" s="19">
        <v>17000000</v>
      </c>
    </row>
    <row r="1429" spans="1:2" x14ac:dyDescent="0.3">
      <c r="A1429" s="1" t="s">
        <v>1025</v>
      </c>
      <c r="B1429" s="19">
        <v>8000000</v>
      </c>
    </row>
    <row r="1430" spans="1:2" x14ac:dyDescent="0.3">
      <c r="A1430" s="1" t="s">
        <v>1531</v>
      </c>
      <c r="B1430" s="19">
        <v>19000000</v>
      </c>
    </row>
    <row r="1431" spans="1:2" x14ac:dyDescent="0.3">
      <c r="A1431" s="1" t="s">
        <v>1838</v>
      </c>
      <c r="B1431" s="19">
        <v>11800000</v>
      </c>
    </row>
    <row r="1432" spans="1:2" x14ac:dyDescent="0.3">
      <c r="A1432" s="1" t="s">
        <v>878</v>
      </c>
      <c r="B1432" s="19">
        <v>11000000</v>
      </c>
    </row>
    <row r="1433" spans="1:2" x14ac:dyDescent="0.3">
      <c r="A1433" s="1" t="s">
        <v>653</v>
      </c>
      <c r="B1433" s="19">
        <v>6450000</v>
      </c>
    </row>
    <row r="1434" spans="1:2" x14ac:dyDescent="0.3">
      <c r="A1434" s="1" t="s">
        <v>2321</v>
      </c>
      <c r="B1434" s="19">
        <v>8500000</v>
      </c>
    </row>
    <row r="1435" spans="1:2" x14ac:dyDescent="0.3">
      <c r="A1435" s="1" t="s">
        <v>1804</v>
      </c>
      <c r="B1435" s="19">
        <v>7000000</v>
      </c>
    </row>
    <row r="1436" spans="1:2" x14ac:dyDescent="0.3">
      <c r="A1436" s="1" t="s">
        <v>1142</v>
      </c>
      <c r="B1436" s="19">
        <v>10800000</v>
      </c>
    </row>
    <row r="1437" spans="1:2" x14ac:dyDescent="0.3">
      <c r="A1437" s="1" t="s">
        <v>1111</v>
      </c>
      <c r="B1437" s="19">
        <v>7000000</v>
      </c>
    </row>
    <row r="1438" spans="1:2" x14ac:dyDescent="0.3">
      <c r="A1438" s="1" t="s">
        <v>1438</v>
      </c>
      <c r="B1438" s="19">
        <v>9000000</v>
      </c>
    </row>
    <row r="1439" spans="1:2" x14ac:dyDescent="0.3">
      <c r="A1439" s="1" t="s">
        <v>1083</v>
      </c>
      <c r="B1439" s="19">
        <v>5250000</v>
      </c>
    </row>
    <row r="1440" spans="1:2" x14ac:dyDescent="0.3">
      <c r="A1440" s="1" t="s">
        <v>1879</v>
      </c>
      <c r="B1440" s="19">
        <v>30000000</v>
      </c>
    </row>
    <row r="1441" spans="1:2" x14ac:dyDescent="0.3">
      <c r="A1441" s="1" t="s">
        <v>1269</v>
      </c>
      <c r="B1441" s="19">
        <v>12000000</v>
      </c>
    </row>
    <row r="1442" spans="1:2" x14ac:dyDescent="0.3">
      <c r="A1442" s="1" t="s">
        <v>1733</v>
      </c>
      <c r="B1442" s="19">
        <v>10200000</v>
      </c>
    </row>
    <row r="1443" spans="1:2" x14ac:dyDescent="0.3">
      <c r="A1443" s="1" t="s">
        <v>1233</v>
      </c>
      <c r="B1443" s="19">
        <v>22000000</v>
      </c>
    </row>
    <row r="1444" spans="1:2" x14ac:dyDescent="0.3">
      <c r="A1444" s="1" t="s">
        <v>1030</v>
      </c>
      <c r="B1444" s="19">
        <v>12000000</v>
      </c>
    </row>
    <row r="1445" spans="1:2" x14ac:dyDescent="0.3">
      <c r="A1445" s="1" t="s">
        <v>906</v>
      </c>
      <c r="B1445" s="19">
        <v>28300000</v>
      </c>
    </row>
    <row r="1446" spans="1:2" x14ac:dyDescent="0.3">
      <c r="A1446" s="1" t="s">
        <v>1959</v>
      </c>
      <c r="B1446" s="19">
        <v>12300000</v>
      </c>
    </row>
    <row r="1447" spans="1:2" x14ac:dyDescent="0.3">
      <c r="A1447" s="1" t="s">
        <v>4312</v>
      </c>
      <c r="B1447" s="19">
        <v>21000000</v>
      </c>
    </row>
    <row r="1448" spans="1:2" x14ac:dyDescent="0.3">
      <c r="A1448" s="1" t="s">
        <v>1369</v>
      </c>
      <c r="B1448" s="19">
        <v>10500000</v>
      </c>
    </row>
    <row r="1449" spans="1:2" x14ac:dyDescent="0.3">
      <c r="A1449" s="1" t="s">
        <v>1096</v>
      </c>
      <c r="B1449" s="19">
        <v>6800000</v>
      </c>
    </row>
    <row r="1450" spans="1:2" x14ac:dyDescent="0.3">
      <c r="A1450" s="1" t="s">
        <v>1713</v>
      </c>
      <c r="B1450" s="19">
        <v>6500000</v>
      </c>
    </row>
    <row r="1451" spans="1:2" x14ac:dyDescent="0.3">
      <c r="A1451" s="1" t="s">
        <v>1650</v>
      </c>
      <c r="B1451" s="19">
        <v>7000000</v>
      </c>
    </row>
    <row r="1452" spans="1:2" x14ac:dyDescent="0.3">
      <c r="A1452" s="1" t="s">
        <v>2268</v>
      </c>
      <c r="B1452" s="19">
        <v>15500000</v>
      </c>
    </row>
    <row r="1453" spans="1:2" x14ac:dyDescent="0.3">
      <c r="A1453" s="1" t="s">
        <v>180</v>
      </c>
      <c r="B1453" s="19">
        <v>20000000</v>
      </c>
    </row>
    <row r="1454" spans="1:2" x14ac:dyDescent="0.3">
      <c r="A1454" s="1" t="s">
        <v>308</v>
      </c>
      <c r="B1454" s="19">
        <v>30400000</v>
      </c>
    </row>
    <row r="1455" spans="1:2" x14ac:dyDescent="0.3">
      <c r="A1455" s="1" t="s">
        <v>765</v>
      </c>
      <c r="B1455" s="19">
        <v>11500000</v>
      </c>
    </row>
    <row r="1456" spans="1:2" x14ac:dyDescent="0.3">
      <c r="A1456" s="1" t="s">
        <v>1870</v>
      </c>
      <c r="B1456" s="19">
        <v>7800000</v>
      </c>
    </row>
    <row r="1457" spans="1:2" x14ac:dyDescent="0.3">
      <c r="A1457" s="1" t="s">
        <v>1392</v>
      </c>
      <c r="B1457" s="19">
        <v>8000000</v>
      </c>
    </row>
    <row r="1458" spans="1:2" x14ac:dyDescent="0.3">
      <c r="A1458" s="1" t="s">
        <v>1737</v>
      </c>
      <c r="B1458" s="19">
        <v>11000000</v>
      </c>
    </row>
    <row r="1459" spans="1:2" x14ac:dyDescent="0.3">
      <c r="A1459" s="1" t="s">
        <v>410</v>
      </c>
      <c r="B1459" s="19">
        <v>6000000</v>
      </c>
    </row>
    <row r="1460" spans="1:2" x14ac:dyDescent="0.3">
      <c r="A1460" s="1" t="s">
        <v>952</v>
      </c>
      <c r="B1460" s="19">
        <v>6200000</v>
      </c>
    </row>
    <row r="1461" spans="1:2" x14ac:dyDescent="0.3">
      <c r="A1461" s="1" t="s">
        <v>1186</v>
      </c>
      <c r="B1461" s="19">
        <v>11500000</v>
      </c>
    </row>
    <row r="1462" spans="1:2" x14ac:dyDescent="0.3">
      <c r="A1462" s="1" t="s">
        <v>687</v>
      </c>
      <c r="B1462" s="19">
        <v>16000000</v>
      </c>
    </row>
    <row r="1463" spans="1:2" x14ac:dyDescent="0.3">
      <c r="A1463" s="1" t="s">
        <v>687</v>
      </c>
      <c r="B1463" s="19">
        <v>17000000</v>
      </c>
    </row>
    <row r="1464" spans="1:2" x14ac:dyDescent="0.3">
      <c r="A1464" s="1" t="s">
        <v>1748</v>
      </c>
      <c r="B1464" s="19">
        <v>13500000</v>
      </c>
    </row>
    <row r="1465" spans="1:2" x14ac:dyDescent="0.3">
      <c r="A1465" s="1" t="s">
        <v>1696</v>
      </c>
      <c r="B1465" s="19">
        <v>25000000</v>
      </c>
    </row>
    <row r="1466" spans="1:2" x14ac:dyDescent="0.3">
      <c r="A1466" s="1" t="s">
        <v>1984</v>
      </c>
      <c r="B1466" s="19">
        <v>21000000</v>
      </c>
    </row>
    <row r="1467" spans="1:2" x14ac:dyDescent="0.3">
      <c r="A1467" s="1" t="s">
        <v>1674</v>
      </c>
      <c r="B1467" s="19">
        <v>25500000</v>
      </c>
    </row>
    <row r="1468" spans="1:2" x14ac:dyDescent="0.3">
      <c r="A1468" s="1" t="s">
        <v>536</v>
      </c>
      <c r="B1468" s="19">
        <v>7400000</v>
      </c>
    </row>
    <row r="1469" spans="1:2" x14ac:dyDescent="0.3">
      <c r="A1469" s="1" t="s">
        <v>857</v>
      </c>
      <c r="B1469" s="19">
        <v>8800000</v>
      </c>
    </row>
    <row r="1470" spans="1:2" x14ac:dyDescent="0.3">
      <c r="A1470" s="1" t="s">
        <v>1806</v>
      </c>
      <c r="B1470" s="19">
        <v>9500000</v>
      </c>
    </row>
    <row r="1471" spans="1:2" x14ac:dyDescent="0.3">
      <c r="A1471" s="1" t="s">
        <v>2163</v>
      </c>
      <c r="B1471" s="19">
        <v>9000000</v>
      </c>
    </row>
    <row r="1472" spans="1:2" x14ac:dyDescent="0.3">
      <c r="A1472" s="1" t="s">
        <v>2361</v>
      </c>
      <c r="B1472" s="19">
        <v>10000000</v>
      </c>
    </row>
    <row r="1473" spans="1:2" x14ac:dyDescent="0.3">
      <c r="A1473" s="1" t="s">
        <v>412</v>
      </c>
      <c r="B1473" s="19">
        <v>10200000</v>
      </c>
    </row>
    <row r="1474" spans="1:2" x14ac:dyDescent="0.3">
      <c r="A1474" s="1" t="s">
        <v>2105</v>
      </c>
      <c r="B1474" s="19">
        <v>24250000</v>
      </c>
    </row>
    <row r="1475" spans="1:2" x14ac:dyDescent="0.3">
      <c r="A1475" s="1" t="s">
        <v>2313</v>
      </c>
      <c r="B1475" s="19">
        <v>13500000</v>
      </c>
    </row>
    <row r="1476" spans="1:2" x14ac:dyDescent="0.3">
      <c r="A1476" s="1" t="s">
        <v>1915</v>
      </c>
      <c r="B1476" s="19">
        <v>21000000</v>
      </c>
    </row>
    <row r="1477" spans="1:2" x14ac:dyDescent="0.3">
      <c r="A1477" s="1" t="s">
        <v>1272</v>
      </c>
      <c r="B1477" s="19">
        <v>10000000</v>
      </c>
    </row>
    <row r="1478" spans="1:2" x14ac:dyDescent="0.3">
      <c r="A1478" s="1" t="s">
        <v>587</v>
      </c>
      <c r="B1478" s="19">
        <v>10200000</v>
      </c>
    </row>
    <row r="1479" spans="1:2" x14ac:dyDescent="0.3">
      <c r="A1479" s="1" t="s">
        <v>780</v>
      </c>
      <c r="B1479" s="19">
        <v>5350000</v>
      </c>
    </row>
    <row r="1480" spans="1:2" x14ac:dyDescent="0.3">
      <c r="A1480" s="1" t="s">
        <v>1226</v>
      </c>
      <c r="B1480" s="19">
        <v>19000000</v>
      </c>
    </row>
    <row r="1481" spans="1:2" x14ac:dyDescent="0.3">
      <c r="A1481" s="1" t="s">
        <v>2176</v>
      </c>
      <c r="B1481" s="19">
        <v>21000000</v>
      </c>
    </row>
    <row r="1482" spans="1:2" x14ac:dyDescent="0.3">
      <c r="A1482" s="1" t="s">
        <v>1584</v>
      </c>
      <c r="B1482" s="19">
        <v>10500000</v>
      </c>
    </row>
    <row r="1483" spans="1:2" x14ac:dyDescent="0.3">
      <c r="A1483" s="1" t="s">
        <v>2060</v>
      </c>
      <c r="B1483" s="19">
        <v>11500000</v>
      </c>
    </row>
    <row r="1484" spans="1:2" x14ac:dyDescent="0.3">
      <c r="A1484" s="1" t="s">
        <v>2007</v>
      </c>
      <c r="B1484" s="19">
        <v>15500000</v>
      </c>
    </row>
    <row r="1485" spans="1:2" x14ac:dyDescent="0.3">
      <c r="A1485" s="1" t="s">
        <v>544</v>
      </c>
      <c r="B1485" s="19">
        <v>11200000</v>
      </c>
    </row>
    <row r="1486" spans="1:2" x14ac:dyDescent="0.3">
      <c r="A1486" s="1" t="s">
        <v>1564</v>
      </c>
      <c r="B1486" s="19">
        <v>10000000</v>
      </c>
    </row>
    <row r="1487" spans="1:2" x14ac:dyDescent="0.3">
      <c r="A1487" s="1" t="s">
        <v>487</v>
      </c>
      <c r="B1487" s="19">
        <v>11000000</v>
      </c>
    </row>
    <row r="1488" spans="1:2" x14ac:dyDescent="0.3">
      <c r="A1488" s="1" t="s">
        <v>2187</v>
      </c>
      <c r="B1488" s="19">
        <v>16800000</v>
      </c>
    </row>
    <row r="1489" spans="1:2" x14ac:dyDescent="0.3">
      <c r="A1489" s="1" t="s">
        <v>577</v>
      </c>
      <c r="B1489" s="19">
        <v>30000000</v>
      </c>
    </row>
    <row r="1490" spans="1:2" x14ac:dyDescent="0.3">
      <c r="A1490" s="1" t="s">
        <v>865</v>
      </c>
      <c r="B1490" s="19">
        <v>7200000</v>
      </c>
    </row>
    <row r="1491" spans="1:2" x14ac:dyDescent="0.3">
      <c r="A1491" s="1" t="s">
        <v>959</v>
      </c>
      <c r="B1491" s="19">
        <v>11000000</v>
      </c>
    </row>
    <row r="1492" spans="1:2" x14ac:dyDescent="0.3">
      <c r="A1492" s="1" t="s">
        <v>1099</v>
      </c>
      <c r="B1492" s="19">
        <v>25000000</v>
      </c>
    </row>
    <row r="1493" spans="1:2" x14ac:dyDescent="0.3">
      <c r="A1493" s="1" t="s">
        <v>1951</v>
      </c>
      <c r="B1493" s="19">
        <v>19000000</v>
      </c>
    </row>
    <row r="1494" spans="1:2" x14ac:dyDescent="0.3">
      <c r="A1494" s="1" t="s">
        <v>1246</v>
      </c>
      <c r="B1494" s="19">
        <v>19000000</v>
      </c>
    </row>
    <row r="1495" spans="1:2" x14ac:dyDescent="0.3">
      <c r="A1495" s="1" t="s">
        <v>1366</v>
      </c>
      <c r="B1495" s="19">
        <v>9800000</v>
      </c>
    </row>
    <row r="1496" spans="1:2" x14ac:dyDescent="0.3">
      <c r="A1496" s="1" t="s">
        <v>1270</v>
      </c>
      <c r="B1496" s="19">
        <v>13100000</v>
      </c>
    </row>
    <row r="1497" spans="1:2" x14ac:dyDescent="0.3">
      <c r="A1497" s="1" t="s">
        <v>2115</v>
      </c>
      <c r="B1497" s="19">
        <v>12200000</v>
      </c>
    </row>
    <row r="1498" spans="1:2" x14ac:dyDescent="0.3">
      <c r="A1498" s="1" t="s">
        <v>1685</v>
      </c>
      <c r="B1498" s="19">
        <v>17700000</v>
      </c>
    </row>
    <row r="1499" spans="1:2" x14ac:dyDescent="0.3">
      <c r="A1499" s="1" t="s">
        <v>619</v>
      </c>
      <c r="B1499" s="19">
        <v>8900000</v>
      </c>
    </row>
    <row r="1500" spans="1:2" x14ac:dyDescent="0.3">
      <c r="A1500" s="1" t="s">
        <v>1837</v>
      </c>
      <c r="B1500" s="19">
        <v>14500000</v>
      </c>
    </row>
    <row r="1501" spans="1:2" x14ac:dyDescent="0.3">
      <c r="A1501" s="1" t="s">
        <v>1800</v>
      </c>
      <c r="B1501" s="19">
        <v>14000000</v>
      </c>
    </row>
    <row r="1502" spans="1:2" x14ac:dyDescent="0.3">
      <c r="A1502" s="1" t="s">
        <v>1195</v>
      </c>
      <c r="B1502" s="19">
        <v>10000000</v>
      </c>
    </row>
    <row r="1503" spans="1:2" x14ac:dyDescent="0.3">
      <c r="A1503" s="1" t="s">
        <v>1455</v>
      </c>
      <c r="B1503" s="19">
        <v>5800000</v>
      </c>
    </row>
    <row r="1504" spans="1:2" x14ac:dyDescent="0.3">
      <c r="A1504" s="1" t="s">
        <v>609</v>
      </c>
      <c r="B1504" s="19">
        <v>8500000</v>
      </c>
    </row>
    <row r="1505" spans="1:2" x14ac:dyDescent="0.3">
      <c r="A1505" s="1" t="s">
        <v>757</v>
      </c>
      <c r="B1505" s="19">
        <v>18000000</v>
      </c>
    </row>
    <row r="1506" spans="1:2" x14ac:dyDescent="0.3">
      <c r="A1506" s="1" t="s">
        <v>2209</v>
      </c>
      <c r="B1506" s="19">
        <v>20500000</v>
      </c>
    </row>
    <row r="1507" spans="1:2" x14ac:dyDescent="0.3">
      <c r="A1507" s="1" t="s">
        <v>2033</v>
      </c>
      <c r="B1507" s="19">
        <v>18500000</v>
      </c>
    </row>
    <row r="1508" spans="1:2" x14ac:dyDescent="0.3">
      <c r="A1508" s="1" t="s">
        <v>736</v>
      </c>
      <c r="B1508" s="19">
        <v>8300000</v>
      </c>
    </row>
    <row r="1509" spans="1:2" x14ac:dyDescent="0.3">
      <c r="A1509" s="1" t="s">
        <v>2145</v>
      </c>
      <c r="B1509" s="19">
        <v>16500000</v>
      </c>
    </row>
    <row r="1510" spans="1:2" x14ac:dyDescent="0.3">
      <c r="A1510" s="1" t="s">
        <v>2252</v>
      </c>
      <c r="B1510" s="19">
        <v>12000000</v>
      </c>
    </row>
    <row r="1511" spans="1:2" x14ac:dyDescent="0.3">
      <c r="A1511" s="1" t="s">
        <v>1260</v>
      </c>
      <c r="B1511" s="19">
        <v>5300000</v>
      </c>
    </row>
    <row r="1512" spans="1:2" x14ac:dyDescent="0.3">
      <c r="A1512" s="1" t="s">
        <v>214</v>
      </c>
      <c r="B1512" s="19">
        <v>13500000</v>
      </c>
    </row>
    <row r="1513" spans="1:2" x14ac:dyDescent="0.3">
      <c r="A1513" s="1" t="s">
        <v>107</v>
      </c>
      <c r="B1513" s="19">
        <v>17500000</v>
      </c>
    </row>
    <row r="1514" spans="1:2" x14ac:dyDescent="0.3">
      <c r="A1514" s="1" t="s">
        <v>618</v>
      </c>
      <c r="B1514" s="19">
        <v>8400000</v>
      </c>
    </row>
    <row r="1515" spans="1:2" x14ac:dyDescent="0.3">
      <c r="A1515" s="1" t="s">
        <v>775</v>
      </c>
      <c r="B1515" s="19">
        <v>6500000</v>
      </c>
    </row>
    <row r="1516" spans="1:2" x14ac:dyDescent="0.3">
      <c r="A1516" s="1" t="s">
        <v>1866</v>
      </c>
      <c r="B1516" s="19">
        <v>25000000</v>
      </c>
    </row>
    <row r="1517" spans="1:2" x14ac:dyDescent="0.3">
      <c r="A1517" s="1" t="s">
        <v>1013</v>
      </c>
      <c r="B1517" s="19">
        <v>10500000</v>
      </c>
    </row>
    <row r="1518" spans="1:2" x14ac:dyDescent="0.3">
      <c r="A1518" s="1" t="s">
        <v>730</v>
      </c>
      <c r="B1518" s="19">
        <v>11300000</v>
      </c>
    </row>
    <row r="1519" spans="1:2" x14ac:dyDescent="0.3">
      <c r="A1519" s="1" t="s">
        <v>392</v>
      </c>
      <c r="B1519" s="19">
        <v>7600000</v>
      </c>
    </row>
    <row r="1520" spans="1:2" x14ac:dyDescent="0.3">
      <c r="A1520" s="1" t="s">
        <v>371</v>
      </c>
      <c r="B1520" s="19">
        <v>11000000</v>
      </c>
    </row>
    <row r="1521" spans="1:2" x14ac:dyDescent="0.3">
      <c r="A1521" s="1" t="s">
        <v>2027</v>
      </c>
      <c r="B1521" s="19">
        <v>22500000</v>
      </c>
    </row>
    <row r="1522" spans="1:2" x14ac:dyDescent="0.3">
      <c r="A1522" s="1" t="s">
        <v>1022</v>
      </c>
      <c r="B1522" s="19">
        <v>10800000</v>
      </c>
    </row>
    <row r="1523" spans="1:2" x14ac:dyDescent="0.3">
      <c r="A1523" s="1" t="s">
        <v>1150</v>
      </c>
      <c r="B1523" s="19">
        <v>6300000</v>
      </c>
    </row>
    <row r="1524" spans="1:2" x14ac:dyDescent="0.3">
      <c r="A1524" s="1" t="s">
        <v>1010</v>
      </c>
      <c r="B1524" s="19">
        <v>6370000</v>
      </c>
    </row>
    <row r="1525" spans="1:2" x14ac:dyDescent="0.3">
      <c r="A1525" s="1" t="s">
        <v>2096</v>
      </c>
      <c r="B1525" s="19">
        <v>7500000</v>
      </c>
    </row>
    <row r="1526" spans="1:2" x14ac:dyDescent="0.3">
      <c r="A1526" s="1" t="s">
        <v>501</v>
      </c>
      <c r="B1526" s="19">
        <v>10000000</v>
      </c>
    </row>
    <row r="1527" spans="1:2" x14ac:dyDescent="0.3">
      <c r="A1527" s="1" t="s">
        <v>1255</v>
      </c>
      <c r="B1527" s="19">
        <v>18600000</v>
      </c>
    </row>
    <row r="1528" spans="1:2" x14ac:dyDescent="0.3">
      <c r="A1528" s="1" t="s">
        <v>846</v>
      </c>
      <c r="B1528" s="19">
        <v>12500000</v>
      </c>
    </row>
    <row r="1529" spans="1:2" x14ac:dyDescent="0.3">
      <c r="A1529" s="1" t="s">
        <v>740</v>
      </c>
      <c r="B1529" s="19">
        <v>6000000</v>
      </c>
    </row>
    <row r="1530" spans="1:2" x14ac:dyDescent="0.3">
      <c r="A1530" s="1" t="s">
        <v>63</v>
      </c>
      <c r="B1530" s="19">
        <v>9300000</v>
      </c>
    </row>
    <row r="1531" spans="1:2" x14ac:dyDescent="0.3">
      <c r="A1531" s="1" t="s">
        <v>866</v>
      </c>
      <c r="B1531" s="19">
        <v>10500000</v>
      </c>
    </row>
    <row r="1532" spans="1:2" x14ac:dyDescent="0.3">
      <c r="A1532" s="1" t="s">
        <v>1210</v>
      </c>
      <c r="B1532" s="19">
        <v>19500000</v>
      </c>
    </row>
    <row r="1533" spans="1:2" x14ac:dyDescent="0.3">
      <c r="A1533" s="1" t="s">
        <v>445</v>
      </c>
      <c r="B1533" s="19">
        <v>11300000</v>
      </c>
    </row>
    <row r="1534" spans="1:2" x14ac:dyDescent="0.3">
      <c r="A1534" s="1" t="s">
        <v>1014</v>
      </c>
      <c r="B1534" s="19">
        <v>5450000</v>
      </c>
    </row>
    <row r="1535" spans="1:2" x14ac:dyDescent="0.3">
      <c r="A1535" s="1" t="s">
        <v>1370</v>
      </c>
      <c r="B1535" s="19">
        <v>7000000</v>
      </c>
    </row>
    <row r="1536" spans="1:2" x14ac:dyDescent="0.3">
      <c r="A1536" s="1" t="s">
        <v>2370</v>
      </c>
      <c r="B1536" s="19">
        <v>6500000</v>
      </c>
    </row>
    <row r="1537" spans="1:2" x14ac:dyDescent="0.3">
      <c r="A1537" s="1" t="s">
        <v>1924</v>
      </c>
      <c r="B1537" s="19">
        <v>12000000</v>
      </c>
    </row>
    <row r="1538" spans="1:2" x14ac:dyDescent="0.3">
      <c r="A1538" s="1" t="s">
        <v>1865</v>
      </c>
      <c r="B1538" s="19">
        <v>12000000</v>
      </c>
    </row>
    <row r="1539" spans="1:2" x14ac:dyDescent="0.3">
      <c r="A1539" s="1" t="s">
        <v>855</v>
      </c>
      <c r="B1539" s="19">
        <v>10500000</v>
      </c>
    </row>
    <row r="1540" spans="1:2" x14ac:dyDescent="0.3">
      <c r="A1540" s="1" t="s">
        <v>1609</v>
      </c>
      <c r="B1540" s="19">
        <v>11500000</v>
      </c>
    </row>
    <row r="1541" spans="1:2" x14ac:dyDescent="0.3">
      <c r="A1541" s="1" t="s">
        <v>1404</v>
      </c>
      <c r="B1541" s="19">
        <v>18000000</v>
      </c>
    </row>
    <row r="1542" spans="1:2" x14ac:dyDescent="0.3">
      <c r="A1542" s="1" t="s">
        <v>1188</v>
      </c>
      <c r="B1542" s="19">
        <v>10200000</v>
      </c>
    </row>
    <row r="1543" spans="1:2" x14ac:dyDescent="0.3">
      <c r="A1543" s="1" t="s">
        <v>1933</v>
      </c>
      <c r="B1543" s="19">
        <v>43000000</v>
      </c>
    </row>
    <row r="1544" spans="1:2" x14ac:dyDescent="0.3">
      <c r="A1544" s="1" t="s">
        <v>420</v>
      </c>
      <c r="B1544" s="19">
        <v>5700000</v>
      </c>
    </row>
    <row r="1545" spans="1:2" x14ac:dyDescent="0.3">
      <c r="A1545" s="1" t="s">
        <v>2302</v>
      </c>
      <c r="B1545" s="19">
        <v>8000000</v>
      </c>
    </row>
    <row r="1546" spans="1:2" x14ac:dyDescent="0.3">
      <c r="A1546" s="1" t="s">
        <v>1855</v>
      </c>
      <c r="B1546" s="19">
        <v>18500000</v>
      </c>
    </row>
    <row r="1547" spans="1:2" x14ac:dyDescent="0.3">
      <c r="A1547" s="1" t="s">
        <v>840</v>
      </c>
      <c r="B1547" s="19">
        <v>6100000</v>
      </c>
    </row>
    <row r="1548" spans="1:2" x14ac:dyDescent="0.3">
      <c r="A1548" s="1" t="s">
        <v>767</v>
      </c>
      <c r="B1548" s="19">
        <v>19500000</v>
      </c>
    </row>
    <row r="1549" spans="1:2" x14ac:dyDescent="0.3">
      <c r="A1549" s="1" t="s">
        <v>861</v>
      </c>
      <c r="B1549" s="19">
        <v>7000000</v>
      </c>
    </row>
    <row r="1550" spans="1:2" x14ac:dyDescent="0.3">
      <c r="A1550" s="1" t="s">
        <v>869</v>
      </c>
      <c r="B1550" s="19">
        <v>6500000</v>
      </c>
    </row>
    <row r="1551" spans="1:2" x14ac:dyDescent="0.3">
      <c r="A1551" s="1" t="s">
        <v>1444</v>
      </c>
      <c r="B1551" s="19">
        <v>14700000</v>
      </c>
    </row>
    <row r="1552" spans="1:2" x14ac:dyDescent="0.3">
      <c r="A1552" s="1" t="s">
        <v>568</v>
      </c>
      <c r="B1552" s="19">
        <v>30000000</v>
      </c>
    </row>
    <row r="1553" spans="1:2" x14ac:dyDescent="0.3">
      <c r="A1553" s="1" t="s">
        <v>1570</v>
      </c>
      <c r="B1553" s="19">
        <v>10000000</v>
      </c>
    </row>
    <row r="1554" spans="1:2" x14ac:dyDescent="0.3">
      <c r="A1554" s="1" t="s">
        <v>555</v>
      </c>
      <c r="B1554" s="19">
        <v>9500000</v>
      </c>
    </row>
    <row r="1555" spans="1:2" x14ac:dyDescent="0.3">
      <c r="A1555" s="1" t="s">
        <v>680</v>
      </c>
      <c r="B1555" s="19">
        <v>8250000</v>
      </c>
    </row>
    <row r="1556" spans="1:2" x14ac:dyDescent="0.3">
      <c r="A1556" s="1" t="s">
        <v>2148</v>
      </c>
      <c r="B1556" s="19">
        <v>17500000</v>
      </c>
    </row>
    <row r="1557" spans="1:2" x14ac:dyDescent="0.3">
      <c r="A1557" s="1" t="s">
        <v>1467</v>
      </c>
      <c r="B1557" s="19">
        <v>7500000</v>
      </c>
    </row>
    <row r="1558" spans="1:2" x14ac:dyDescent="0.3">
      <c r="A1558" s="1" t="s">
        <v>1011</v>
      </c>
      <c r="B1558" s="19">
        <v>11000000</v>
      </c>
    </row>
    <row r="1559" spans="1:2" x14ac:dyDescent="0.3">
      <c r="A1559" s="1" t="s">
        <v>365</v>
      </c>
      <c r="B1559" s="19">
        <v>10250000</v>
      </c>
    </row>
    <row r="1560" spans="1:2" x14ac:dyDescent="0.3">
      <c r="A1560" s="1" t="s">
        <v>1874</v>
      </c>
      <c r="B1560" s="19">
        <v>24000000</v>
      </c>
    </row>
    <row r="1561" spans="1:2" x14ac:dyDescent="0.3">
      <c r="A1561" s="1" t="s">
        <v>889</v>
      </c>
      <c r="B1561" s="19">
        <v>7000000</v>
      </c>
    </row>
    <row r="1562" spans="1:2" x14ac:dyDescent="0.3">
      <c r="A1562" s="1" t="s">
        <v>1193</v>
      </c>
      <c r="B1562" s="19">
        <v>9000000</v>
      </c>
    </row>
    <row r="1563" spans="1:2" x14ac:dyDescent="0.3">
      <c r="A1563" s="1" t="s">
        <v>635</v>
      </c>
      <c r="B1563" s="19">
        <v>8000000</v>
      </c>
    </row>
    <row r="1564" spans="1:2" x14ac:dyDescent="0.3">
      <c r="A1564" s="1" t="s">
        <v>650</v>
      </c>
      <c r="B1564" s="19">
        <v>18000000</v>
      </c>
    </row>
    <row r="1565" spans="1:2" x14ac:dyDescent="0.3">
      <c r="A1565" s="1" t="s">
        <v>1191</v>
      </c>
      <c r="B1565" s="19">
        <v>5400000</v>
      </c>
    </row>
    <row r="1566" spans="1:2" x14ac:dyDescent="0.3">
      <c r="A1566" s="1" t="s">
        <v>1191</v>
      </c>
      <c r="B1566" s="19">
        <v>8000000</v>
      </c>
    </row>
    <row r="1567" spans="1:2" x14ac:dyDescent="0.3">
      <c r="A1567" s="1" t="s">
        <v>1047</v>
      </c>
      <c r="B1567" s="19">
        <v>10600000</v>
      </c>
    </row>
    <row r="1568" spans="1:2" x14ac:dyDescent="0.3">
      <c r="A1568" s="1" t="s">
        <v>1047</v>
      </c>
      <c r="B1568" s="19">
        <v>11000000</v>
      </c>
    </row>
    <row r="1569" spans="1:2" x14ac:dyDescent="0.3">
      <c r="A1569" s="1" t="s">
        <v>1451</v>
      </c>
      <c r="B1569" s="19">
        <v>13000000</v>
      </c>
    </row>
    <row r="1570" spans="1:2" x14ac:dyDescent="0.3">
      <c r="A1570" s="1" t="s">
        <v>1750</v>
      </c>
      <c r="B1570" s="19">
        <v>10000000</v>
      </c>
    </row>
    <row r="1571" spans="1:2" x14ac:dyDescent="0.3">
      <c r="A1571" s="1" t="s">
        <v>6669</v>
      </c>
      <c r="B1571" s="19">
        <v>18300000</v>
      </c>
    </row>
    <row r="1572" spans="1:2" x14ac:dyDescent="0.3">
      <c r="A1572" s="1" t="s">
        <v>1161</v>
      </c>
      <c r="B1572" s="19">
        <v>14300000</v>
      </c>
    </row>
    <row r="1573" spans="1:2" x14ac:dyDescent="0.3">
      <c r="A1573" s="1" t="s">
        <v>220</v>
      </c>
      <c r="B1573" s="19">
        <v>17000000</v>
      </c>
    </row>
    <row r="1574" spans="1:2" x14ac:dyDescent="0.3">
      <c r="A1574" s="1" t="s">
        <v>1266</v>
      </c>
      <c r="B1574" s="19">
        <v>9500000</v>
      </c>
    </row>
    <row r="1575" spans="1:2" x14ac:dyDescent="0.3">
      <c r="A1575" s="1" t="s">
        <v>1380</v>
      </c>
      <c r="B1575" s="19">
        <v>10000000</v>
      </c>
    </row>
    <row r="1576" spans="1:2" x14ac:dyDescent="0.3">
      <c r="A1576" s="1" t="s">
        <v>810</v>
      </c>
      <c r="B1576" s="19">
        <v>9000000</v>
      </c>
    </row>
    <row r="1577" spans="1:2" x14ac:dyDescent="0.3">
      <c r="A1577" s="1" t="s">
        <v>810</v>
      </c>
      <c r="B1577" s="19">
        <v>12000000</v>
      </c>
    </row>
    <row r="1578" spans="1:2" x14ac:dyDescent="0.3">
      <c r="A1578" s="1" t="s">
        <v>1119</v>
      </c>
      <c r="B1578" s="19">
        <v>9700000</v>
      </c>
    </row>
    <row r="1579" spans="1:2" x14ac:dyDescent="0.3">
      <c r="A1579" s="1" t="s">
        <v>558</v>
      </c>
      <c r="B1579" s="19">
        <v>14400000</v>
      </c>
    </row>
    <row r="1580" spans="1:2" x14ac:dyDescent="0.3">
      <c r="A1580" s="1" t="s">
        <v>1424</v>
      </c>
      <c r="B1580" s="19">
        <v>16000000</v>
      </c>
    </row>
    <row r="1581" spans="1:2" x14ac:dyDescent="0.3">
      <c r="A1581" s="1" t="s">
        <v>686</v>
      </c>
      <c r="B1581" s="19">
        <v>8000000</v>
      </c>
    </row>
    <row r="1582" spans="1:2" x14ac:dyDescent="0.3">
      <c r="A1582" s="1" t="s">
        <v>762</v>
      </c>
      <c r="B1582" s="19">
        <v>10750000</v>
      </c>
    </row>
    <row r="1583" spans="1:2" x14ac:dyDescent="0.3">
      <c r="A1583" s="1" t="s">
        <v>279</v>
      </c>
      <c r="B1583" s="19">
        <v>12100000</v>
      </c>
    </row>
    <row r="1584" spans="1:2" x14ac:dyDescent="0.3">
      <c r="A1584" s="1" t="s">
        <v>1344</v>
      </c>
      <c r="B1584" s="19">
        <v>13000000</v>
      </c>
    </row>
    <row r="1585" spans="1:2" x14ac:dyDescent="0.3">
      <c r="A1585" s="1" t="s">
        <v>1577</v>
      </c>
      <c r="B1585" s="19">
        <v>14500000</v>
      </c>
    </row>
    <row r="1586" spans="1:2" x14ac:dyDescent="0.3">
      <c r="A1586" s="1" t="s">
        <v>1725</v>
      </c>
      <c r="B1586" s="19">
        <v>6500000</v>
      </c>
    </row>
    <row r="1587" spans="1:2" x14ac:dyDescent="0.3">
      <c r="A1587" s="1" t="s">
        <v>1441</v>
      </c>
      <c r="B1587" s="19">
        <v>10200000</v>
      </c>
    </row>
    <row r="1588" spans="1:2" x14ac:dyDescent="0.3">
      <c r="A1588" s="1" t="s">
        <v>1393</v>
      </c>
      <c r="B1588" s="19">
        <v>15000000</v>
      </c>
    </row>
    <row r="1589" spans="1:2" x14ac:dyDescent="0.3">
      <c r="A1589" s="1" t="s">
        <v>1796</v>
      </c>
      <c r="B1589" s="19">
        <v>10000000</v>
      </c>
    </row>
    <row r="1590" spans="1:2" x14ac:dyDescent="0.3">
      <c r="A1590" s="1" t="s">
        <v>1026</v>
      </c>
      <c r="B1590" s="19">
        <v>10000000</v>
      </c>
    </row>
    <row r="1591" spans="1:2" x14ac:dyDescent="0.3">
      <c r="A1591" s="1" t="s">
        <v>771</v>
      </c>
      <c r="B1591" s="19">
        <v>9000000</v>
      </c>
    </row>
    <row r="1592" spans="1:2" x14ac:dyDescent="0.3">
      <c r="A1592" s="1" t="s">
        <v>898</v>
      </c>
      <c r="B1592" s="19">
        <v>15200000</v>
      </c>
    </row>
    <row r="1593" spans="1:2" x14ac:dyDescent="0.3">
      <c r="A1593" s="1" t="s">
        <v>1364</v>
      </c>
      <c r="B1593" s="19">
        <v>32500000</v>
      </c>
    </row>
    <row r="1594" spans="1:2" x14ac:dyDescent="0.3">
      <c r="A1594" s="1" t="s">
        <v>647</v>
      </c>
      <c r="B1594" s="19">
        <v>11000000</v>
      </c>
    </row>
    <row r="1595" spans="1:2" x14ac:dyDescent="0.3">
      <c r="A1595" s="1" t="s">
        <v>1824</v>
      </c>
      <c r="B1595" s="19">
        <v>11000000</v>
      </c>
    </row>
    <row r="1596" spans="1:2" x14ac:dyDescent="0.3">
      <c r="A1596" s="1" t="s">
        <v>1063</v>
      </c>
      <c r="B1596" s="19">
        <v>26000000</v>
      </c>
    </row>
    <row r="1597" spans="1:2" x14ac:dyDescent="0.3">
      <c r="A1597" s="1" t="s">
        <v>2038</v>
      </c>
      <c r="B1597" s="19">
        <v>29000000</v>
      </c>
    </row>
    <row r="1598" spans="1:2" x14ac:dyDescent="0.3">
      <c r="A1598" s="1" t="s">
        <v>288</v>
      </c>
      <c r="B1598" s="19">
        <v>19800000</v>
      </c>
    </row>
    <row r="1599" spans="1:2" x14ac:dyDescent="0.3">
      <c r="A1599" s="1" t="s">
        <v>892</v>
      </c>
      <c r="B1599" s="19">
        <v>29500000</v>
      </c>
    </row>
    <row r="1600" spans="1:2" x14ac:dyDescent="0.3">
      <c r="A1600" s="1" t="s">
        <v>572</v>
      </c>
      <c r="B1600" s="19">
        <v>12000000</v>
      </c>
    </row>
    <row r="1601" spans="1:2" x14ac:dyDescent="0.3">
      <c r="A1601" s="1" t="s">
        <v>1859</v>
      </c>
      <c r="B1601" s="19">
        <v>10300000</v>
      </c>
    </row>
    <row r="1602" spans="1:2" x14ac:dyDescent="0.3">
      <c r="A1602" s="1" t="s">
        <v>249</v>
      </c>
      <c r="B1602" s="19">
        <v>15400000</v>
      </c>
    </row>
    <row r="1603" spans="1:2" x14ac:dyDescent="0.3">
      <c r="A1603" s="1" t="s">
        <v>385</v>
      </c>
      <c r="B1603" s="19">
        <v>9500000</v>
      </c>
    </row>
    <row r="1604" spans="1:2" x14ac:dyDescent="0.3">
      <c r="A1604" s="1" t="s">
        <v>2073</v>
      </c>
      <c r="B1604" s="19">
        <v>15000000</v>
      </c>
    </row>
    <row r="1605" spans="1:2" x14ac:dyDescent="0.3">
      <c r="A1605" s="1" t="s">
        <v>1672</v>
      </c>
      <c r="B1605" s="19">
        <v>19000000</v>
      </c>
    </row>
    <row r="1606" spans="1:2" x14ac:dyDescent="0.3">
      <c r="A1606" s="1" t="s">
        <v>1041</v>
      </c>
      <c r="B1606" s="19">
        <v>34850000</v>
      </c>
    </row>
    <row r="1607" spans="1:2" x14ac:dyDescent="0.3">
      <c r="A1607" s="1" t="s">
        <v>1041</v>
      </c>
      <c r="B1607" s="19">
        <v>38500000</v>
      </c>
    </row>
    <row r="1608" spans="1:2" x14ac:dyDescent="0.3">
      <c r="A1608" s="1" t="s">
        <v>623</v>
      </c>
      <c r="B1608" s="19">
        <v>17700000</v>
      </c>
    </row>
    <row r="1609" spans="1:2" x14ac:dyDescent="0.3">
      <c r="A1609" s="1" t="s">
        <v>1209</v>
      </c>
      <c r="B1609" s="19">
        <v>21000000</v>
      </c>
    </row>
    <row r="1610" spans="1:2" x14ac:dyDescent="0.3">
      <c r="A1610" s="1" t="s">
        <v>1008</v>
      </c>
      <c r="B1610" s="19">
        <v>21000000</v>
      </c>
    </row>
    <row r="1611" spans="1:2" x14ac:dyDescent="0.3">
      <c r="A1611" s="1" t="s">
        <v>787</v>
      </c>
      <c r="B1611" s="19">
        <v>7200000</v>
      </c>
    </row>
    <row r="1612" spans="1:2" x14ac:dyDescent="0.3">
      <c r="A1612" s="1" t="s">
        <v>1675</v>
      </c>
      <c r="B1612" s="19">
        <v>15500000</v>
      </c>
    </row>
    <row r="1613" spans="1:2" x14ac:dyDescent="0.3">
      <c r="A1613" s="1" t="s">
        <v>911</v>
      </c>
      <c r="B1613" s="19">
        <v>16000000</v>
      </c>
    </row>
    <row r="1614" spans="1:2" x14ac:dyDescent="0.3">
      <c r="A1614" s="1" t="s">
        <v>135</v>
      </c>
      <c r="B1614" s="19">
        <v>26500000</v>
      </c>
    </row>
    <row r="1615" spans="1:2" x14ac:dyDescent="0.3">
      <c r="A1615" s="1" t="s">
        <v>1172</v>
      </c>
      <c r="B1615" s="19">
        <v>15200000</v>
      </c>
    </row>
    <row r="1616" spans="1:2" x14ac:dyDescent="0.3">
      <c r="A1616" s="1" t="s">
        <v>2001</v>
      </c>
      <c r="B1616" s="19">
        <v>9000000</v>
      </c>
    </row>
    <row r="1617" spans="1:2" x14ac:dyDescent="0.3">
      <c r="A1617" s="1" t="s">
        <v>1104</v>
      </c>
      <c r="B1617" s="19">
        <v>12500000</v>
      </c>
    </row>
    <row r="1618" spans="1:2" x14ac:dyDescent="0.3">
      <c r="A1618" s="1" t="s">
        <v>222</v>
      </c>
      <c r="B1618" s="19">
        <v>15300000</v>
      </c>
    </row>
    <row r="1619" spans="1:2" x14ac:dyDescent="0.3">
      <c r="A1619" s="1" t="s">
        <v>614</v>
      </c>
      <c r="B1619" s="19">
        <v>13300000</v>
      </c>
    </row>
    <row r="1620" spans="1:2" x14ac:dyDescent="0.3">
      <c r="A1620" s="1" t="s">
        <v>804</v>
      </c>
      <c r="B1620" s="19">
        <v>17500000</v>
      </c>
    </row>
    <row r="1621" spans="1:2" x14ac:dyDescent="0.3">
      <c r="A1621" s="1" t="s">
        <v>1983</v>
      </c>
      <c r="B1621" s="19">
        <v>17850000</v>
      </c>
    </row>
    <row r="1622" spans="1:2" x14ac:dyDescent="0.3">
      <c r="A1622" s="1" t="s">
        <v>1789</v>
      </c>
      <c r="B1622" s="19">
        <v>22500000</v>
      </c>
    </row>
    <row r="1623" spans="1:2" x14ac:dyDescent="0.3">
      <c r="A1623" s="1" t="s">
        <v>995</v>
      </c>
      <c r="B1623" s="19">
        <v>16200000</v>
      </c>
    </row>
    <row r="1624" spans="1:2" x14ac:dyDescent="0.3">
      <c r="A1624" s="1" t="s">
        <v>834</v>
      </c>
      <c r="B1624" s="19">
        <v>9500000</v>
      </c>
    </row>
    <row r="1625" spans="1:2" x14ac:dyDescent="0.3">
      <c r="A1625" s="1" t="s">
        <v>950</v>
      </c>
      <c r="B1625" s="19">
        <v>15000000</v>
      </c>
    </row>
    <row r="1626" spans="1:2" x14ac:dyDescent="0.3">
      <c r="A1626" s="1" t="s">
        <v>1276</v>
      </c>
      <c r="B1626" s="19">
        <v>9650000</v>
      </c>
    </row>
    <row r="1627" spans="1:2" x14ac:dyDescent="0.3">
      <c r="A1627" s="1" t="s">
        <v>1845</v>
      </c>
      <c r="B1627" s="19">
        <v>36000000</v>
      </c>
    </row>
    <row r="1628" spans="1:2" x14ac:dyDescent="0.3">
      <c r="A1628" s="1" t="s">
        <v>683</v>
      </c>
      <c r="B1628" s="19">
        <v>18000000</v>
      </c>
    </row>
    <row r="1629" spans="1:2" x14ac:dyDescent="0.3">
      <c r="A1629" s="1" t="s">
        <v>928</v>
      </c>
      <c r="B1629" s="19">
        <v>8500000</v>
      </c>
    </row>
    <row r="1630" spans="1:2" x14ac:dyDescent="0.3">
      <c r="A1630" s="1" t="s">
        <v>1289</v>
      </c>
      <c r="B1630" s="19">
        <v>10000000</v>
      </c>
    </row>
    <row r="1631" spans="1:2" x14ac:dyDescent="0.3">
      <c r="A1631" s="1" t="s">
        <v>462</v>
      </c>
      <c r="B1631" s="19">
        <v>10500000</v>
      </c>
    </row>
    <row r="1632" spans="1:2" x14ac:dyDescent="0.3">
      <c r="A1632" s="1" t="s">
        <v>921</v>
      </c>
      <c r="B1632" s="19">
        <v>8800000</v>
      </c>
    </row>
    <row r="1633" spans="1:2" x14ac:dyDescent="0.3">
      <c r="A1633" s="1" t="s">
        <v>1303</v>
      </c>
      <c r="B1633" s="19">
        <v>11000000</v>
      </c>
    </row>
    <row r="1634" spans="1:2" x14ac:dyDescent="0.3">
      <c r="A1634" s="1" t="s">
        <v>639</v>
      </c>
      <c r="B1634" s="19">
        <v>17800000</v>
      </c>
    </row>
    <row r="1635" spans="1:2" x14ac:dyDescent="0.3">
      <c r="A1635" s="1" t="s">
        <v>398</v>
      </c>
      <c r="B1635" s="19">
        <v>19700000</v>
      </c>
    </row>
    <row r="1636" spans="1:2" x14ac:dyDescent="0.3">
      <c r="A1636" s="1" t="s">
        <v>610</v>
      </c>
      <c r="B1636" s="19">
        <v>6800000</v>
      </c>
    </row>
    <row r="1637" spans="1:2" x14ac:dyDescent="0.3">
      <c r="A1637" s="1" t="s">
        <v>1254</v>
      </c>
      <c r="B1637" s="19">
        <v>8000000</v>
      </c>
    </row>
    <row r="1638" spans="1:2" x14ac:dyDescent="0.3">
      <c r="A1638" s="1" t="s">
        <v>1496</v>
      </c>
      <c r="B1638" s="19">
        <v>14500000</v>
      </c>
    </row>
    <row r="1639" spans="1:2" x14ac:dyDescent="0.3">
      <c r="A1639" s="1" t="s">
        <v>845</v>
      </c>
      <c r="B1639" s="19">
        <v>20500000</v>
      </c>
    </row>
    <row r="1640" spans="1:2" x14ac:dyDescent="0.3">
      <c r="A1640" s="1" t="s">
        <v>444</v>
      </c>
      <c r="B1640" s="19">
        <v>9000000</v>
      </c>
    </row>
    <row r="1641" spans="1:2" x14ac:dyDescent="0.3">
      <c r="A1641" s="1" t="s">
        <v>556</v>
      </c>
      <c r="B1641" s="19">
        <v>7000000</v>
      </c>
    </row>
    <row r="1642" spans="1:2" x14ac:dyDescent="0.3">
      <c r="A1642" s="1" t="s">
        <v>1133</v>
      </c>
      <c r="B1642" s="19">
        <v>7000000</v>
      </c>
    </row>
    <row r="1643" spans="1:2" x14ac:dyDescent="0.3">
      <c r="A1643" s="1" t="s">
        <v>1736</v>
      </c>
      <c r="B1643" s="19">
        <v>14100000</v>
      </c>
    </row>
    <row r="1644" spans="1:2" x14ac:dyDescent="0.3">
      <c r="A1644" s="1" t="s">
        <v>1185</v>
      </c>
      <c r="B1644" s="19">
        <v>18730000</v>
      </c>
    </row>
    <row r="1645" spans="1:2" x14ac:dyDescent="0.3">
      <c r="A1645" s="1" t="s">
        <v>295</v>
      </c>
      <c r="B1645" s="19">
        <v>14000000</v>
      </c>
    </row>
    <row r="1646" spans="1:2" x14ac:dyDescent="0.3">
      <c r="A1646" s="1" t="s">
        <v>1787</v>
      </c>
      <c r="B1646" s="19">
        <v>39500000</v>
      </c>
    </row>
    <row r="1647" spans="1:2" x14ac:dyDescent="0.3">
      <c r="A1647" s="1" t="s">
        <v>526</v>
      </c>
      <c r="B1647" s="19">
        <v>15200000</v>
      </c>
    </row>
    <row r="1648" spans="1:2" x14ac:dyDescent="0.3">
      <c r="A1648" s="1" t="s">
        <v>1165</v>
      </c>
      <c r="B1648" s="19">
        <v>13800000</v>
      </c>
    </row>
    <row r="1649" spans="1:2" x14ac:dyDescent="0.3">
      <c r="A1649" s="1" t="s">
        <v>1745</v>
      </c>
      <c r="B1649" s="19">
        <v>11500000</v>
      </c>
    </row>
    <row r="1650" spans="1:2" x14ac:dyDescent="0.3">
      <c r="A1650" s="1" t="s">
        <v>1834</v>
      </c>
      <c r="B1650" s="19">
        <v>9700000</v>
      </c>
    </row>
    <row r="1651" spans="1:2" x14ac:dyDescent="0.3">
      <c r="A1651" s="1" t="s">
        <v>1164</v>
      </c>
      <c r="B1651" s="19">
        <v>12200000</v>
      </c>
    </row>
    <row r="1652" spans="1:2" x14ac:dyDescent="0.3">
      <c r="A1652" s="1" t="s">
        <v>841</v>
      </c>
      <c r="B1652" s="19">
        <v>5000000</v>
      </c>
    </row>
    <row r="1653" spans="1:2" x14ac:dyDescent="0.3">
      <c r="A1653" s="1" t="s">
        <v>1296</v>
      </c>
      <c r="B1653" s="19">
        <v>8500000</v>
      </c>
    </row>
    <row r="1654" spans="1:2" x14ac:dyDescent="0.3">
      <c r="A1654" s="1" t="s">
        <v>617</v>
      </c>
      <c r="B1654" s="19">
        <v>9000000</v>
      </c>
    </row>
    <row r="1655" spans="1:2" x14ac:dyDescent="0.3">
      <c r="A1655" s="1" t="s">
        <v>306</v>
      </c>
      <c r="B1655" s="19">
        <v>26200000</v>
      </c>
    </row>
    <row r="1656" spans="1:2" x14ac:dyDescent="0.3">
      <c r="A1656" s="1" t="s">
        <v>1835</v>
      </c>
      <c r="B1656" s="19">
        <v>10000000</v>
      </c>
    </row>
    <row r="1657" spans="1:2" x14ac:dyDescent="0.3">
      <c r="A1657" s="1" t="s">
        <v>1820</v>
      </c>
      <c r="B1657" s="19">
        <v>14500000</v>
      </c>
    </row>
    <row r="1658" spans="1:2" x14ac:dyDescent="0.3">
      <c r="A1658" s="1" t="s">
        <v>1263</v>
      </c>
      <c r="B1658" s="19">
        <v>15400000</v>
      </c>
    </row>
    <row r="1659" spans="1:2" x14ac:dyDescent="0.3">
      <c r="A1659" s="1" t="s">
        <v>1215</v>
      </c>
      <c r="B1659" s="19">
        <v>11500000</v>
      </c>
    </row>
    <row r="1660" spans="1:2" x14ac:dyDescent="0.3">
      <c r="A1660" s="1" t="s">
        <v>1342</v>
      </c>
      <c r="B1660" s="19">
        <v>7200000</v>
      </c>
    </row>
    <row r="1661" spans="1:2" x14ac:dyDescent="0.3">
      <c r="A1661" s="1" t="s">
        <v>1423</v>
      </c>
      <c r="B1661" s="19">
        <v>14700000</v>
      </c>
    </row>
    <row r="1662" spans="1:2" x14ac:dyDescent="0.3">
      <c r="A1662" s="1" t="s">
        <v>1122</v>
      </c>
      <c r="B1662" s="19">
        <v>10350000</v>
      </c>
    </row>
    <row r="1663" spans="1:2" x14ac:dyDescent="0.3">
      <c r="A1663" s="1" t="s">
        <v>1480</v>
      </c>
      <c r="B1663" s="19">
        <v>10000000</v>
      </c>
    </row>
    <row r="1664" spans="1:2" x14ac:dyDescent="0.3">
      <c r="A1664" s="1" t="s">
        <v>1115</v>
      </c>
      <c r="B1664" s="19">
        <v>12500000</v>
      </c>
    </row>
    <row r="1665" spans="1:2" x14ac:dyDescent="0.3">
      <c r="A1665" s="1" t="s">
        <v>654</v>
      </c>
      <c r="B1665" s="19">
        <v>9500000</v>
      </c>
    </row>
    <row r="1666" spans="1:2" x14ac:dyDescent="0.3">
      <c r="A1666" s="1" t="s">
        <v>1073</v>
      </c>
      <c r="B1666" s="19">
        <v>37500000</v>
      </c>
    </row>
    <row r="1667" spans="1:2" x14ac:dyDescent="0.3">
      <c r="A1667" s="1" t="s">
        <v>2086</v>
      </c>
      <c r="B1667" s="19">
        <v>16350000</v>
      </c>
    </row>
    <row r="1668" spans="1:2" x14ac:dyDescent="0.3">
      <c r="A1668" s="1" t="s">
        <v>530</v>
      </c>
      <c r="B1668" s="19">
        <v>16000000</v>
      </c>
    </row>
    <row r="1669" spans="1:2" x14ac:dyDescent="0.3">
      <c r="A1669" s="1" t="s">
        <v>509</v>
      </c>
      <c r="B1669" s="19">
        <v>6500000</v>
      </c>
    </row>
    <row r="1670" spans="1:2" x14ac:dyDescent="0.3">
      <c r="A1670" s="1" t="s">
        <v>54</v>
      </c>
      <c r="B1670" s="19">
        <v>48000000</v>
      </c>
    </row>
    <row r="1671" spans="1:2" x14ac:dyDescent="0.3">
      <c r="A1671" s="1" t="s">
        <v>54</v>
      </c>
      <c r="B1671" s="19">
        <v>50000000</v>
      </c>
    </row>
    <row r="1672" spans="1:2" x14ac:dyDescent="0.3">
      <c r="A1672" s="1" t="s">
        <v>521</v>
      </c>
      <c r="B1672" s="19">
        <v>4550000</v>
      </c>
    </row>
    <row r="1673" spans="1:2" x14ac:dyDescent="0.3">
      <c r="A1673" s="1" t="s">
        <v>661</v>
      </c>
      <c r="B1673" s="19">
        <v>16000000</v>
      </c>
    </row>
    <row r="1674" spans="1:2" x14ac:dyDescent="0.3">
      <c r="A1674" s="1" t="s">
        <v>1368</v>
      </c>
      <c r="B1674" s="19">
        <v>12000000</v>
      </c>
    </row>
    <row r="1675" spans="1:2" x14ac:dyDescent="0.3">
      <c r="A1675" s="1" t="s">
        <v>827</v>
      </c>
      <c r="B1675" s="19">
        <v>8000000</v>
      </c>
    </row>
    <row r="1676" spans="1:2" x14ac:dyDescent="0.3">
      <c r="A1676" s="1" t="s">
        <v>1917</v>
      </c>
      <c r="B1676" s="19">
        <v>7100000</v>
      </c>
    </row>
    <row r="1677" spans="1:2" x14ac:dyDescent="0.3">
      <c r="A1677" s="1" t="s">
        <v>896</v>
      </c>
      <c r="B1677" s="19">
        <v>8000000</v>
      </c>
    </row>
    <row r="1678" spans="1:2" x14ac:dyDescent="0.3">
      <c r="A1678" s="1" t="s">
        <v>1114</v>
      </c>
      <c r="B1678" s="19">
        <v>10000000</v>
      </c>
    </row>
    <row r="1679" spans="1:2" x14ac:dyDescent="0.3">
      <c r="A1679" s="1" t="s">
        <v>725</v>
      </c>
      <c r="B1679" s="19">
        <v>17000000</v>
      </c>
    </row>
    <row r="1680" spans="1:2" x14ac:dyDescent="0.3">
      <c r="A1680" s="1" t="s">
        <v>2234</v>
      </c>
      <c r="B1680" s="19">
        <v>29024100</v>
      </c>
    </row>
    <row r="1681" spans="1:2" x14ac:dyDescent="0.3">
      <c r="A1681" s="1" t="s">
        <v>81</v>
      </c>
      <c r="B1681" s="19">
        <v>9100000</v>
      </c>
    </row>
    <row r="1682" spans="1:2" x14ac:dyDescent="0.3">
      <c r="A1682" s="1" t="s">
        <v>1309</v>
      </c>
      <c r="B1682" s="19">
        <v>22000000</v>
      </c>
    </row>
    <row r="1683" spans="1:2" x14ac:dyDescent="0.3">
      <c r="A1683" s="1" t="s">
        <v>431</v>
      </c>
      <c r="B1683" s="19">
        <v>17500000</v>
      </c>
    </row>
    <row r="1684" spans="1:2" x14ac:dyDescent="0.3">
      <c r="A1684" s="1" t="s">
        <v>1975</v>
      </c>
      <c r="B1684" s="19">
        <v>9000000</v>
      </c>
    </row>
    <row r="1685" spans="1:2" x14ac:dyDescent="0.3">
      <c r="A1685" s="1" t="s">
        <v>1113</v>
      </c>
      <c r="B1685" s="19">
        <v>24500000</v>
      </c>
    </row>
    <row r="1686" spans="1:2" x14ac:dyDescent="0.3">
      <c r="A1686" s="1" t="s">
        <v>291</v>
      </c>
      <c r="B1686" s="19">
        <v>16500000</v>
      </c>
    </row>
    <row r="1687" spans="1:2" x14ac:dyDescent="0.3">
      <c r="A1687" s="1" t="s">
        <v>1518</v>
      </c>
      <c r="B1687" s="19">
        <v>9800000</v>
      </c>
    </row>
    <row r="1688" spans="1:2" x14ac:dyDescent="0.3">
      <c r="A1688" s="1" t="s">
        <v>1518</v>
      </c>
      <c r="B1688" s="19">
        <v>12100000</v>
      </c>
    </row>
    <row r="1689" spans="1:2" x14ac:dyDescent="0.3">
      <c r="A1689" s="1" t="s">
        <v>1426</v>
      </c>
      <c r="B1689" s="19">
        <v>23800000</v>
      </c>
    </row>
    <row r="1690" spans="1:2" x14ac:dyDescent="0.3">
      <c r="A1690" s="1" t="s">
        <v>918</v>
      </c>
      <c r="B1690" s="19">
        <v>15000000</v>
      </c>
    </row>
    <row r="1691" spans="1:2" x14ac:dyDescent="0.3">
      <c r="A1691" s="1" t="s">
        <v>1751</v>
      </c>
      <c r="B1691" s="19">
        <v>5500000</v>
      </c>
    </row>
    <row r="1692" spans="1:2" x14ac:dyDescent="0.3">
      <c r="A1692" s="1" t="s">
        <v>803</v>
      </c>
      <c r="B1692" s="19">
        <v>11700000</v>
      </c>
    </row>
    <row r="1693" spans="1:2" x14ac:dyDescent="0.3">
      <c r="A1693" s="1" t="s">
        <v>1830</v>
      </c>
      <c r="B1693" s="19">
        <v>10000000</v>
      </c>
    </row>
    <row r="1694" spans="1:2" x14ac:dyDescent="0.3">
      <c r="A1694" s="1" t="s">
        <v>1029</v>
      </c>
      <c r="B1694" s="19">
        <v>10800000</v>
      </c>
    </row>
    <row r="1695" spans="1:2" x14ac:dyDescent="0.3">
      <c r="A1695" s="1" t="s">
        <v>1761</v>
      </c>
      <c r="B1695" s="19">
        <v>13000000</v>
      </c>
    </row>
    <row r="1696" spans="1:2" x14ac:dyDescent="0.3">
      <c r="A1696" s="1" t="s">
        <v>1143</v>
      </c>
      <c r="B1696" s="19">
        <v>10000000</v>
      </c>
    </row>
    <row r="1697" spans="1:2" x14ac:dyDescent="0.3">
      <c r="A1697" s="1" t="s">
        <v>1945</v>
      </c>
      <c r="B1697" s="19">
        <v>9000000</v>
      </c>
    </row>
    <row r="1698" spans="1:2" x14ac:dyDescent="0.3">
      <c r="A1698" s="1" t="s">
        <v>1028</v>
      </c>
      <c r="B1698" s="19">
        <v>17000000</v>
      </c>
    </row>
    <row r="1699" spans="1:2" x14ac:dyDescent="0.3">
      <c r="A1699" s="1" t="s">
        <v>1957</v>
      </c>
      <c r="B1699" s="19">
        <v>28000000</v>
      </c>
    </row>
    <row r="1700" spans="1:2" x14ac:dyDescent="0.3">
      <c r="A1700" s="1" t="s">
        <v>1236</v>
      </c>
      <c r="B1700" s="19">
        <v>9500000</v>
      </c>
    </row>
    <row r="1701" spans="1:2" x14ac:dyDescent="0.3">
      <c r="A1701" s="1" t="s">
        <v>6670</v>
      </c>
      <c r="B1701" s="19">
        <v>7100000</v>
      </c>
    </row>
    <row r="1702" spans="1:2" x14ac:dyDescent="0.3">
      <c r="A1702" s="1" t="s">
        <v>2012</v>
      </c>
      <c r="B1702" s="19">
        <v>8900000</v>
      </c>
    </row>
    <row r="1703" spans="1:2" x14ac:dyDescent="0.3">
      <c r="A1703" s="1" t="s">
        <v>2057</v>
      </c>
      <c r="B1703" s="19">
        <v>23000000</v>
      </c>
    </row>
    <row r="1704" spans="1:2" x14ac:dyDescent="0.3">
      <c r="A1704" s="1" t="s">
        <v>1251</v>
      </c>
      <c r="B1704" s="19">
        <v>7000000</v>
      </c>
    </row>
    <row r="1705" spans="1:2" x14ac:dyDescent="0.3">
      <c r="A1705" s="1" t="s">
        <v>1322</v>
      </c>
      <c r="B1705" s="19">
        <v>8250000</v>
      </c>
    </row>
    <row r="1706" spans="1:2" x14ac:dyDescent="0.3">
      <c r="A1706" s="1" t="s">
        <v>884</v>
      </c>
      <c r="B1706" s="19">
        <v>10750000</v>
      </c>
    </row>
    <row r="1707" spans="1:2" x14ac:dyDescent="0.3">
      <c r="A1707" s="1" t="s">
        <v>1667</v>
      </c>
      <c r="B1707" s="19">
        <v>9100000</v>
      </c>
    </row>
    <row r="1708" spans="1:2" x14ac:dyDescent="0.3">
      <c r="A1708" s="1" t="s">
        <v>2179</v>
      </c>
      <c r="B1708" s="19">
        <v>8990000</v>
      </c>
    </row>
    <row r="1709" spans="1:2" x14ac:dyDescent="0.3">
      <c r="A1709" s="1" t="s">
        <v>2020</v>
      </c>
      <c r="B1709" s="19">
        <v>14500000</v>
      </c>
    </row>
    <row r="1710" spans="1:2" x14ac:dyDescent="0.3">
      <c r="A1710" s="1" t="s">
        <v>637</v>
      </c>
      <c r="B1710" s="19">
        <v>7000000</v>
      </c>
    </row>
    <row r="1711" spans="1:2" x14ac:dyDescent="0.3">
      <c r="A1711" s="1" t="s">
        <v>860</v>
      </c>
      <c r="B1711" s="19">
        <v>7200000</v>
      </c>
    </row>
    <row r="1712" spans="1:2" x14ac:dyDescent="0.3">
      <c r="A1712" s="1" t="s">
        <v>1616</v>
      </c>
      <c r="B1712" s="19">
        <v>13000000</v>
      </c>
    </row>
    <row r="1713" spans="1:2" x14ac:dyDescent="0.3">
      <c r="A1713" s="1" t="s">
        <v>1666</v>
      </c>
      <c r="B1713" s="19">
        <v>19000000</v>
      </c>
    </row>
    <row r="1714" spans="1:2" x14ac:dyDescent="0.3">
      <c r="A1714" s="1" t="s">
        <v>451</v>
      </c>
      <c r="B1714" s="19">
        <v>7000000</v>
      </c>
    </row>
    <row r="1715" spans="1:2" x14ac:dyDescent="0.3">
      <c r="A1715" s="1" t="s">
        <v>108</v>
      </c>
      <c r="B1715" s="19">
        <v>15400000</v>
      </c>
    </row>
    <row r="1716" spans="1:2" x14ac:dyDescent="0.3">
      <c r="A1716" s="1" t="s">
        <v>539</v>
      </c>
      <c r="B1716" s="19">
        <v>10000000</v>
      </c>
    </row>
    <row r="1717" spans="1:2" x14ac:dyDescent="0.3">
      <c r="A1717" s="1" t="s">
        <v>994</v>
      </c>
      <c r="B1717" s="19">
        <v>29000000</v>
      </c>
    </row>
    <row r="1718" spans="1:2" x14ac:dyDescent="0.3">
      <c r="A1718" s="1" t="s">
        <v>1069</v>
      </c>
      <c r="B1718" s="19">
        <v>4800000</v>
      </c>
    </row>
    <row r="1719" spans="1:2" x14ac:dyDescent="0.3">
      <c r="A1719" s="1" t="s">
        <v>659</v>
      </c>
      <c r="B1719" s="19">
        <v>8800000</v>
      </c>
    </row>
    <row r="1720" spans="1:2" x14ac:dyDescent="0.3">
      <c r="A1720" s="1" t="s">
        <v>171</v>
      </c>
      <c r="B1720" s="19">
        <v>7000000</v>
      </c>
    </row>
    <row r="1721" spans="1:2" x14ac:dyDescent="0.3">
      <c r="A1721" s="1" t="s">
        <v>1350</v>
      </c>
      <c r="B1721" s="19">
        <v>17500000</v>
      </c>
    </row>
    <row r="1722" spans="1:2" x14ac:dyDescent="0.3">
      <c r="A1722" s="1" t="s">
        <v>772</v>
      </c>
      <c r="B1722" s="19">
        <v>17800000</v>
      </c>
    </row>
    <row r="1723" spans="1:2" x14ac:dyDescent="0.3">
      <c r="A1723" s="1" t="s">
        <v>1321</v>
      </c>
      <c r="B1723" s="19">
        <v>9000000</v>
      </c>
    </row>
    <row r="1724" spans="1:2" x14ac:dyDescent="0.3">
      <c r="A1724" s="1" t="s">
        <v>527</v>
      </c>
      <c r="B1724" s="19">
        <v>15000000</v>
      </c>
    </row>
    <row r="1725" spans="1:2" x14ac:dyDescent="0.3">
      <c r="A1725" s="1" t="s">
        <v>1452</v>
      </c>
      <c r="B1725" s="19">
        <v>31000000</v>
      </c>
    </row>
    <row r="1726" spans="1:2" x14ac:dyDescent="0.3">
      <c r="A1726" s="1" t="s">
        <v>426</v>
      </c>
      <c r="B1726" s="19">
        <v>10500000</v>
      </c>
    </row>
    <row r="1727" spans="1:2" x14ac:dyDescent="0.3">
      <c r="A1727" s="1" t="s">
        <v>1408</v>
      </c>
      <c r="B1727" s="19">
        <v>7000000</v>
      </c>
    </row>
    <row r="1728" spans="1:2" x14ac:dyDescent="0.3">
      <c r="A1728" s="1" t="s">
        <v>1744</v>
      </c>
      <c r="B1728" s="19">
        <v>36500000</v>
      </c>
    </row>
    <row r="1729" spans="1:2" x14ac:dyDescent="0.3">
      <c r="A1729" s="1" t="s">
        <v>1435</v>
      </c>
      <c r="B1729" s="19">
        <v>18000000</v>
      </c>
    </row>
    <row r="1730" spans="1:2" x14ac:dyDescent="0.3">
      <c r="A1730" s="1" t="s">
        <v>2054</v>
      </c>
      <c r="B1730" s="19">
        <v>12300000</v>
      </c>
    </row>
    <row r="1731" spans="1:2" x14ac:dyDescent="0.3">
      <c r="A1731" s="1" t="s">
        <v>1966</v>
      </c>
      <c r="B1731" s="19">
        <v>10200000</v>
      </c>
    </row>
    <row r="1732" spans="1:2" x14ac:dyDescent="0.3">
      <c r="A1732" s="1" t="s">
        <v>1714</v>
      </c>
      <c r="B1732" s="19">
        <v>17000000</v>
      </c>
    </row>
    <row r="1733" spans="1:2" x14ac:dyDescent="0.3">
      <c r="A1733" s="1" t="s">
        <v>559</v>
      </c>
      <c r="B1733" s="19">
        <v>6500000</v>
      </c>
    </row>
    <row r="1734" spans="1:2" x14ac:dyDescent="0.3">
      <c r="A1734" s="1" t="s">
        <v>1911</v>
      </c>
      <c r="B1734" s="19">
        <v>29000000</v>
      </c>
    </row>
    <row r="1735" spans="1:2" x14ac:dyDescent="0.3">
      <c r="A1735" s="1" t="s">
        <v>579</v>
      </c>
      <c r="B1735" s="19">
        <v>8300000</v>
      </c>
    </row>
    <row r="1736" spans="1:2" x14ac:dyDescent="0.3">
      <c r="A1736" s="1" t="s">
        <v>769</v>
      </c>
      <c r="B1736" s="19">
        <v>17000000</v>
      </c>
    </row>
    <row r="1737" spans="1:2" x14ac:dyDescent="0.3">
      <c r="A1737" s="1" t="s">
        <v>1493</v>
      </c>
      <c r="B1737" s="19">
        <v>13700000</v>
      </c>
    </row>
    <row r="1738" spans="1:2" x14ac:dyDescent="0.3">
      <c r="A1738" s="1" t="s">
        <v>239</v>
      </c>
      <c r="B1738" s="19">
        <v>15200000</v>
      </c>
    </row>
    <row r="1739" spans="1:2" x14ac:dyDescent="0.3">
      <c r="A1739" s="1" t="s">
        <v>1034</v>
      </c>
      <c r="B1739" s="19">
        <v>15000000</v>
      </c>
    </row>
    <row r="1740" spans="1:2" x14ac:dyDescent="0.3">
      <c r="A1740" s="1" t="s">
        <v>1535</v>
      </c>
      <c r="B1740" s="19">
        <v>9500000</v>
      </c>
    </row>
    <row r="1741" spans="1:2" x14ac:dyDescent="0.3">
      <c r="A1741" s="1" t="s">
        <v>1256</v>
      </c>
      <c r="B1741" s="19">
        <v>29000000</v>
      </c>
    </row>
    <row r="1742" spans="1:2" x14ac:dyDescent="0.3">
      <c r="A1742" s="1" t="s">
        <v>1852</v>
      </c>
      <c r="B1742" s="19">
        <v>27000000</v>
      </c>
    </row>
    <row r="1743" spans="1:2" x14ac:dyDescent="0.3">
      <c r="A1743" s="1" t="s">
        <v>80</v>
      </c>
      <c r="B1743" s="19">
        <v>6800000</v>
      </c>
    </row>
    <row r="1744" spans="1:2" x14ac:dyDescent="0.3">
      <c r="A1744" s="1" t="s">
        <v>1497</v>
      </c>
      <c r="B1744" s="19">
        <v>12300000</v>
      </c>
    </row>
    <row r="1745" spans="1:2" x14ac:dyDescent="0.3">
      <c r="A1745" s="1" t="s">
        <v>987</v>
      </c>
      <c r="B1745" s="19">
        <v>23000000</v>
      </c>
    </row>
    <row r="1746" spans="1:2" x14ac:dyDescent="0.3">
      <c r="A1746" s="1" t="s">
        <v>532</v>
      </c>
      <c r="B1746" s="19">
        <v>15700000</v>
      </c>
    </row>
    <row r="1747" spans="1:2" x14ac:dyDescent="0.3">
      <c r="A1747" s="1" t="s">
        <v>1249</v>
      </c>
      <c r="B1747" s="19">
        <v>31000000</v>
      </c>
    </row>
    <row r="1748" spans="1:2" x14ac:dyDescent="0.3">
      <c r="A1748" s="1" t="s">
        <v>1271</v>
      </c>
      <c r="B1748" s="19">
        <v>31000000</v>
      </c>
    </row>
    <row r="1749" spans="1:2" x14ac:dyDescent="0.3">
      <c r="A1749" s="1" t="s">
        <v>728</v>
      </c>
      <c r="B1749" s="19">
        <v>27750000</v>
      </c>
    </row>
    <row r="1750" spans="1:2" x14ac:dyDescent="0.3">
      <c r="A1750" s="1" t="s">
        <v>473</v>
      </c>
      <c r="B1750" s="19">
        <v>9000000</v>
      </c>
    </row>
    <row r="1751" spans="1:2" x14ac:dyDescent="0.3">
      <c r="A1751" s="1" t="s">
        <v>459</v>
      </c>
      <c r="B1751" s="19">
        <v>10700000</v>
      </c>
    </row>
    <row r="1752" spans="1:2" x14ac:dyDescent="0.3">
      <c r="A1752" s="1" t="s">
        <v>1916</v>
      </c>
      <c r="B1752" s="19">
        <v>18350000</v>
      </c>
    </row>
    <row r="1753" spans="1:2" x14ac:dyDescent="0.3">
      <c r="A1753" s="1" t="s">
        <v>1759</v>
      </c>
      <c r="B1753" s="19">
        <v>31750000</v>
      </c>
    </row>
    <row r="1754" spans="1:2" x14ac:dyDescent="0.3">
      <c r="A1754" s="1" t="s">
        <v>791</v>
      </c>
      <c r="B1754" s="19">
        <v>15150000</v>
      </c>
    </row>
    <row r="1755" spans="1:2" x14ac:dyDescent="0.3">
      <c r="A1755" s="1" t="s">
        <v>1187</v>
      </c>
      <c r="B1755" s="19">
        <v>16500000</v>
      </c>
    </row>
    <row r="1756" spans="1:2" x14ac:dyDescent="0.3">
      <c r="A1756" s="1" t="s">
        <v>504</v>
      </c>
      <c r="B1756" s="19">
        <v>11800000</v>
      </c>
    </row>
    <row r="1757" spans="1:2" x14ac:dyDescent="0.3">
      <c r="A1757" s="1" t="s">
        <v>534</v>
      </c>
      <c r="B1757" s="19">
        <v>8000000</v>
      </c>
    </row>
    <row r="1758" spans="1:2" x14ac:dyDescent="0.3">
      <c r="A1758" s="1" t="s">
        <v>466</v>
      </c>
      <c r="B1758" s="19">
        <v>6600000</v>
      </c>
    </row>
    <row r="1759" spans="1:2" x14ac:dyDescent="0.3">
      <c r="A1759" s="1" t="s">
        <v>507</v>
      </c>
      <c r="B1759" s="19">
        <v>22100000</v>
      </c>
    </row>
    <row r="1760" spans="1:2" x14ac:dyDescent="0.3">
      <c r="A1760" s="1" t="s">
        <v>460</v>
      </c>
      <c r="B1760" s="19">
        <v>9700000</v>
      </c>
    </row>
    <row r="1761" spans="1:2" x14ac:dyDescent="0.3">
      <c r="A1761" s="1" t="s">
        <v>856</v>
      </c>
      <c r="B1761" s="19">
        <v>22200000</v>
      </c>
    </row>
    <row r="1762" spans="1:2" x14ac:dyDescent="0.3">
      <c r="A1762" s="1" t="s">
        <v>2263</v>
      </c>
      <c r="B1762" s="19">
        <v>10000000</v>
      </c>
    </row>
    <row r="1763" spans="1:2" x14ac:dyDescent="0.3">
      <c r="A1763" s="1" t="s">
        <v>1902</v>
      </c>
      <c r="B1763" s="19">
        <v>7500000</v>
      </c>
    </row>
    <row r="1764" spans="1:2" x14ac:dyDescent="0.3">
      <c r="A1764" s="1" t="s">
        <v>415</v>
      </c>
      <c r="B1764" s="19">
        <v>7000000</v>
      </c>
    </row>
    <row r="1765" spans="1:2" x14ac:dyDescent="0.3">
      <c r="A1765" s="1" t="s">
        <v>814</v>
      </c>
      <c r="B1765" s="19">
        <v>6500000</v>
      </c>
    </row>
    <row r="1766" spans="1:2" x14ac:dyDescent="0.3">
      <c r="A1766" s="1" t="s">
        <v>283</v>
      </c>
      <c r="B1766" s="19">
        <v>16000000</v>
      </c>
    </row>
    <row r="1767" spans="1:2" x14ac:dyDescent="0.3">
      <c r="A1767" s="1" t="s">
        <v>283</v>
      </c>
      <c r="B1767" s="19">
        <v>17600000</v>
      </c>
    </row>
    <row r="1768" spans="1:2" x14ac:dyDescent="0.3">
      <c r="A1768" s="1" t="s">
        <v>1794</v>
      </c>
      <c r="B1768" s="19">
        <v>11500000</v>
      </c>
    </row>
    <row r="1769" spans="1:2" x14ac:dyDescent="0.3">
      <c r="A1769" s="1" t="s">
        <v>400</v>
      </c>
      <c r="B1769" s="19">
        <v>5500000</v>
      </c>
    </row>
    <row r="1770" spans="1:2" x14ac:dyDescent="0.3">
      <c r="A1770" s="1" t="s">
        <v>678</v>
      </c>
      <c r="B1770" s="19">
        <v>9000000</v>
      </c>
    </row>
    <row r="1771" spans="1:2" x14ac:dyDescent="0.3">
      <c r="A1771" s="1" t="s">
        <v>625</v>
      </c>
      <c r="B1771" s="19">
        <v>17650000</v>
      </c>
    </row>
    <row r="1772" spans="1:2" x14ac:dyDescent="0.3">
      <c r="A1772" s="1" t="s">
        <v>868</v>
      </c>
      <c r="B1772" s="19">
        <v>6800000</v>
      </c>
    </row>
    <row r="1773" spans="1:2" x14ac:dyDescent="0.3">
      <c r="A1773" s="1" t="s">
        <v>394</v>
      </c>
      <c r="B1773" s="19">
        <v>10700000</v>
      </c>
    </row>
    <row r="1774" spans="1:2" x14ac:dyDescent="0.3">
      <c r="A1774" s="1" t="s">
        <v>1669</v>
      </c>
      <c r="B1774" s="19">
        <v>8500000</v>
      </c>
    </row>
    <row r="1775" spans="1:2" x14ac:dyDescent="0.3">
      <c r="A1775" s="1" t="s">
        <v>904</v>
      </c>
      <c r="B1775" s="19">
        <v>14800000</v>
      </c>
    </row>
    <row r="1776" spans="1:2" x14ac:dyDescent="0.3">
      <c r="A1776" s="1" t="s">
        <v>993</v>
      </c>
      <c r="B1776" s="19">
        <v>12500000</v>
      </c>
    </row>
    <row r="1777" spans="1:2" x14ac:dyDescent="0.3">
      <c r="A1777" s="1" t="s">
        <v>1679</v>
      </c>
      <c r="B1777" s="19">
        <v>17300000</v>
      </c>
    </row>
    <row r="1778" spans="1:2" x14ac:dyDescent="0.3">
      <c r="A1778" s="1" t="s">
        <v>1793</v>
      </c>
      <c r="B1778" s="19">
        <v>22500000</v>
      </c>
    </row>
    <row r="1779" spans="1:2" x14ac:dyDescent="0.3">
      <c r="A1779" s="1" t="s">
        <v>1399</v>
      </c>
      <c r="B1779" s="19">
        <v>16500000</v>
      </c>
    </row>
    <row r="1780" spans="1:2" x14ac:dyDescent="0.3">
      <c r="A1780" s="1" t="s">
        <v>2217</v>
      </c>
      <c r="B1780" s="19">
        <v>17500000</v>
      </c>
    </row>
    <row r="1781" spans="1:2" x14ac:dyDescent="0.3">
      <c r="A1781" s="1" t="s">
        <v>1232</v>
      </c>
      <c r="B1781" s="19">
        <v>15000000</v>
      </c>
    </row>
    <row r="1782" spans="1:2" x14ac:dyDescent="0.3">
      <c r="A1782" s="1" t="s">
        <v>776</v>
      </c>
      <c r="B1782" s="19">
        <v>22000000</v>
      </c>
    </row>
    <row r="1783" spans="1:2" x14ac:dyDescent="0.3">
      <c r="A1783" s="1" t="s">
        <v>342</v>
      </c>
      <c r="B1783" s="19">
        <v>28500000</v>
      </c>
    </row>
    <row r="1784" spans="1:2" x14ac:dyDescent="0.3">
      <c r="A1784" s="1" t="s">
        <v>389</v>
      </c>
      <c r="B1784" s="19">
        <v>11000000</v>
      </c>
    </row>
    <row r="1785" spans="1:2" x14ac:dyDescent="0.3">
      <c r="A1785" s="1" t="s">
        <v>489</v>
      </c>
      <c r="B1785" s="19">
        <v>9200000</v>
      </c>
    </row>
    <row r="1786" spans="1:2" x14ac:dyDescent="0.3">
      <c r="A1786" s="1" t="s">
        <v>1631</v>
      </c>
      <c r="B1786" s="19">
        <v>9500000</v>
      </c>
    </row>
    <row r="1787" spans="1:2" x14ac:dyDescent="0.3">
      <c r="A1787" s="1" t="s">
        <v>1449</v>
      </c>
      <c r="B1787" s="19">
        <v>18000000</v>
      </c>
    </row>
    <row r="1788" spans="1:2" x14ac:dyDescent="0.3">
      <c r="A1788" s="1" t="s">
        <v>806</v>
      </c>
      <c r="B1788" s="19">
        <v>10000000</v>
      </c>
    </row>
    <row r="1789" spans="1:2" x14ac:dyDescent="0.3">
      <c r="A1789" s="1" t="s">
        <v>292</v>
      </c>
      <c r="B1789" s="19">
        <v>20600000</v>
      </c>
    </row>
    <row r="1790" spans="1:2" x14ac:dyDescent="0.3">
      <c r="A1790" s="1" t="s">
        <v>1151</v>
      </c>
      <c r="B1790" s="19">
        <v>23200000</v>
      </c>
    </row>
    <row r="1791" spans="1:2" x14ac:dyDescent="0.3">
      <c r="A1791" s="1" t="s">
        <v>729</v>
      </c>
      <c r="B1791" s="19">
        <v>11000000</v>
      </c>
    </row>
    <row r="1792" spans="1:2" x14ac:dyDescent="0.3">
      <c r="A1792" s="1" t="s">
        <v>1003</v>
      </c>
      <c r="B1792" s="19">
        <v>12400000</v>
      </c>
    </row>
    <row r="1793" spans="1:2" x14ac:dyDescent="0.3">
      <c r="A1793" s="1" t="s">
        <v>551</v>
      </c>
      <c r="B1793" s="19">
        <v>6800000</v>
      </c>
    </row>
    <row r="1794" spans="1:2" x14ac:dyDescent="0.3">
      <c r="A1794" s="1" t="s">
        <v>1148</v>
      </c>
      <c r="B1794" s="19">
        <v>12500000</v>
      </c>
    </row>
    <row r="1795" spans="1:2" x14ac:dyDescent="0.3">
      <c r="A1795" s="1" t="s">
        <v>1858</v>
      </c>
      <c r="B1795" s="19">
        <v>12500000</v>
      </c>
    </row>
    <row r="1796" spans="1:2" x14ac:dyDescent="0.3">
      <c r="A1796" s="1" t="s">
        <v>411</v>
      </c>
      <c r="B1796" s="19">
        <v>9300000</v>
      </c>
    </row>
    <row r="1797" spans="1:2" x14ac:dyDescent="0.3">
      <c r="A1797" s="1" t="s">
        <v>1383</v>
      </c>
      <c r="B1797" s="19">
        <v>8000000</v>
      </c>
    </row>
    <row r="1798" spans="1:2" x14ac:dyDescent="0.3">
      <c r="A1798" s="1" t="s">
        <v>1194</v>
      </c>
      <c r="B1798" s="19">
        <v>14200000</v>
      </c>
    </row>
    <row r="1799" spans="1:2" x14ac:dyDescent="0.3">
      <c r="A1799" s="1" t="s">
        <v>441</v>
      </c>
      <c r="B1799" s="19">
        <v>8500000</v>
      </c>
    </row>
    <row r="1800" spans="1:2" x14ac:dyDescent="0.3">
      <c r="A1800" s="1" t="s">
        <v>1200</v>
      </c>
      <c r="B1800" s="19">
        <v>7500000</v>
      </c>
    </row>
    <row r="1801" spans="1:2" x14ac:dyDescent="0.3">
      <c r="A1801" s="1" t="s">
        <v>359</v>
      </c>
      <c r="B1801" s="19">
        <v>7200000</v>
      </c>
    </row>
    <row r="1802" spans="1:2" x14ac:dyDescent="0.3">
      <c r="A1802" s="1" t="s">
        <v>78</v>
      </c>
      <c r="B1802" s="19">
        <v>6900000</v>
      </c>
    </row>
    <row r="1803" spans="1:2" x14ac:dyDescent="0.3">
      <c r="A1803" s="1" t="s">
        <v>1862</v>
      </c>
      <c r="B1803" s="19">
        <v>18000000</v>
      </c>
    </row>
    <row r="1804" spans="1:2" x14ac:dyDescent="0.3">
      <c r="A1804" s="1" t="s">
        <v>965</v>
      </c>
      <c r="B1804" s="19">
        <v>26500000</v>
      </c>
    </row>
    <row r="1805" spans="1:2" x14ac:dyDescent="0.3">
      <c r="A1805" s="1" t="s">
        <v>1791</v>
      </c>
      <c r="B1805" s="19">
        <v>8500000</v>
      </c>
    </row>
    <row r="1806" spans="1:2" x14ac:dyDescent="0.3">
      <c r="A1806" s="1" t="s">
        <v>1654</v>
      </c>
      <c r="B1806" s="19">
        <v>17950000</v>
      </c>
    </row>
    <row r="1807" spans="1:2" x14ac:dyDescent="0.3">
      <c r="A1807" s="1" t="s">
        <v>482</v>
      </c>
      <c r="B1807" s="19">
        <v>7500000</v>
      </c>
    </row>
    <row r="1808" spans="1:2" x14ac:dyDescent="0.3">
      <c r="A1808" s="1" t="s">
        <v>734</v>
      </c>
      <c r="B1808" s="19">
        <v>7900000</v>
      </c>
    </row>
    <row r="1809" spans="1:2" x14ac:dyDescent="0.3">
      <c r="A1809" s="1" t="s">
        <v>187</v>
      </c>
      <c r="B1809" s="19">
        <v>10600000</v>
      </c>
    </row>
    <row r="1810" spans="1:2" x14ac:dyDescent="0.3">
      <c r="A1810" s="1" t="s">
        <v>749</v>
      </c>
      <c r="B1810" s="19">
        <v>7300000</v>
      </c>
    </row>
    <row r="1811" spans="1:2" x14ac:dyDescent="0.3">
      <c r="A1811" s="1" t="s">
        <v>854</v>
      </c>
      <c r="B1811" s="19">
        <v>10200000</v>
      </c>
    </row>
    <row r="1812" spans="1:2" x14ac:dyDescent="0.3">
      <c r="A1812" s="1" t="s">
        <v>1248</v>
      </c>
      <c r="B1812" s="19">
        <v>13500000</v>
      </c>
    </row>
    <row r="1813" spans="1:2" x14ac:dyDescent="0.3">
      <c r="A1813" s="1" t="s">
        <v>1546</v>
      </c>
      <c r="B1813" s="19">
        <v>20000000</v>
      </c>
    </row>
    <row r="1814" spans="1:2" x14ac:dyDescent="0.3">
      <c r="A1814" s="1" t="s">
        <v>1708</v>
      </c>
      <c r="B1814" s="19">
        <v>13500000</v>
      </c>
    </row>
    <row r="1815" spans="1:2" x14ac:dyDescent="0.3">
      <c r="A1815" s="1" t="s">
        <v>1712</v>
      </c>
      <c r="B1815" s="19">
        <v>11500000</v>
      </c>
    </row>
    <row r="1816" spans="1:2" x14ac:dyDescent="0.3">
      <c r="A1816" s="1" t="s">
        <v>621</v>
      </c>
      <c r="B1816" s="19">
        <v>10800000</v>
      </c>
    </row>
    <row r="1817" spans="1:2" x14ac:dyDescent="0.3">
      <c r="A1817" s="1" t="s">
        <v>76</v>
      </c>
      <c r="B1817" s="19">
        <v>7300000</v>
      </c>
    </row>
    <row r="1818" spans="1:2" x14ac:dyDescent="0.3">
      <c r="A1818" s="1" t="s">
        <v>76</v>
      </c>
      <c r="B1818" s="19">
        <v>8700000</v>
      </c>
    </row>
    <row r="1819" spans="1:2" x14ac:dyDescent="0.3">
      <c r="A1819" s="1" t="s">
        <v>443</v>
      </c>
      <c r="B1819" s="19">
        <v>7000000</v>
      </c>
    </row>
    <row r="1820" spans="1:2" x14ac:dyDescent="0.3">
      <c r="A1820" s="1" t="s">
        <v>638</v>
      </c>
      <c r="B1820" s="19">
        <v>10500000</v>
      </c>
    </row>
    <row r="1821" spans="1:2" x14ac:dyDescent="0.3">
      <c r="A1821" s="1" t="s">
        <v>380</v>
      </c>
      <c r="B1821" s="19">
        <v>12000000</v>
      </c>
    </row>
    <row r="1822" spans="1:2" x14ac:dyDescent="0.3">
      <c r="A1822" s="1" t="s">
        <v>3769</v>
      </c>
      <c r="B1822" s="19">
        <v>15500000</v>
      </c>
    </row>
    <row r="1823" spans="1:2" x14ac:dyDescent="0.3">
      <c r="A1823" s="1" t="s">
        <v>721</v>
      </c>
      <c r="B1823" s="19">
        <v>31626783</v>
      </c>
    </row>
    <row r="1824" spans="1:2" x14ac:dyDescent="0.3">
      <c r="A1824" s="1" t="s">
        <v>1349</v>
      </c>
      <c r="B1824" s="19">
        <v>18500000</v>
      </c>
    </row>
    <row r="1825" spans="1:2" x14ac:dyDescent="0.3">
      <c r="A1825" s="1" t="s">
        <v>1095</v>
      </c>
      <c r="B1825" s="19">
        <v>12500000</v>
      </c>
    </row>
    <row r="1826" spans="1:2" x14ac:dyDescent="0.3">
      <c r="A1826" s="1" t="s">
        <v>800</v>
      </c>
      <c r="B1826" s="19">
        <v>15100000</v>
      </c>
    </row>
    <row r="1827" spans="1:2" x14ac:dyDescent="0.3">
      <c r="A1827" s="1" t="s">
        <v>766</v>
      </c>
      <c r="B1827" s="19">
        <v>17000000</v>
      </c>
    </row>
    <row r="1828" spans="1:2" x14ac:dyDescent="0.3">
      <c r="A1828" s="1" t="s">
        <v>281</v>
      </c>
      <c r="B1828" s="19">
        <v>11200000</v>
      </c>
    </row>
    <row r="1829" spans="1:2" x14ac:dyDescent="0.3">
      <c r="A1829" s="1" t="s">
        <v>760</v>
      </c>
      <c r="B1829" s="19">
        <v>24000000</v>
      </c>
    </row>
    <row r="1830" spans="1:2" x14ac:dyDescent="0.3">
      <c r="A1830" s="1" t="s">
        <v>807</v>
      </c>
      <c r="B1830" s="19">
        <v>8620000</v>
      </c>
    </row>
    <row r="1831" spans="1:2" x14ac:dyDescent="0.3">
      <c r="A1831" s="1" t="s">
        <v>373</v>
      </c>
      <c r="B1831" s="19">
        <v>6550000</v>
      </c>
    </row>
    <row r="1832" spans="1:2" x14ac:dyDescent="0.3">
      <c r="A1832" s="1" t="s">
        <v>940</v>
      </c>
      <c r="B1832" s="19">
        <v>18000000</v>
      </c>
    </row>
    <row r="1833" spans="1:2" x14ac:dyDescent="0.3">
      <c r="A1833" s="1" t="s">
        <v>948</v>
      </c>
      <c r="B1833" s="19">
        <v>11000000</v>
      </c>
    </row>
    <row r="1834" spans="1:2" x14ac:dyDescent="0.3">
      <c r="A1834" s="1" t="s">
        <v>826</v>
      </c>
      <c r="B1834" s="19">
        <v>11000000</v>
      </c>
    </row>
    <row r="1835" spans="1:2" x14ac:dyDescent="0.3">
      <c r="A1835" s="1" t="s">
        <v>924</v>
      </c>
      <c r="B1835" s="19">
        <v>33000000</v>
      </c>
    </row>
    <row r="1836" spans="1:2" x14ac:dyDescent="0.3">
      <c r="A1836" s="1" t="s">
        <v>439</v>
      </c>
      <c r="B1836" s="19">
        <v>11000000</v>
      </c>
    </row>
    <row r="1837" spans="1:2" x14ac:dyDescent="0.3">
      <c r="A1837" s="1" t="s">
        <v>1726</v>
      </c>
      <c r="B1837" s="19">
        <v>18500000</v>
      </c>
    </row>
    <row r="1838" spans="1:2" x14ac:dyDescent="0.3">
      <c r="A1838" s="1" t="s">
        <v>1885</v>
      </c>
      <c r="B1838" s="19">
        <v>12500000</v>
      </c>
    </row>
    <row r="1839" spans="1:2" x14ac:dyDescent="0.3">
      <c r="A1839" s="1" t="s">
        <v>1645</v>
      </c>
      <c r="B1839" s="19">
        <v>11500000</v>
      </c>
    </row>
    <row r="1840" spans="1:2" x14ac:dyDescent="0.3">
      <c r="A1840" s="1" t="s">
        <v>529</v>
      </c>
      <c r="B1840" s="19">
        <v>16150000</v>
      </c>
    </row>
    <row r="1841" spans="1:2" x14ac:dyDescent="0.3">
      <c r="A1841" s="1" t="s">
        <v>4298</v>
      </c>
      <c r="B1841" s="19">
        <v>9400000</v>
      </c>
    </row>
    <row r="1842" spans="1:2" x14ac:dyDescent="0.3">
      <c r="A1842" s="1" t="s">
        <v>679</v>
      </c>
      <c r="B1842" s="19">
        <v>12000000</v>
      </c>
    </row>
    <row r="1843" spans="1:2" x14ac:dyDescent="0.3">
      <c r="A1843" s="1" t="s">
        <v>455</v>
      </c>
      <c r="B1843" s="19">
        <v>12650000</v>
      </c>
    </row>
    <row r="1844" spans="1:2" x14ac:dyDescent="0.3">
      <c r="A1844" s="1" t="s">
        <v>384</v>
      </c>
      <c r="B1844" s="19">
        <v>21000000</v>
      </c>
    </row>
    <row r="1845" spans="1:2" x14ac:dyDescent="0.3">
      <c r="A1845" s="1" t="s">
        <v>285</v>
      </c>
      <c r="B1845" s="19">
        <v>14000000</v>
      </c>
    </row>
    <row r="1846" spans="1:2" x14ac:dyDescent="0.3">
      <c r="A1846" s="1" t="s">
        <v>354</v>
      </c>
      <c r="B1846" s="19">
        <v>12900000</v>
      </c>
    </row>
    <row r="1847" spans="1:2" x14ac:dyDescent="0.3">
      <c r="A1847" s="1" t="s">
        <v>649</v>
      </c>
      <c r="B1847" s="19">
        <v>15000000</v>
      </c>
    </row>
    <row r="1848" spans="1:2" x14ac:dyDescent="0.3">
      <c r="A1848" s="1" t="s">
        <v>946</v>
      </c>
      <c r="B1848" s="19">
        <v>12000000</v>
      </c>
    </row>
    <row r="1849" spans="1:2" x14ac:dyDescent="0.3">
      <c r="A1849" s="1" t="s">
        <v>1626</v>
      </c>
      <c r="B1849" s="19">
        <v>10500000</v>
      </c>
    </row>
    <row r="1850" spans="1:2" x14ac:dyDescent="0.3">
      <c r="A1850" s="1" t="s">
        <v>701</v>
      </c>
      <c r="B1850" s="19">
        <v>21000000</v>
      </c>
    </row>
    <row r="1851" spans="1:2" x14ac:dyDescent="0.3">
      <c r="A1851" s="1" t="s">
        <v>1905</v>
      </c>
      <c r="B1851" s="19">
        <v>13000000</v>
      </c>
    </row>
    <row r="1852" spans="1:2" x14ac:dyDescent="0.3">
      <c r="A1852" s="1" t="s">
        <v>1572</v>
      </c>
      <c r="B1852" s="19">
        <v>21000000</v>
      </c>
    </row>
    <row r="1853" spans="1:2" x14ac:dyDescent="0.3">
      <c r="A1853" s="1" t="s">
        <v>2059</v>
      </c>
      <c r="B1853" s="19">
        <v>9500000</v>
      </c>
    </row>
    <row r="1854" spans="1:2" x14ac:dyDescent="0.3">
      <c r="A1854" s="1" t="s">
        <v>565</v>
      </c>
      <c r="B1854" s="19">
        <v>16500000</v>
      </c>
    </row>
    <row r="1855" spans="1:2" x14ac:dyDescent="0.3">
      <c r="A1855" s="1" t="s">
        <v>883</v>
      </c>
      <c r="B1855" s="19">
        <v>12000000</v>
      </c>
    </row>
    <row r="1856" spans="1:2" x14ac:dyDescent="0.3">
      <c r="A1856" s="1" t="s">
        <v>1098</v>
      </c>
      <c r="B1856" s="19">
        <v>8000000</v>
      </c>
    </row>
    <row r="1857" spans="1:2" x14ac:dyDescent="0.3">
      <c r="A1857" s="1" t="s">
        <v>750</v>
      </c>
      <c r="B1857" s="19">
        <v>17800000</v>
      </c>
    </row>
    <row r="1858" spans="1:2" x14ac:dyDescent="0.3">
      <c r="A1858" s="1" t="s">
        <v>115</v>
      </c>
      <c r="B1858" s="19">
        <v>27000000</v>
      </c>
    </row>
    <row r="1859" spans="1:2" x14ac:dyDescent="0.3">
      <c r="A1859" s="1" t="s">
        <v>1788</v>
      </c>
      <c r="B1859" s="19">
        <v>8990000</v>
      </c>
    </row>
    <row r="1860" spans="1:2" x14ac:dyDescent="0.3">
      <c r="A1860" s="1" t="s">
        <v>259</v>
      </c>
      <c r="B1860" s="19">
        <v>18500000</v>
      </c>
    </row>
    <row r="1861" spans="1:2" x14ac:dyDescent="0.3">
      <c r="A1861" s="1" t="s">
        <v>1889</v>
      </c>
      <c r="B1861" s="19">
        <v>26990000</v>
      </c>
    </row>
    <row r="1862" spans="1:2" x14ac:dyDescent="0.3">
      <c r="A1862" s="1" t="s">
        <v>1291</v>
      </c>
      <c r="B1862" s="19">
        <v>13000000</v>
      </c>
    </row>
    <row r="1863" spans="1:2" x14ac:dyDescent="0.3">
      <c r="A1863" s="1" t="s">
        <v>833</v>
      </c>
      <c r="B1863" s="19">
        <v>9000000</v>
      </c>
    </row>
    <row r="1864" spans="1:2" x14ac:dyDescent="0.3">
      <c r="A1864" s="1" t="s">
        <v>981</v>
      </c>
      <c r="B1864" s="19">
        <v>22000000</v>
      </c>
    </row>
    <row r="1865" spans="1:2" x14ac:dyDescent="0.3">
      <c r="A1865" s="1" t="s">
        <v>985</v>
      </c>
      <c r="B1865" s="19">
        <v>18600000</v>
      </c>
    </row>
    <row r="1866" spans="1:2" x14ac:dyDescent="0.3">
      <c r="A1866" s="1" t="s">
        <v>989</v>
      </c>
      <c r="B1866" s="19">
        <v>17500000</v>
      </c>
    </row>
    <row r="1867" spans="1:2" x14ac:dyDescent="0.3">
      <c r="A1867" s="1" t="s">
        <v>250</v>
      </c>
      <c r="B1867" s="19">
        <v>17500000</v>
      </c>
    </row>
    <row r="1868" spans="1:2" x14ac:dyDescent="0.3">
      <c r="A1868" s="1" t="s">
        <v>1384</v>
      </c>
      <c r="B1868" s="19">
        <v>9000000</v>
      </c>
    </row>
    <row r="1869" spans="1:2" x14ac:dyDescent="0.3">
      <c r="A1869" s="1" t="s">
        <v>1320</v>
      </c>
      <c r="B1869" s="19">
        <v>16500000</v>
      </c>
    </row>
    <row r="1870" spans="1:2" x14ac:dyDescent="0.3">
      <c r="A1870" s="1" t="s">
        <v>1112</v>
      </c>
      <c r="B1870" s="19">
        <v>27000000</v>
      </c>
    </row>
    <row r="1871" spans="1:2" x14ac:dyDescent="0.3">
      <c r="A1871" s="1" t="s">
        <v>628</v>
      </c>
      <c r="B1871" s="19">
        <v>8650000</v>
      </c>
    </row>
    <row r="1872" spans="1:2" x14ac:dyDescent="0.3">
      <c r="A1872" s="1" t="s">
        <v>628</v>
      </c>
      <c r="B1872" s="19">
        <v>8800000</v>
      </c>
    </row>
    <row r="1873" spans="1:2" x14ac:dyDescent="0.3">
      <c r="A1873" s="1" t="s">
        <v>848</v>
      </c>
      <c r="B1873" s="19">
        <v>16500000</v>
      </c>
    </row>
    <row r="1874" spans="1:2" x14ac:dyDescent="0.3">
      <c r="A1874" s="1" t="s">
        <v>1358</v>
      </c>
      <c r="B1874" s="19">
        <v>11500000</v>
      </c>
    </row>
    <row r="1875" spans="1:2" x14ac:dyDescent="0.3">
      <c r="A1875" s="1" t="s">
        <v>831</v>
      </c>
      <c r="B1875" s="19">
        <v>16000000</v>
      </c>
    </row>
    <row r="1876" spans="1:2" x14ac:dyDescent="0.3">
      <c r="A1876" s="1" t="s">
        <v>6337</v>
      </c>
      <c r="B1876" s="19">
        <v>9300000</v>
      </c>
    </row>
    <row r="1877" spans="1:2" x14ac:dyDescent="0.3">
      <c r="A1877" s="1" t="s">
        <v>1093</v>
      </c>
      <c r="B1877" s="19">
        <v>13500000</v>
      </c>
    </row>
    <row r="1878" spans="1:2" x14ac:dyDescent="0.3">
      <c r="A1878" s="1" t="s">
        <v>783</v>
      </c>
      <c r="B1878" s="19">
        <v>7600000</v>
      </c>
    </row>
    <row r="1879" spans="1:2" x14ac:dyDescent="0.3">
      <c r="A1879" s="1" t="s">
        <v>990</v>
      </c>
      <c r="B1879" s="19">
        <v>12000000</v>
      </c>
    </row>
    <row r="1880" spans="1:2" x14ac:dyDescent="0.3">
      <c r="A1880" s="1" t="s">
        <v>932</v>
      </c>
      <c r="B1880" s="19">
        <v>10700000</v>
      </c>
    </row>
    <row r="1881" spans="1:2" x14ac:dyDescent="0.3">
      <c r="A1881" s="1" t="s">
        <v>747</v>
      </c>
      <c r="B1881" s="19">
        <v>11800000</v>
      </c>
    </row>
    <row r="1882" spans="1:2" x14ac:dyDescent="0.3">
      <c r="A1882" s="1" t="s">
        <v>140</v>
      </c>
      <c r="B1882" s="19">
        <v>27000000</v>
      </c>
    </row>
    <row r="1883" spans="1:2" x14ac:dyDescent="0.3">
      <c r="A1883" s="1" t="s">
        <v>495</v>
      </c>
      <c r="B1883" s="19">
        <v>7850000</v>
      </c>
    </row>
    <row r="1884" spans="1:2" x14ac:dyDescent="0.3">
      <c r="A1884" s="1" t="s">
        <v>1371</v>
      </c>
      <c r="B1884" s="19">
        <v>10800000</v>
      </c>
    </row>
    <row r="1885" spans="1:2" x14ac:dyDescent="0.3">
      <c r="A1885" s="1" t="s">
        <v>1224</v>
      </c>
      <c r="B1885" s="19">
        <v>9600000</v>
      </c>
    </row>
    <row r="1886" spans="1:2" x14ac:dyDescent="0.3">
      <c r="A1886" s="1" t="s">
        <v>1171</v>
      </c>
      <c r="B1886" s="19">
        <v>21000000</v>
      </c>
    </row>
    <row r="1887" spans="1:2" x14ac:dyDescent="0.3">
      <c r="A1887" s="1" t="s">
        <v>1068</v>
      </c>
      <c r="B1887" s="19">
        <v>29000000</v>
      </c>
    </row>
    <row r="1888" spans="1:2" x14ac:dyDescent="0.3">
      <c r="A1888" s="1" t="s">
        <v>1068</v>
      </c>
      <c r="B1888" s="19">
        <v>36386100</v>
      </c>
    </row>
    <row r="1889" spans="1:2" x14ac:dyDescent="0.3">
      <c r="A1889" s="1" t="s">
        <v>1799</v>
      </c>
      <c r="B1889" s="19">
        <v>20000000</v>
      </c>
    </row>
    <row r="1890" spans="1:2" x14ac:dyDescent="0.3">
      <c r="A1890" s="1" t="s">
        <v>784</v>
      </c>
      <c r="B1890" s="19">
        <v>11000000</v>
      </c>
    </row>
    <row r="1891" spans="1:2" x14ac:dyDescent="0.3">
      <c r="A1891" s="1" t="s">
        <v>936</v>
      </c>
      <c r="B1891" s="19">
        <v>6600000</v>
      </c>
    </row>
    <row r="1892" spans="1:2" x14ac:dyDescent="0.3">
      <c r="A1892" s="1" t="s">
        <v>1139</v>
      </c>
      <c r="B1892" s="19">
        <v>6000000</v>
      </c>
    </row>
    <row r="1893" spans="1:2" x14ac:dyDescent="0.3">
      <c r="A1893" s="1" t="s">
        <v>758</v>
      </c>
      <c r="B1893" s="19">
        <v>12500000</v>
      </c>
    </row>
    <row r="1894" spans="1:2" x14ac:dyDescent="0.3">
      <c r="A1894" s="1" t="s">
        <v>1612</v>
      </c>
      <c r="B1894" s="19">
        <v>26000000</v>
      </c>
    </row>
    <row r="1895" spans="1:2" x14ac:dyDescent="0.3">
      <c r="A1895" s="1" t="s">
        <v>871</v>
      </c>
      <c r="B1895" s="19">
        <v>8500000</v>
      </c>
    </row>
    <row r="1896" spans="1:2" x14ac:dyDescent="0.3">
      <c r="A1896" s="1" t="s">
        <v>425</v>
      </c>
      <c r="B1896" s="19">
        <v>10600000</v>
      </c>
    </row>
    <row r="1897" spans="1:2" x14ac:dyDescent="0.3">
      <c r="A1897" s="1" t="s">
        <v>454</v>
      </c>
      <c r="B1897" s="19">
        <v>18300000</v>
      </c>
    </row>
    <row r="1898" spans="1:2" x14ac:dyDescent="0.3">
      <c r="A1898" s="1" t="s">
        <v>582</v>
      </c>
      <c r="B1898" s="19">
        <v>18500000</v>
      </c>
    </row>
    <row r="1899" spans="1:2" x14ac:dyDescent="0.3">
      <c r="A1899" s="1" t="s">
        <v>1781</v>
      </c>
      <c r="B1899" s="19">
        <v>13500000</v>
      </c>
    </row>
    <row r="1900" spans="1:2" x14ac:dyDescent="0.3">
      <c r="A1900" s="1" t="s">
        <v>177</v>
      </c>
      <c r="B1900" s="19">
        <v>17200000</v>
      </c>
    </row>
    <row r="1901" spans="1:2" x14ac:dyDescent="0.3">
      <c r="A1901" s="1" t="s">
        <v>1337</v>
      </c>
      <c r="B1901" s="19">
        <v>14000000</v>
      </c>
    </row>
    <row r="1902" spans="1:2" x14ac:dyDescent="0.3">
      <c r="A1902" s="1" t="s">
        <v>512</v>
      </c>
      <c r="B1902" s="19">
        <v>11300000</v>
      </c>
    </row>
    <row r="1903" spans="1:2" x14ac:dyDescent="0.3">
      <c r="A1903" s="1" t="s">
        <v>92</v>
      </c>
      <c r="B1903" s="19">
        <v>11300000</v>
      </c>
    </row>
    <row r="1904" spans="1:2" x14ac:dyDescent="0.3">
      <c r="A1904" s="1" t="s">
        <v>1036</v>
      </c>
      <c r="B1904" s="19">
        <v>30000000</v>
      </c>
    </row>
    <row r="1905" spans="1:2" x14ac:dyDescent="0.3">
      <c r="A1905" s="1" t="s">
        <v>668</v>
      </c>
      <c r="B1905" s="19">
        <v>8650000</v>
      </c>
    </row>
    <row r="1906" spans="1:2" x14ac:dyDescent="0.3">
      <c r="A1906" s="1" t="s">
        <v>668</v>
      </c>
      <c r="B1906" s="19">
        <v>10000000</v>
      </c>
    </row>
    <row r="1907" spans="1:2" x14ac:dyDescent="0.3">
      <c r="A1907" s="1" t="s">
        <v>1425</v>
      </c>
      <c r="B1907" s="19">
        <v>17500000</v>
      </c>
    </row>
    <row r="1908" spans="1:2" x14ac:dyDescent="0.3">
      <c r="A1908" s="1" t="s">
        <v>413</v>
      </c>
      <c r="B1908" s="19">
        <v>7000000</v>
      </c>
    </row>
    <row r="1909" spans="1:2" x14ac:dyDescent="0.3">
      <c r="A1909" s="1" t="s">
        <v>1153</v>
      </c>
      <c r="B1909" s="19">
        <v>29000000</v>
      </c>
    </row>
    <row r="1910" spans="1:2" x14ac:dyDescent="0.3">
      <c r="A1910" s="1" t="s">
        <v>1538</v>
      </c>
      <c r="B1910" s="19">
        <v>20700000</v>
      </c>
    </row>
    <row r="1911" spans="1:2" x14ac:dyDescent="0.3">
      <c r="A1911" s="1" t="s">
        <v>1906</v>
      </c>
      <c r="B1911" s="19">
        <v>9500000</v>
      </c>
    </row>
    <row r="1912" spans="1:2" x14ac:dyDescent="0.3">
      <c r="A1912" s="1" t="s">
        <v>755</v>
      </c>
      <c r="B1912" s="19">
        <v>10600000</v>
      </c>
    </row>
    <row r="1913" spans="1:2" x14ac:dyDescent="0.3">
      <c r="A1913" s="1" t="s">
        <v>1247</v>
      </c>
      <c r="B1913" s="19">
        <v>11000000</v>
      </c>
    </row>
    <row r="1914" spans="1:2" x14ac:dyDescent="0.3">
      <c r="A1914" s="1" t="s">
        <v>280</v>
      </c>
      <c r="B1914" s="19">
        <v>15000000</v>
      </c>
    </row>
    <row r="1915" spans="1:2" x14ac:dyDescent="0.3">
      <c r="A1915" s="1" t="s">
        <v>1223</v>
      </c>
      <c r="B1915" s="19">
        <v>29000000</v>
      </c>
    </row>
    <row r="1916" spans="1:2" x14ac:dyDescent="0.3">
      <c r="A1916" s="1" t="s">
        <v>406</v>
      </c>
      <c r="B1916" s="19">
        <v>20000000</v>
      </c>
    </row>
    <row r="1917" spans="1:2" x14ac:dyDescent="0.3">
      <c r="A1917" s="1" t="s">
        <v>716</v>
      </c>
      <c r="B1917" s="19">
        <v>16500000</v>
      </c>
    </row>
    <row r="1918" spans="1:2" x14ac:dyDescent="0.3">
      <c r="A1918" s="1" t="s">
        <v>718</v>
      </c>
      <c r="B1918" s="19">
        <v>10500000</v>
      </c>
    </row>
    <row r="1919" spans="1:2" x14ac:dyDescent="0.3">
      <c r="A1919" s="1" t="s">
        <v>645</v>
      </c>
      <c r="B1919" s="19">
        <v>12650000</v>
      </c>
    </row>
    <row r="1920" spans="1:2" x14ac:dyDescent="0.3">
      <c r="A1920" s="1" t="s">
        <v>564</v>
      </c>
      <c r="B1920" s="19">
        <v>39151000</v>
      </c>
    </row>
    <row r="1921" spans="1:2" x14ac:dyDescent="0.3">
      <c r="A1921" s="1" t="s">
        <v>1823</v>
      </c>
      <c r="B1921" s="19">
        <v>8000000</v>
      </c>
    </row>
    <row r="1922" spans="1:2" x14ac:dyDescent="0.3">
      <c r="A1922" s="1" t="s">
        <v>1060</v>
      </c>
      <c r="B1922" s="19">
        <v>15500000</v>
      </c>
    </row>
    <row r="1923" spans="1:2" x14ac:dyDescent="0.3">
      <c r="A1923" s="1" t="s">
        <v>299</v>
      </c>
      <c r="B1923" s="19">
        <v>15500000</v>
      </c>
    </row>
    <row r="1924" spans="1:2" x14ac:dyDescent="0.3">
      <c r="A1924" s="1" t="s">
        <v>630</v>
      </c>
      <c r="B1924" s="19">
        <v>9300000</v>
      </c>
    </row>
    <row r="1925" spans="1:2" x14ac:dyDescent="0.3">
      <c r="A1925" s="1" t="s">
        <v>813</v>
      </c>
      <c r="B1925" s="19">
        <v>25000000</v>
      </c>
    </row>
    <row r="1926" spans="1:2" x14ac:dyDescent="0.3">
      <c r="A1926" s="1" t="s">
        <v>1706</v>
      </c>
      <c r="B1926" s="19">
        <v>13000000</v>
      </c>
    </row>
    <row r="1927" spans="1:2" x14ac:dyDescent="0.3">
      <c r="A1927" s="1" t="s">
        <v>1875</v>
      </c>
      <c r="B1927" s="19">
        <v>11000000</v>
      </c>
    </row>
    <row r="1928" spans="1:2" x14ac:dyDescent="0.3">
      <c r="A1928" s="1" t="s">
        <v>1769</v>
      </c>
      <c r="B1928" s="19">
        <v>24000000</v>
      </c>
    </row>
    <row r="1929" spans="1:2" x14ac:dyDescent="0.3">
      <c r="A1929" s="1" t="s">
        <v>469</v>
      </c>
      <c r="B1929" s="19">
        <v>6900000</v>
      </c>
    </row>
    <row r="1930" spans="1:2" x14ac:dyDescent="0.3">
      <c r="A1930" s="1" t="s">
        <v>796</v>
      </c>
      <c r="B1930" s="19">
        <v>7000000</v>
      </c>
    </row>
    <row r="1931" spans="1:2" x14ac:dyDescent="0.3">
      <c r="A1931" s="1" t="s">
        <v>1302</v>
      </c>
      <c r="B1931" s="19">
        <v>11300000</v>
      </c>
    </row>
    <row r="1932" spans="1:2" x14ac:dyDescent="0.3">
      <c r="A1932" s="1" t="s">
        <v>1035</v>
      </c>
      <c r="B1932" s="19">
        <v>14000000</v>
      </c>
    </row>
    <row r="1933" spans="1:2" x14ac:dyDescent="0.3">
      <c r="A1933" s="1" t="s">
        <v>690</v>
      </c>
      <c r="B1933" s="19">
        <v>12800000</v>
      </c>
    </row>
    <row r="1934" spans="1:2" x14ac:dyDescent="0.3">
      <c r="A1934" s="1" t="s">
        <v>1018</v>
      </c>
      <c r="B1934" s="19">
        <v>25700000</v>
      </c>
    </row>
    <row r="1935" spans="1:2" x14ac:dyDescent="0.3">
      <c r="A1935" s="1" t="s">
        <v>516</v>
      </c>
      <c r="B1935" s="19">
        <v>12100000</v>
      </c>
    </row>
    <row r="1936" spans="1:2" x14ac:dyDescent="0.3">
      <c r="A1936" s="1" t="s">
        <v>1883</v>
      </c>
      <c r="B1936" s="19">
        <v>14500000</v>
      </c>
    </row>
    <row r="1937" spans="1:2" x14ac:dyDescent="0.3">
      <c r="A1937" s="1" t="s">
        <v>1701</v>
      </c>
      <c r="B1937" s="19">
        <v>17000000</v>
      </c>
    </row>
    <row r="1938" spans="1:2" x14ac:dyDescent="0.3">
      <c r="A1938" s="1" t="s">
        <v>584</v>
      </c>
      <c r="B1938" s="19">
        <v>14000000</v>
      </c>
    </row>
    <row r="1939" spans="1:2" x14ac:dyDescent="0.3">
      <c r="A1939" s="1" t="s">
        <v>1618</v>
      </c>
      <c r="B1939" s="19">
        <v>16500000</v>
      </c>
    </row>
    <row r="1940" spans="1:2" x14ac:dyDescent="0.3">
      <c r="A1940" s="1" t="s">
        <v>1019</v>
      </c>
      <c r="B1940" s="19">
        <v>25000000</v>
      </c>
    </row>
    <row r="1941" spans="1:2" x14ac:dyDescent="0.3">
      <c r="A1941" s="1" t="s">
        <v>982</v>
      </c>
      <c r="B1941" s="19">
        <v>18800000</v>
      </c>
    </row>
    <row r="1942" spans="1:2" x14ac:dyDescent="0.3">
      <c r="A1942" s="1" t="s">
        <v>1004</v>
      </c>
      <c r="B1942" s="19">
        <v>7900000</v>
      </c>
    </row>
    <row r="1943" spans="1:2" x14ac:dyDescent="0.3">
      <c r="A1943" s="1" t="s">
        <v>1220</v>
      </c>
      <c r="B1943" s="19">
        <v>49000000</v>
      </c>
    </row>
    <row r="1944" spans="1:2" x14ac:dyDescent="0.3">
      <c r="A1944" s="1" t="s">
        <v>369</v>
      </c>
      <c r="B1944" s="19">
        <v>12000000</v>
      </c>
    </row>
    <row r="1945" spans="1:2" x14ac:dyDescent="0.3">
      <c r="A1945" s="1" t="s">
        <v>1067</v>
      </c>
      <c r="B1945" s="19">
        <v>10000000</v>
      </c>
    </row>
    <row r="1946" spans="1:2" x14ac:dyDescent="0.3">
      <c r="A1946" s="1" t="s">
        <v>493</v>
      </c>
      <c r="B1946" s="19">
        <v>9000000</v>
      </c>
    </row>
    <row r="1947" spans="1:2" x14ac:dyDescent="0.3">
      <c r="A1947" s="1" t="s">
        <v>513</v>
      </c>
      <c r="B1947" s="19">
        <v>16750000</v>
      </c>
    </row>
    <row r="1948" spans="1:2" x14ac:dyDescent="0.3">
      <c r="A1948" s="1" t="s">
        <v>1509</v>
      </c>
      <c r="B1948" s="19">
        <v>13200000</v>
      </c>
    </row>
    <row r="1949" spans="1:2" x14ac:dyDescent="0.3">
      <c r="A1949" s="1" t="s">
        <v>1038</v>
      </c>
      <c r="B1949" s="19">
        <v>8500000</v>
      </c>
    </row>
    <row r="1950" spans="1:2" x14ac:dyDescent="0.3">
      <c r="A1950" s="1" t="s">
        <v>505</v>
      </c>
      <c r="B1950" s="19">
        <v>37300000</v>
      </c>
    </row>
    <row r="1951" spans="1:2" x14ac:dyDescent="0.3">
      <c r="A1951" s="1" t="s">
        <v>843</v>
      </c>
      <c r="B1951" s="19">
        <v>12500000</v>
      </c>
    </row>
    <row r="1952" spans="1:2" x14ac:dyDescent="0.3">
      <c r="A1952" s="1" t="s">
        <v>738</v>
      </c>
      <c r="B1952" s="19">
        <v>25000000</v>
      </c>
    </row>
    <row r="1953" spans="1:2" x14ac:dyDescent="0.3">
      <c r="A1953" s="1" t="s">
        <v>496</v>
      </c>
      <c r="B1953" s="19">
        <v>10000000</v>
      </c>
    </row>
    <row r="1954" spans="1:2" x14ac:dyDescent="0.3">
      <c r="A1954" s="1" t="s">
        <v>355</v>
      </c>
      <c r="B1954" s="19">
        <v>16000000</v>
      </c>
    </row>
    <row r="1955" spans="1:2" x14ac:dyDescent="0.3">
      <c r="A1955" s="1" t="s">
        <v>367</v>
      </c>
      <c r="B1955" s="19">
        <v>13200000</v>
      </c>
    </row>
    <row r="1956" spans="1:2" x14ac:dyDescent="0.3">
      <c r="A1956" s="1" t="s">
        <v>1821</v>
      </c>
      <c r="B1956" s="19">
        <v>16500000</v>
      </c>
    </row>
    <row r="1957" spans="1:2" x14ac:dyDescent="0.3">
      <c r="A1957" s="1" t="s">
        <v>184</v>
      </c>
      <c r="B1957" s="19">
        <v>8500000</v>
      </c>
    </row>
    <row r="1958" spans="1:2" x14ac:dyDescent="0.3">
      <c r="A1958" s="1" t="s">
        <v>428</v>
      </c>
      <c r="B1958" s="19">
        <v>25000000</v>
      </c>
    </row>
    <row r="1959" spans="1:2" x14ac:dyDescent="0.3">
      <c r="A1959" s="1" t="s">
        <v>793</v>
      </c>
      <c r="B1959" s="19">
        <v>40000000</v>
      </c>
    </row>
    <row r="1960" spans="1:2" x14ac:dyDescent="0.3">
      <c r="A1960" s="1" t="s">
        <v>376</v>
      </c>
      <c r="B1960" s="19">
        <v>12500000</v>
      </c>
    </row>
    <row r="1961" spans="1:2" x14ac:dyDescent="0.3">
      <c r="A1961" s="1" t="s">
        <v>483</v>
      </c>
      <c r="B1961" s="19">
        <v>36000000</v>
      </c>
    </row>
    <row r="1962" spans="1:2" x14ac:dyDescent="0.3">
      <c r="A1962" s="1" t="s">
        <v>1075</v>
      </c>
      <c r="B1962" s="19">
        <v>13700000</v>
      </c>
    </row>
    <row r="1963" spans="1:2" x14ac:dyDescent="0.3">
      <c r="A1963" s="1" t="s">
        <v>899</v>
      </c>
      <c r="B1963" s="19">
        <v>10000000</v>
      </c>
    </row>
    <row r="1964" spans="1:2" x14ac:dyDescent="0.3">
      <c r="A1964" s="1" t="s">
        <v>570</v>
      </c>
      <c r="B1964" s="19">
        <v>12000000</v>
      </c>
    </row>
    <row r="1965" spans="1:2" x14ac:dyDescent="0.3">
      <c r="A1965" s="1" t="s">
        <v>688</v>
      </c>
      <c r="B1965" s="19">
        <v>5800000</v>
      </c>
    </row>
    <row r="1966" spans="1:2" x14ac:dyDescent="0.3">
      <c r="A1966" s="1" t="s">
        <v>824</v>
      </c>
      <c r="B1966" s="19">
        <v>15000000</v>
      </c>
    </row>
    <row r="1967" spans="1:2" x14ac:dyDescent="0.3">
      <c r="A1967" s="1" t="s">
        <v>1494</v>
      </c>
      <c r="B1967" s="19">
        <v>15000000</v>
      </c>
    </row>
    <row r="1968" spans="1:2" x14ac:dyDescent="0.3">
      <c r="A1968" s="1" t="s">
        <v>1739</v>
      </c>
      <c r="B1968" s="19">
        <v>45000000</v>
      </c>
    </row>
    <row r="1969" spans="1:2" x14ac:dyDescent="0.3">
      <c r="A1969" s="1" t="s">
        <v>1169</v>
      </c>
      <c r="B1969" s="19">
        <v>29000000</v>
      </c>
    </row>
    <row r="1970" spans="1:2" x14ac:dyDescent="0.3">
      <c r="A1970" s="1" t="s">
        <v>1108</v>
      </c>
      <c r="B1970" s="19">
        <v>9000000</v>
      </c>
    </row>
    <row r="1971" spans="1:2" x14ac:dyDescent="0.3">
      <c r="A1971" s="1" t="s">
        <v>1258</v>
      </c>
      <c r="B1971" s="19">
        <v>11200000</v>
      </c>
    </row>
    <row r="1972" spans="1:2" x14ac:dyDescent="0.3">
      <c r="A1972" s="1" t="s">
        <v>602</v>
      </c>
      <c r="B1972" s="19">
        <v>16800000</v>
      </c>
    </row>
    <row r="1973" spans="1:2" x14ac:dyDescent="0.3">
      <c r="A1973" s="1" t="s">
        <v>1090</v>
      </c>
      <c r="B1973" s="19">
        <v>5500000</v>
      </c>
    </row>
    <row r="1974" spans="1:2" x14ac:dyDescent="0.3">
      <c r="A1974" s="1" t="s">
        <v>933</v>
      </c>
      <c r="B1974" s="19">
        <v>18500000</v>
      </c>
    </row>
    <row r="1975" spans="1:2" x14ac:dyDescent="0.3">
      <c r="A1975" s="1" t="s">
        <v>137</v>
      </c>
      <c r="B1975" s="19">
        <v>39300000</v>
      </c>
    </row>
    <row r="1976" spans="1:2" x14ac:dyDescent="0.3">
      <c r="A1976" s="1" t="s">
        <v>851</v>
      </c>
      <c r="B1976" s="19">
        <v>26000000</v>
      </c>
    </row>
    <row r="1977" spans="1:2" x14ac:dyDescent="0.3">
      <c r="A1977" s="1" t="s">
        <v>1317</v>
      </c>
      <c r="B1977" s="19">
        <v>16500000</v>
      </c>
    </row>
    <row r="1978" spans="1:2" x14ac:dyDescent="0.3">
      <c r="A1978" s="1" t="s">
        <v>102</v>
      </c>
      <c r="B1978" s="19">
        <v>33990000</v>
      </c>
    </row>
    <row r="1979" spans="1:2" x14ac:dyDescent="0.3">
      <c r="A1979" s="1" t="s">
        <v>1182</v>
      </c>
      <c r="B1979" s="19">
        <v>18200000</v>
      </c>
    </row>
    <row r="1980" spans="1:2" x14ac:dyDescent="0.3">
      <c r="A1980" s="1" t="s">
        <v>138</v>
      </c>
      <c r="B1980" s="19">
        <v>44000000</v>
      </c>
    </row>
    <row r="1981" spans="1:2" x14ac:dyDescent="0.3">
      <c r="A1981" s="1" t="s">
        <v>138</v>
      </c>
      <c r="B1981" s="19">
        <v>45000000</v>
      </c>
    </row>
    <row r="1982" spans="1:2" x14ac:dyDescent="0.3">
      <c r="A1982" s="1" t="s">
        <v>1477</v>
      </c>
      <c r="B1982" s="19">
        <v>22000000</v>
      </c>
    </row>
    <row r="1983" spans="1:2" x14ac:dyDescent="0.3">
      <c r="A1983" s="1" t="s">
        <v>972</v>
      </c>
      <c r="B1983" s="19">
        <v>29200000</v>
      </c>
    </row>
    <row r="1984" spans="1:2" x14ac:dyDescent="0.3">
      <c r="A1984" s="1" t="s">
        <v>297</v>
      </c>
      <c r="B1984" s="19">
        <v>16000000</v>
      </c>
    </row>
    <row r="1985" spans="1:2" x14ac:dyDescent="0.3">
      <c r="A1985" s="1" t="s">
        <v>1039</v>
      </c>
      <c r="B1985" s="19">
        <v>28990000</v>
      </c>
    </row>
    <row r="1986" spans="1:2" x14ac:dyDescent="0.3">
      <c r="A1986" s="1" t="s">
        <v>1082</v>
      </c>
      <c r="B1986" s="19">
        <v>37000000</v>
      </c>
    </row>
    <row r="1987" spans="1:2" x14ac:dyDescent="0.3">
      <c r="A1987" s="1" t="s">
        <v>338</v>
      </c>
      <c r="B1987" s="19">
        <v>22000000</v>
      </c>
    </row>
    <row r="1988" spans="1:2" x14ac:dyDescent="0.3">
      <c r="A1988" s="1" t="s">
        <v>1731</v>
      </c>
      <c r="B1988" s="19">
        <v>19000000</v>
      </c>
    </row>
    <row r="1989" spans="1:2" x14ac:dyDescent="0.3">
      <c r="A1989" s="1" t="s">
        <v>345</v>
      </c>
      <c r="B1989" s="19">
        <v>9600000</v>
      </c>
    </row>
    <row r="1990" spans="1:2" x14ac:dyDescent="0.3">
      <c r="A1990" s="1" t="s">
        <v>761</v>
      </c>
      <c r="B1990" s="19">
        <v>23000000</v>
      </c>
    </row>
    <row r="1991" spans="1:2" x14ac:dyDescent="0.3">
      <c r="A1991" s="1" t="s">
        <v>561</v>
      </c>
      <c r="B1991" s="19">
        <v>8000000</v>
      </c>
    </row>
    <row r="1992" spans="1:2" x14ac:dyDescent="0.3">
      <c r="A1992" s="1" t="s">
        <v>382</v>
      </c>
      <c r="B1992" s="19">
        <v>11300000</v>
      </c>
    </row>
    <row r="1993" spans="1:2" x14ac:dyDescent="0.3">
      <c r="A1993" s="1" t="s">
        <v>541</v>
      </c>
      <c r="B1993" s="19">
        <v>9500000</v>
      </c>
    </row>
    <row r="1994" spans="1:2" x14ac:dyDescent="0.3">
      <c r="A1994" s="1" t="s">
        <v>23</v>
      </c>
      <c r="B1994" s="19">
        <v>30154462</v>
      </c>
    </row>
    <row r="1995" spans="1:2" x14ac:dyDescent="0.3">
      <c r="A1995" s="1" t="s">
        <v>24</v>
      </c>
      <c r="B1995" s="19">
        <v>31627180</v>
      </c>
    </row>
    <row r="1996" spans="1:2" x14ac:dyDescent="0.3">
      <c r="A1996" s="1" t="s">
        <v>25</v>
      </c>
      <c r="B1996" s="19">
        <v>31627180</v>
      </c>
    </row>
    <row r="1997" spans="1:2" x14ac:dyDescent="0.3">
      <c r="A1997" s="1" t="s">
        <v>697</v>
      </c>
      <c r="B1997" s="19">
        <v>43000000</v>
      </c>
    </row>
    <row r="1998" spans="1:2" x14ac:dyDescent="0.3">
      <c r="A1998" s="1" t="s">
        <v>520</v>
      </c>
      <c r="B1998" s="19">
        <v>44811592</v>
      </c>
    </row>
    <row r="1999" spans="1:2" x14ac:dyDescent="0.3">
      <c r="A1999" s="1" t="s">
        <v>6671</v>
      </c>
      <c r="B1999" s="19">
        <v>44500000</v>
      </c>
    </row>
    <row r="2000" spans="1:2" x14ac:dyDescent="0.3">
      <c r="A2000" s="1" t="s">
        <v>569</v>
      </c>
      <c r="B2000" s="19">
        <v>17000000</v>
      </c>
    </row>
    <row r="2001" spans="1:2" x14ac:dyDescent="0.3">
      <c r="A2001" s="1" t="s">
        <v>563</v>
      </c>
      <c r="B2001" s="19">
        <v>32237100</v>
      </c>
    </row>
    <row r="2002" spans="1:2" x14ac:dyDescent="0.3">
      <c r="A2002" s="1" t="s">
        <v>362</v>
      </c>
      <c r="B2002" s="19">
        <v>21400000</v>
      </c>
    </row>
    <row r="2003" spans="1:2" x14ac:dyDescent="0.3">
      <c r="A2003" s="1" t="s">
        <v>714</v>
      </c>
      <c r="B2003" s="19">
        <v>11200000</v>
      </c>
    </row>
    <row r="2004" spans="1:2" x14ac:dyDescent="0.3">
      <c r="A2004" s="1" t="s">
        <v>1784</v>
      </c>
      <c r="B2004" s="19">
        <v>19000000</v>
      </c>
    </row>
    <row r="2005" spans="1:2" x14ac:dyDescent="0.3">
      <c r="A2005" s="1" t="s">
        <v>248</v>
      </c>
      <c r="B2005" s="19">
        <v>14850000</v>
      </c>
    </row>
    <row r="2006" spans="1:2" x14ac:dyDescent="0.3">
      <c r="A2006" s="1" t="s">
        <v>1807</v>
      </c>
      <c r="B2006" s="19">
        <v>14000000</v>
      </c>
    </row>
    <row r="2007" spans="1:2" x14ac:dyDescent="0.3">
      <c r="A2007" s="1" t="s">
        <v>163</v>
      </c>
      <c r="B2007" s="19">
        <v>15700000</v>
      </c>
    </row>
    <row r="2008" spans="1:2" x14ac:dyDescent="0.3">
      <c r="A2008" s="1" t="s">
        <v>842</v>
      </c>
      <c r="B2008" s="19">
        <v>26000000</v>
      </c>
    </row>
    <row r="2009" spans="1:2" x14ac:dyDescent="0.3">
      <c r="A2009" s="1" t="s">
        <v>4337</v>
      </c>
      <c r="B2009" s="19">
        <v>7800000</v>
      </c>
    </row>
    <row r="2010" spans="1:2" x14ac:dyDescent="0.3">
      <c r="A2010" s="1" t="s">
        <v>710</v>
      </c>
      <c r="B2010" s="19">
        <v>18400000</v>
      </c>
    </row>
    <row r="2011" spans="1:2" x14ac:dyDescent="0.3">
      <c r="A2011" s="1" t="s">
        <v>960</v>
      </c>
      <c r="B2011" s="19">
        <v>21000000</v>
      </c>
    </row>
    <row r="2012" spans="1:2" x14ac:dyDescent="0.3">
      <c r="A2012" s="1" t="s">
        <v>704</v>
      </c>
      <c r="B2012" s="19">
        <v>8000000</v>
      </c>
    </row>
    <row r="2013" spans="1:2" x14ac:dyDescent="0.3">
      <c r="A2013" s="1" t="s">
        <v>1601</v>
      </c>
      <c r="B2013" s="19">
        <v>10000000</v>
      </c>
    </row>
    <row r="2014" spans="1:2" x14ac:dyDescent="0.3">
      <c r="A2014" s="1" t="s">
        <v>1571</v>
      </c>
      <c r="B2014" s="19">
        <v>11500000</v>
      </c>
    </row>
    <row r="2015" spans="1:2" x14ac:dyDescent="0.3">
      <c r="A2015" s="1" t="s">
        <v>1722</v>
      </c>
      <c r="B2015" s="19">
        <v>16100000</v>
      </c>
    </row>
    <row r="2016" spans="1:2" x14ac:dyDescent="0.3">
      <c r="A2016" s="1" t="s">
        <v>1157</v>
      </c>
      <c r="B2016" s="19">
        <v>21800000</v>
      </c>
    </row>
    <row r="2017" spans="1:2" x14ac:dyDescent="0.3">
      <c r="A2017" s="1" t="s">
        <v>1086</v>
      </c>
      <c r="B2017" s="19">
        <v>21100000</v>
      </c>
    </row>
    <row r="2018" spans="1:2" x14ac:dyDescent="0.3">
      <c r="A2018" s="1" t="s">
        <v>1040</v>
      </c>
      <c r="B2018" s="19">
        <v>10300000</v>
      </c>
    </row>
    <row r="2019" spans="1:2" x14ac:dyDescent="0.3">
      <c r="A2019" s="1" t="s">
        <v>432</v>
      </c>
      <c r="B2019" s="19">
        <v>24000000</v>
      </c>
    </row>
    <row r="2020" spans="1:2" x14ac:dyDescent="0.3">
      <c r="A2020" s="1" t="s">
        <v>597</v>
      </c>
      <c r="B2020" s="19">
        <v>16000000</v>
      </c>
    </row>
    <row r="2021" spans="1:2" x14ac:dyDescent="0.3">
      <c r="A2021" s="1" t="s">
        <v>874</v>
      </c>
      <c r="B2021" s="19">
        <v>19000000</v>
      </c>
    </row>
    <row r="2022" spans="1:2" x14ac:dyDescent="0.3">
      <c r="A2022" s="1" t="s">
        <v>1207</v>
      </c>
      <c r="B2022" s="19">
        <v>20300000</v>
      </c>
    </row>
    <row r="2023" spans="1:2" x14ac:dyDescent="0.3">
      <c r="A2023" s="1" t="s">
        <v>578</v>
      </c>
      <c r="B2023" s="19">
        <v>10900000</v>
      </c>
    </row>
    <row r="2024" spans="1:2" x14ac:dyDescent="0.3">
      <c r="A2024" s="1" t="s">
        <v>580</v>
      </c>
      <c r="B2024" s="19">
        <v>12300000</v>
      </c>
    </row>
    <row r="2025" spans="1:2" x14ac:dyDescent="0.3">
      <c r="A2025" s="1" t="s">
        <v>1608</v>
      </c>
      <c r="B2025" s="19">
        <v>7700000</v>
      </c>
    </row>
    <row r="2026" spans="1:2" x14ac:dyDescent="0.3">
      <c r="A2026" s="1" t="s">
        <v>211</v>
      </c>
      <c r="B2026" s="19">
        <v>17750000</v>
      </c>
    </row>
    <row r="2027" spans="1:2" x14ac:dyDescent="0.3">
      <c r="A2027" s="1" t="s">
        <v>423</v>
      </c>
      <c r="B2027" s="19">
        <v>14400000</v>
      </c>
    </row>
    <row r="2028" spans="1:2" x14ac:dyDescent="0.3">
      <c r="A2028" s="1" t="s">
        <v>879</v>
      </c>
      <c r="B2028" s="19">
        <v>13000000</v>
      </c>
    </row>
    <row r="2029" spans="1:2" x14ac:dyDescent="0.3">
      <c r="A2029" s="1" t="s">
        <v>1578</v>
      </c>
      <c r="B2029" s="19">
        <v>13000000</v>
      </c>
    </row>
    <row r="2030" spans="1:2" x14ac:dyDescent="0.3">
      <c r="A2030" s="1" t="s">
        <v>885</v>
      </c>
      <c r="B2030" s="19">
        <v>19000000</v>
      </c>
    </row>
    <row r="2031" spans="1:2" x14ac:dyDescent="0.3">
      <c r="A2031" s="1" t="s">
        <v>1088</v>
      </c>
      <c r="B2031" s="19">
        <v>10700000</v>
      </c>
    </row>
    <row r="2032" spans="1:2" x14ac:dyDescent="0.3">
      <c r="A2032" s="1" t="s">
        <v>707</v>
      </c>
      <c r="B2032" s="19">
        <v>45000000</v>
      </c>
    </row>
    <row r="2033" spans="1:2" x14ac:dyDescent="0.3">
      <c r="A2033" s="1" t="s">
        <v>600</v>
      </c>
      <c r="B2033" s="19">
        <v>27953100</v>
      </c>
    </row>
    <row r="2034" spans="1:2" x14ac:dyDescent="0.3">
      <c r="A2034" s="1" t="s">
        <v>566</v>
      </c>
      <c r="B2034" s="19">
        <v>8700000</v>
      </c>
    </row>
    <row r="2035" spans="1:2" x14ac:dyDescent="0.3">
      <c r="A2035" s="1" t="s">
        <v>29</v>
      </c>
      <c r="B2035" s="19">
        <v>20000000</v>
      </c>
    </row>
    <row r="2036" spans="1:2" x14ac:dyDescent="0.3">
      <c r="A2036" s="1" t="s">
        <v>363</v>
      </c>
      <c r="B2036" s="19">
        <v>27953100</v>
      </c>
    </row>
    <row r="2037" spans="1:2" x14ac:dyDescent="0.3">
      <c r="A2037" s="1" t="s">
        <v>794</v>
      </c>
      <c r="B2037" s="19">
        <v>13000000</v>
      </c>
    </row>
    <row r="2038" spans="1:2" x14ac:dyDescent="0.3">
      <c r="A2038" s="1" t="s">
        <v>448</v>
      </c>
      <c r="B2038" s="19">
        <v>8100000</v>
      </c>
    </row>
    <row r="2039" spans="1:2" x14ac:dyDescent="0.3">
      <c r="A2039" s="1" t="s">
        <v>1237</v>
      </c>
      <c r="B2039" s="19">
        <v>29000000</v>
      </c>
    </row>
    <row r="2040" spans="1:2" x14ac:dyDescent="0.3">
      <c r="A2040" s="1" t="s">
        <v>531</v>
      </c>
      <c r="B2040" s="19">
        <v>7000000</v>
      </c>
    </row>
    <row r="2041" spans="1:2" x14ac:dyDescent="0.3">
      <c r="A2041" s="1" t="s">
        <v>929</v>
      </c>
      <c r="B2041" s="19">
        <v>14100000</v>
      </c>
    </row>
    <row r="2042" spans="1:2" x14ac:dyDescent="0.3">
      <c r="A2042" s="1" t="s">
        <v>598</v>
      </c>
      <c r="B2042" s="19">
        <v>48476099</v>
      </c>
    </row>
    <row r="2043" spans="1:2" x14ac:dyDescent="0.3">
      <c r="A2043" s="1" t="s">
        <v>763</v>
      </c>
      <c r="B2043" s="19">
        <v>17000000</v>
      </c>
    </row>
    <row r="2044" spans="1:2" x14ac:dyDescent="0.3">
      <c r="A2044" s="1" t="s">
        <v>1145</v>
      </c>
      <c r="B2044" s="19">
        <v>10000000</v>
      </c>
    </row>
    <row r="2045" spans="1:2" x14ac:dyDescent="0.3">
      <c r="A2045" s="1" t="s">
        <v>402</v>
      </c>
      <c r="B2045" s="19">
        <v>11800000</v>
      </c>
    </row>
    <row r="2046" spans="1:2" x14ac:dyDescent="0.3">
      <c r="A2046" s="1" t="s">
        <v>675</v>
      </c>
      <c r="B2046" s="19">
        <v>23000000</v>
      </c>
    </row>
    <row r="2047" spans="1:2" x14ac:dyDescent="0.3">
      <c r="A2047" s="1" t="s">
        <v>1611</v>
      </c>
      <c r="B2047" s="19">
        <v>16800000</v>
      </c>
    </row>
    <row r="2048" spans="1:2" x14ac:dyDescent="0.3">
      <c r="A2048" s="1" t="s">
        <v>655</v>
      </c>
      <c r="B2048" s="19">
        <v>24300000</v>
      </c>
    </row>
    <row r="2049" spans="1:2" x14ac:dyDescent="0.3">
      <c r="A2049" s="1" t="s">
        <v>1061</v>
      </c>
      <c r="B2049" s="19">
        <v>8000000</v>
      </c>
    </row>
    <row r="2050" spans="1:2" x14ac:dyDescent="0.3">
      <c r="A2050" s="1" t="s">
        <v>418</v>
      </c>
      <c r="B2050" s="19">
        <v>8500000</v>
      </c>
    </row>
    <row r="2051" spans="1:2" x14ac:dyDescent="0.3">
      <c r="A2051" s="1" t="s">
        <v>560</v>
      </c>
      <c r="B2051" s="19">
        <v>25000000</v>
      </c>
    </row>
    <row r="2052" spans="1:2" x14ac:dyDescent="0.3">
      <c r="A2052" s="1" t="s">
        <v>1596</v>
      </c>
      <c r="B2052" s="19">
        <v>24723805</v>
      </c>
    </row>
    <row r="2053" spans="1:2" x14ac:dyDescent="0.3">
      <c r="A2053" s="1" t="s">
        <v>1465</v>
      </c>
      <c r="B2053" s="19">
        <v>16500000</v>
      </c>
    </row>
    <row r="2054" spans="1:2" x14ac:dyDescent="0.3">
      <c r="A2054" s="1" t="s">
        <v>1089</v>
      </c>
      <c r="B2054" s="19">
        <v>12500000</v>
      </c>
    </row>
    <row r="2055" spans="1:2" x14ac:dyDescent="0.3">
      <c r="A2055" s="1" t="s">
        <v>1543</v>
      </c>
      <c r="B2055" s="19">
        <v>15000000</v>
      </c>
    </row>
    <row r="2056" spans="1:2" x14ac:dyDescent="0.3">
      <c r="A2056" s="1" t="s">
        <v>109</v>
      </c>
      <c r="B2056" s="19">
        <v>18900000</v>
      </c>
    </row>
    <row r="2057" spans="1:2" x14ac:dyDescent="0.3">
      <c r="A2057" s="1" t="s">
        <v>732</v>
      </c>
      <c r="B2057" s="19">
        <v>9500000</v>
      </c>
    </row>
    <row r="2058" spans="1:2" x14ac:dyDescent="0.3">
      <c r="A2058" s="1" t="s">
        <v>133</v>
      </c>
      <c r="B2058" s="19">
        <v>34000000</v>
      </c>
    </row>
    <row r="2059" spans="1:2" x14ac:dyDescent="0.3">
      <c r="A2059" s="1" t="s">
        <v>4328</v>
      </c>
      <c r="B2059" s="19">
        <v>10300000</v>
      </c>
    </row>
    <row r="2060" spans="1:2" x14ac:dyDescent="0.3">
      <c r="A2060" s="1" t="s">
        <v>1514</v>
      </c>
      <c r="B2060" s="19">
        <v>9400000</v>
      </c>
    </row>
    <row r="2061" spans="1:2" x14ac:dyDescent="0.3">
      <c r="A2061" s="1" t="s">
        <v>1190</v>
      </c>
      <c r="B2061" s="19">
        <v>31500000</v>
      </c>
    </row>
    <row r="2062" spans="1:2" x14ac:dyDescent="0.3">
      <c r="A2062" s="1" t="s">
        <v>641</v>
      </c>
      <c r="B2062" s="19">
        <v>20000000</v>
      </c>
    </row>
    <row r="2063" spans="1:2" x14ac:dyDescent="0.3">
      <c r="A2063" s="1" t="s">
        <v>920</v>
      </c>
      <c r="B2063" s="19">
        <v>12990000</v>
      </c>
    </row>
    <row r="2064" spans="1:2" x14ac:dyDescent="0.3">
      <c r="A2064" s="1" t="s">
        <v>1158</v>
      </c>
      <c r="B2064" s="19">
        <v>7520000</v>
      </c>
    </row>
    <row r="2065" spans="1:2" x14ac:dyDescent="0.3">
      <c r="A2065" s="1" t="s">
        <v>153</v>
      </c>
      <c r="B2065" s="19">
        <v>15000000</v>
      </c>
    </row>
    <row r="2066" spans="1:2" x14ac:dyDescent="0.3">
      <c r="A2066" s="1" t="s">
        <v>901</v>
      </c>
      <c r="B2066" s="19">
        <v>17000000</v>
      </c>
    </row>
    <row r="2067" spans="1:2" x14ac:dyDescent="0.3">
      <c r="A2067" s="1" t="s">
        <v>915</v>
      </c>
      <c r="B2067" s="19">
        <v>16200000</v>
      </c>
    </row>
    <row r="2068" spans="1:2" x14ac:dyDescent="0.3">
      <c r="A2068" s="1" t="s">
        <v>6431</v>
      </c>
      <c r="B2068" s="19">
        <v>29300000</v>
      </c>
    </row>
    <row r="2069" spans="1:2" x14ac:dyDescent="0.3">
      <c r="A2069" s="1" t="s">
        <v>809</v>
      </c>
      <c r="B2069" s="19">
        <v>8000000</v>
      </c>
    </row>
    <row r="2070" spans="1:2" x14ac:dyDescent="0.3">
      <c r="A2070" s="1" t="s">
        <v>914</v>
      </c>
      <c r="B2070" s="19">
        <v>15800000</v>
      </c>
    </row>
    <row r="2071" spans="1:2" x14ac:dyDescent="0.3">
      <c r="A2071" s="1" t="s">
        <v>913</v>
      </c>
      <c r="B2071" s="19">
        <v>16200000</v>
      </c>
    </row>
    <row r="2072" spans="1:2" x14ac:dyDescent="0.3">
      <c r="A2072" s="1" t="s">
        <v>745</v>
      </c>
      <c r="B2072" s="19">
        <v>18500000</v>
      </c>
    </row>
    <row r="2073" spans="1:2" x14ac:dyDescent="0.3">
      <c r="A2073" s="1" t="s">
        <v>391</v>
      </c>
      <c r="B2073" s="19">
        <v>7500000</v>
      </c>
    </row>
    <row r="2074" spans="1:2" x14ac:dyDescent="0.3">
      <c r="A2074" s="1" t="s">
        <v>575</v>
      </c>
      <c r="B2074" s="19">
        <v>13000000</v>
      </c>
    </row>
    <row r="2075" spans="1:2" x14ac:dyDescent="0.3">
      <c r="A2075" s="1" t="s">
        <v>624</v>
      </c>
      <c r="B2075" s="19">
        <v>8000000</v>
      </c>
    </row>
    <row r="2076" spans="1:2" x14ac:dyDescent="0.3">
      <c r="A2076" s="1" t="s">
        <v>130</v>
      </c>
      <c r="B2076" s="19">
        <v>31300000</v>
      </c>
    </row>
    <row r="2077" spans="1:2" x14ac:dyDescent="0.3">
      <c r="A2077" s="1" t="s">
        <v>961</v>
      </c>
      <c r="B2077" s="19">
        <v>12600000</v>
      </c>
    </row>
    <row r="2078" spans="1:2" x14ac:dyDescent="0.3">
      <c r="A2078" s="1" t="s">
        <v>699</v>
      </c>
      <c r="B2078" s="19">
        <v>8750000</v>
      </c>
    </row>
    <row r="2079" spans="1:2" x14ac:dyDescent="0.3">
      <c r="A2079" s="1" t="s">
        <v>1074</v>
      </c>
      <c r="B2079" s="19">
        <v>29000000</v>
      </c>
    </row>
    <row r="2080" spans="1:2" x14ac:dyDescent="0.3">
      <c r="A2080" s="1" t="s">
        <v>642</v>
      </c>
      <c r="B2080" s="19">
        <v>9500000</v>
      </c>
    </row>
    <row r="2081" spans="1:2" x14ac:dyDescent="0.3">
      <c r="A2081" s="1" t="s">
        <v>1058</v>
      </c>
      <c r="B2081" s="19">
        <v>10000000</v>
      </c>
    </row>
    <row r="2082" spans="1:2" x14ac:dyDescent="0.3">
      <c r="A2082" s="1" t="s">
        <v>964</v>
      </c>
      <c r="B2082" s="19">
        <v>19000000</v>
      </c>
    </row>
    <row r="2083" spans="1:2" x14ac:dyDescent="0.3">
      <c r="A2083" s="1" t="s">
        <v>601</v>
      </c>
      <c r="B2083" s="19">
        <v>12700000</v>
      </c>
    </row>
    <row r="2084" spans="1:2" x14ac:dyDescent="0.3">
      <c r="A2084" s="1" t="s">
        <v>1234</v>
      </c>
      <c r="B2084" s="19">
        <v>26431805</v>
      </c>
    </row>
    <row r="2085" spans="1:2" x14ac:dyDescent="0.3">
      <c r="A2085" s="1" t="s">
        <v>815</v>
      </c>
      <c r="B2085" s="19">
        <v>14000000</v>
      </c>
    </row>
    <row r="2086" spans="1:2" x14ac:dyDescent="0.3">
      <c r="A2086" s="1" t="s">
        <v>1250</v>
      </c>
      <c r="B2086" s="19">
        <v>24000000</v>
      </c>
    </row>
    <row r="2087" spans="1:2" x14ac:dyDescent="0.3">
      <c r="A2087" s="1" t="s">
        <v>449</v>
      </c>
      <c r="B2087" s="19">
        <v>16500000</v>
      </c>
    </row>
    <row r="2088" spans="1:2" x14ac:dyDescent="0.3">
      <c r="A2088" s="1" t="s">
        <v>1357</v>
      </c>
      <c r="B2088" s="19">
        <v>15000000</v>
      </c>
    </row>
    <row r="2089" spans="1:2" x14ac:dyDescent="0.3">
      <c r="A2089" s="1" t="s">
        <v>1410</v>
      </c>
      <c r="B2089" s="19">
        <v>14000000</v>
      </c>
    </row>
    <row r="2090" spans="1:2" x14ac:dyDescent="0.3">
      <c r="A2090" s="1" t="s">
        <v>798</v>
      </c>
      <c r="B2090" s="19">
        <v>13750000</v>
      </c>
    </row>
    <row r="2091" spans="1:2" x14ac:dyDescent="0.3">
      <c r="A2091" s="1" t="s">
        <v>326</v>
      </c>
      <c r="B2091" s="19">
        <v>16400000</v>
      </c>
    </row>
    <row r="2092" spans="1:2" x14ac:dyDescent="0.3">
      <c r="A2092" s="1" t="s">
        <v>667</v>
      </c>
      <c r="B2092" s="19">
        <v>9790000</v>
      </c>
    </row>
    <row r="2093" spans="1:2" x14ac:dyDescent="0.3">
      <c r="A2093" s="1" t="s">
        <v>519</v>
      </c>
      <c r="B2093" s="19">
        <v>19200000</v>
      </c>
    </row>
    <row r="2094" spans="1:2" x14ac:dyDescent="0.3">
      <c r="A2094" s="1" t="s">
        <v>1245</v>
      </c>
      <c r="B2094" s="19">
        <v>13400000</v>
      </c>
    </row>
    <row r="2095" spans="1:2" x14ac:dyDescent="0.3">
      <c r="A2095" s="1" t="s">
        <v>502</v>
      </c>
      <c r="B2095" s="19">
        <v>11500000</v>
      </c>
    </row>
    <row r="2096" spans="1:2" x14ac:dyDescent="0.3">
      <c r="A2096" s="1" t="s">
        <v>6395</v>
      </c>
      <c r="B2096" s="19">
        <v>19000000</v>
      </c>
    </row>
    <row r="2097" spans="1:2" x14ac:dyDescent="0.3">
      <c r="A2097" s="1" t="s">
        <v>1117</v>
      </c>
      <c r="B2097" s="19">
        <v>47000000</v>
      </c>
    </row>
    <row r="2098" spans="1:2" x14ac:dyDescent="0.3">
      <c r="A2098" s="1" t="s">
        <v>156</v>
      </c>
      <c r="B2098" s="19">
        <v>13500000</v>
      </c>
    </row>
    <row r="2099" spans="1:2" x14ac:dyDescent="0.3">
      <c r="A2099" s="1" t="s">
        <v>596</v>
      </c>
      <c r="B2099" s="19">
        <v>11700000</v>
      </c>
    </row>
    <row r="2100" spans="1:2" x14ac:dyDescent="0.3">
      <c r="A2100" s="1" t="s">
        <v>742</v>
      </c>
      <c r="B2100" s="19">
        <v>12700000</v>
      </c>
    </row>
    <row r="2101" spans="1:2" x14ac:dyDescent="0.3">
      <c r="A2101" s="1" t="s">
        <v>720</v>
      </c>
      <c r="B2101" s="19">
        <v>9000000</v>
      </c>
    </row>
    <row r="2102" spans="1:2" x14ac:dyDescent="0.3">
      <c r="A2102" s="1" t="s">
        <v>1313</v>
      </c>
      <c r="B2102" s="19">
        <v>15000000</v>
      </c>
    </row>
    <row r="2103" spans="1:2" x14ac:dyDescent="0.3">
      <c r="A2103" s="1" t="s">
        <v>971</v>
      </c>
      <c r="B2103" s="19">
        <v>12400000</v>
      </c>
    </row>
    <row r="2104" spans="1:2" x14ac:dyDescent="0.3">
      <c r="A2104" s="1" t="s">
        <v>1076</v>
      </c>
      <c r="B2104" s="19">
        <v>24000000</v>
      </c>
    </row>
    <row r="2105" spans="1:2" x14ac:dyDescent="0.3">
      <c r="A2105" s="1" t="s">
        <v>1152</v>
      </c>
      <c r="B2105" s="19">
        <v>11000000</v>
      </c>
    </row>
    <row r="2106" spans="1:2" x14ac:dyDescent="0.3">
      <c r="A2106" s="1" t="s">
        <v>954</v>
      </c>
      <c r="B2106" s="19">
        <v>14000000</v>
      </c>
    </row>
    <row r="2107" spans="1:2" x14ac:dyDescent="0.3">
      <c r="A2107" s="1" t="s">
        <v>644</v>
      </c>
      <c r="B2107" s="19">
        <v>8500000</v>
      </c>
    </row>
    <row r="2108" spans="1:2" x14ac:dyDescent="0.3">
      <c r="A2108" s="1" t="s">
        <v>979</v>
      </c>
      <c r="B2108" s="19">
        <v>24500000</v>
      </c>
    </row>
    <row r="2109" spans="1:2" x14ac:dyDescent="0.3">
      <c r="A2109" s="1" t="s">
        <v>966</v>
      </c>
      <c r="B2109" s="19">
        <v>22000000</v>
      </c>
    </row>
    <row r="2110" spans="1:2" x14ac:dyDescent="0.3">
      <c r="A2110" s="1" t="s">
        <v>217</v>
      </c>
      <c r="B2110" s="19">
        <v>28000000</v>
      </c>
    </row>
    <row r="2111" spans="1:2" x14ac:dyDescent="0.3">
      <c r="A2111" s="1" t="s">
        <v>1125</v>
      </c>
      <c r="B2111" s="19">
        <v>16000000</v>
      </c>
    </row>
    <row r="2112" spans="1:2" x14ac:dyDescent="0.3">
      <c r="A2112" s="1" t="s">
        <v>6672</v>
      </c>
      <c r="B2112" s="19">
        <v>7850000</v>
      </c>
    </row>
    <row r="2113" spans="1:2" x14ac:dyDescent="0.3">
      <c r="A2113" s="1" t="s">
        <v>383</v>
      </c>
      <c r="B2113" s="19">
        <v>6200000</v>
      </c>
    </row>
    <row r="2114" spans="1:2" x14ac:dyDescent="0.3">
      <c r="A2114" s="1" t="s">
        <v>919</v>
      </c>
      <c r="B2114" s="19">
        <v>19000000</v>
      </c>
    </row>
    <row r="2115" spans="1:2" x14ac:dyDescent="0.3">
      <c r="A2115" s="1" t="s">
        <v>457</v>
      </c>
      <c r="B2115" s="19">
        <v>16000000</v>
      </c>
    </row>
    <row r="2116" spans="1:2" x14ac:dyDescent="0.3">
      <c r="A2116" s="1" t="s">
        <v>1001</v>
      </c>
      <c r="B2116" s="19">
        <v>23870000</v>
      </c>
    </row>
    <row r="2117" spans="1:2" x14ac:dyDescent="0.3">
      <c r="A2117" s="1" t="s">
        <v>524</v>
      </c>
      <c r="B2117" s="19">
        <v>13500000</v>
      </c>
    </row>
    <row r="2118" spans="1:2" x14ac:dyDescent="0.3">
      <c r="A2118" s="1" t="s">
        <v>589</v>
      </c>
      <c r="B2118" s="19">
        <v>22200000</v>
      </c>
    </row>
    <row r="2119" spans="1:2" x14ac:dyDescent="0.3">
      <c r="A2119" s="1" t="s">
        <v>1084</v>
      </c>
      <c r="B2119" s="19">
        <v>30000000</v>
      </c>
    </row>
    <row r="2120" spans="1:2" x14ac:dyDescent="0.3">
      <c r="A2120" s="1" t="s">
        <v>752</v>
      </c>
      <c r="B2120" s="19">
        <v>9000000</v>
      </c>
    </row>
    <row r="2121" spans="1:2" x14ac:dyDescent="0.3">
      <c r="A2121" s="1" t="s">
        <v>773</v>
      </c>
      <c r="B2121" s="19">
        <v>7600000</v>
      </c>
    </row>
    <row r="2122" spans="1:2" x14ac:dyDescent="0.3">
      <c r="A2122" s="1" t="s">
        <v>778</v>
      </c>
      <c r="B2122" s="19">
        <v>11800000</v>
      </c>
    </row>
    <row r="2123" spans="1:2" x14ac:dyDescent="0.3">
      <c r="A2123" s="1" t="s">
        <v>626</v>
      </c>
      <c r="B2123" s="19">
        <v>18250000</v>
      </c>
    </row>
    <row r="2124" spans="1:2" x14ac:dyDescent="0.3">
      <c r="A2124" s="1" t="s">
        <v>500</v>
      </c>
      <c r="B2124" s="19">
        <v>10000000</v>
      </c>
    </row>
    <row r="2125" spans="1:2" x14ac:dyDescent="0.3">
      <c r="A2125" s="1" t="s">
        <v>1225</v>
      </c>
      <c r="B2125" s="19">
        <v>22800000</v>
      </c>
    </row>
    <row r="2126" spans="1:2" x14ac:dyDescent="0.3">
      <c r="A2126" s="1" t="s">
        <v>1103</v>
      </c>
      <c r="B2126" s="19">
        <v>15500000</v>
      </c>
    </row>
    <row r="2127" spans="1:2" x14ac:dyDescent="0.3">
      <c r="A2127" s="1" t="s">
        <v>999</v>
      </c>
      <c r="B2127" s="19">
        <v>22000000</v>
      </c>
    </row>
    <row r="2128" spans="1:2" x14ac:dyDescent="0.3">
      <c r="A2128" s="1" t="s">
        <v>481</v>
      </c>
      <c r="B2128" s="19">
        <v>30000000</v>
      </c>
    </row>
    <row r="2129" spans="1:2" x14ac:dyDescent="0.3">
      <c r="A2129" s="1" t="s">
        <v>235</v>
      </c>
      <c r="B2129" s="19">
        <v>38000000</v>
      </c>
    </row>
    <row r="2130" spans="1:2" x14ac:dyDescent="0.3">
      <c r="A2130" s="1" t="s">
        <v>540</v>
      </c>
      <c r="B2130" s="19">
        <v>10700000</v>
      </c>
    </row>
    <row r="2131" spans="1:2" x14ac:dyDescent="0.3">
      <c r="A2131" s="1" t="s">
        <v>873</v>
      </c>
      <c r="B2131" s="19">
        <v>16000000</v>
      </c>
    </row>
    <row r="2132" spans="1:2" x14ac:dyDescent="0.3">
      <c r="A2132" s="1" t="s">
        <v>298</v>
      </c>
      <c r="B2132" s="19">
        <v>27929100</v>
      </c>
    </row>
    <row r="2133" spans="1:2" x14ac:dyDescent="0.3">
      <c r="A2133" s="1" t="s">
        <v>897</v>
      </c>
      <c r="B2133" s="19">
        <v>44000000</v>
      </c>
    </row>
    <row r="2134" spans="1:2" x14ac:dyDescent="0.3">
      <c r="A2134" s="1" t="s">
        <v>510</v>
      </c>
      <c r="B2134" s="19">
        <v>41200000</v>
      </c>
    </row>
    <row r="2135" spans="1:2" x14ac:dyDescent="0.3">
      <c r="A2135" s="1" t="s">
        <v>430</v>
      </c>
      <c r="B2135" s="19">
        <v>22000000</v>
      </c>
    </row>
    <row r="2136" spans="1:2" x14ac:dyDescent="0.3">
      <c r="A2136" s="1" t="s">
        <v>1264</v>
      </c>
      <c r="B2136" s="19">
        <v>15500000</v>
      </c>
    </row>
    <row r="2137" spans="1:2" x14ac:dyDescent="0.3">
      <c r="A2137" s="1" t="s">
        <v>262</v>
      </c>
      <c r="B2137" s="19">
        <v>10300000</v>
      </c>
    </row>
    <row r="2138" spans="1:2" x14ac:dyDescent="0.3">
      <c r="A2138" s="1" t="s">
        <v>648</v>
      </c>
      <c r="B2138" s="19">
        <v>36000000</v>
      </c>
    </row>
    <row r="2139" spans="1:2" x14ac:dyDescent="0.3">
      <c r="A2139" s="1" t="s">
        <v>3443</v>
      </c>
      <c r="B2139" s="19">
        <v>22000000</v>
      </c>
    </row>
    <row r="2140" spans="1:2" x14ac:dyDescent="0.3">
      <c r="A2140" s="1" t="s">
        <v>850</v>
      </c>
      <c r="B2140" s="19">
        <v>23000000</v>
      </c>
    </row>
    <row r="2141" spans="1:2" x14ac:dyDescent="0.3">
      <c r="A2141" s="1" t="s">
        <v>358</v>
      </c>
      <c r="B2141" s="19">
        <v>12246151</v>
      </c>
    </row>
    <row r="2142" spans="1:2" x14ac:dyDescent="0.3">
      <c r="A2142" s="1" t="s">
        <v>197</v>
      </c>
      <c r="B2142" s="19">
        <v>21500000</v>
      </c>
    </row>
    <row r="2143" spans="1:2" x14ac:dyDescent="0.3">
      <c r="A2143" s="1" t="s">
        <v>289</v>
      </c>
      <c r="B2143" s="19">
        <v>23500000</v>
      </c>
    </row>
    <row r="2144" spans="1:2" x14ac:dyDescent="0.3">
      <c r="A2144" s="1" t="s">
        <v>175</v>
      </c>
      <c r="B2144" s="19">
        <v>28700000</v>
      </c>
    </row>
    <row r="2145" spans="1:2" x14ac:dyDescent="0.3">
      <c r="A2145" s="1" t="s">
        <v>88</v>
      </c>
      <c r="B2145" s="19">
        <v>13900000</v>
      </c>
    </row>
    <row r="2146" spans="1:2" x14ac:dyDescent="0.3">
      <c r="A2146" s="1" t="s">
        <v>4253</v>
      </c>
      <c r="B2146" s="19">
        <v>20000000</v>
      </c>
    </row>
    <row r="2147" spans="1:2" x14ac:dyDescent="0.3">
      <c r="A2147" s="1" t="s">
        <v>770</v>
      </c>
      <c r="B2147" s="19">
        <v>26953052</v>
      </c>
    </row>
    <row r="2148" spans="1:2" x14ac:dyDescent="0.3">
      <c r="A2148" s="1" t="s">
        <v>169</v>
      </c>
      <c r="B2148" s="19">
        <v>10350000</v>
      </c>
    </row>
    <row r="2149" spans="1:2" x14ac:dyDescent="0.3">
      <c r="A2149" s="1" t="s">
        <v>974</v>
      </c>
      <c r="B2149" s="19">
        <v>7000000</v>
      </c>
    </row>
    <row r="2150" spans="1:2" x14ac:dyDescent="0.3">
      <c r="A2150" s="1" t="s">
        <v>909</v>
      </c>
      <c r="B2150" s="19">
        <v>17800000</v>
      </c>
    </row>
    <row r="2151" spans="1:2" x14ac:dyDescent="0.3">
      <c r="A2151" s="1" t="s">
        <v>571</v>
      </c>
      <c r="B2151" s="19">
        <v>30320000</v>
      </c>
    </row>
    <row r="2152" spans="1:2" x14ac:dyDescent="0.3">
      <c r="A2152" s="1" t="s">
        <v>486</v>
      </c>
      <c r="B2152" s="19">
        <v>36000000</v>
      </c>
    </row>
    <row r="2153" spans="1:2" x14ac:dyDescent="0.3">
      <c r="A2153" s="1" t="s">
        <v>789</v>
      </c>
      <c r="B2153" s="19">
        <v>12500000</v>
      </c>
    </row>
    <row r="2154" spans="1:2" x14ac:dyDescent="0.3">
      <c r="A2154" s="1" t="s">
        <v>1052</v>
      </c>
      <c r="B2154" s="19">
        <v>57227100</v>
      </c>
    </row>
    <row r="2155" spans="1:2" x14ac:dyDescent="0.3">
      <c r="A2155" s="1" t="s">
        <v>877</v>
      </c>
      <c r="B2155" s="19">
        <v>10500000</v>
      </c>
    </row>
    <row r="2156" spans="1:2" x14ac:dyDescent="0.3">
      <c r="A2156" s="1" t="s">
        <v>150</v>
      </c>
      <c r="B2156" s="19">
        <v>8300000</v>
      </c>
    </row>
    <row r="2157" spans="1:2" x14ac:dyDescent="0.3">
      <c r="A2157" s="1" t="s">
        <v>586</v>
      </c>
      <c r="B2157" s="19">
        <v>26500000</v>
      </c>
    </row>
    <row r="2158" spans="1:2" x14ac:dyDescent="0.3">
      <c r="A2158" s="1" t="s">
        <v>583</v>
      </c>
      <c r="B2158" s="19">
        <v>10000000</v>
      </c>
    </row>
    <row r="2159" spans="1:2" x14ac:dyDescent="0.3">
      <c r="A2159" s="1" t="s">
        <v>474</v>
      </c>
      <c r="B2159" s="19">
        <v>12000000</v>
      </c>
    </row>
    <row r="2160" spans="1:2" x14ac:dyDescent="0.3">
      <c r="A2160" s="1" t="s">
        <v>535</v>
      </c>
      <c r="B2160" s="19">
        <v>46000000</v>
      </c>
    </row>
    <row r="2161" spans="1:2" x14ac:dyDescent="0.3">
      <c r="A2161" s="1" t="s">
        <v>859</v>
      </c>
      <c r="B2161" s="19">
        <v>14500000</v>
      </c>
    </row>
    <row r="2162" spans="1:2" x14ac:dyDescent="0.3">
      <c r="A2162" s="1" t="s">
        <v>712</v>
      </c>
      <c r="B2162" s="19">
        <v>12000000</v>
      </c>
    </row>
    <row r="2163" spans="1:2" x14ac:dyDescent="0.3">
      <c r="A2163" s="1" t="s">
        <v>437</v>
      </c>
      <c r="B2163" s="19">
        <v>14500000</v>
      </c>
    </row>
    <row r="2164" spans="1:2" x14ac:dyDescent="0.3">
      <c r="A2164" s="1" t="s">
        <v>194</v>
      </c>
      <c r="B2164" s="19">
        <v>15500000</v>
      </c>
    </row>
    <row r="2165" spans="1:2" x14ac:dyDescent="0.3">
      <c r="A2165" s="1" t="s">
        <v>96</v>
      </c>
      <c r="B2165" s="19">
        <v>23500000</v>
      </c>
    </row>
    <row r="2166" spans="1:2" x14ac:dyDescent="0.3">
      <c r="A2166" s="1" t="s">
        <v>458</v>
      </c>
      <c r="B2166" s="19">
        <v>12000000</v>
      </c>
    </row>
    <row r="2167" spans="1:2" x14ac:dyDescent="0.3">
      <c r="A2167" s="1" t="s">
        <v>941</v>
      </c>
      <c r="B2167" s="19">
        <v>12300000</v>
      </c>
    </row>
    <row r="2168" spans="1:2" x14ac:dyDescent="0.3">
      <c r="A2168" s="1" t="s">
        <v>313</v>
      </c>
      <c r="B2168" s="19">
        <v>22120000</v>
      </c>
    </row>
    <row r="2169" spans="1:2" x14ac:dyDescent="0.3">
      <c r="A2169" s="1" t="s">
        <v>947</v>
      </c>
      <c r="B2169" s="19">
        <v>22000000</v>
      </c>
    </row>
    <row r="2170" spans="1:2" x14ac:dyDescent="0.3">
      <c r="A2170" s="1" t="s">
        <v>494</v>
      </c>
      <c r="B2170" s="19">
        <v>10000000</v>
      </c>
    </row>
    <row r="2171" spans="1:2" x14ac:dyDescent="0.3">
      <c r="A2171" s="1" t="s">
        <v>271</v>
      </c>
      <c r="B2171" s="19">
        <v>28490000</v>
      </c>
    </row>
    <row r="2172" spans="1:2" x14ac:dyDescent="0.3">
      <c r="A2172" s="1" t="s">
        <v>801</v>
      </c>
      <c r="B2172" s="19">
        <v>22390000</v>
      </c>
    </row>
    <row r="2173" spans="1:2" x14ac:dyDescent="0.3">
      <c r="A2173" s="1" t="s">
        <v>724</v>
      </c>
      <c r="B2173" s="19">
        <v>11000000</v>
      </c>
    </row>
    <row r="2174" spans="1:2" x14ac:dyDescent="0.3">
      <c r="A2174" s="1" t="s">
        <v>820</v>
      </c>
      <c r="B2174" s="19">
        <v>16500000</v>
      </c>
    </row>
    <row r="2175" spans="1:2" x14ac:dyDescent="0.3">
      <c r="A2175" s="1" t="s">
        <v>381</v>
      </c>
      <c r="B2175" s="19">
        <v>15500000</v>
      </c>
    </row>
    <row r="2176" spans="1:2" x14ac:dyDescent="0.3">
      <c r="A2176" s="1" t="s">
        <v>975</v>
      </c>
      <c r="B2176" s="19">
        <v>10800000</v>
      </c>
    </row>
    <row r="2177" spans="1:2" x14ac:dyDescent="0.3">
      <c r="A2177" s="1" t="s">
        <v>232</v>
      </c>
      <c r="B2177" s="19">
        <v>18300000</v>
      </c>
    </row>
    <row r="2178" spans="1:2" x14ac:dyDescent="0.3">
      <c r="A2178" s="1" t="s">
        <v>546</v>
      </c>
      <c r="B2178" s="19">
        <v>9200000</v>
      </c>
    </row>
    <row r="2179" spans="1:2" x14ac:dyDescent="0.3">
      <c r="A2179" s="1" t="s">
        <v>698</v>
      </c>
      <c r="B2179" s="19">
        <v>7800000</v>
      </c>
    </row>
    <row r="2180" spans="1:2" x14ac:dyDescent="0.3">
      <c r="A2180" s="1" t="s">
        <v>702</v>
      </c>
      <c r="B2180" s="19">
        <v>28199795</v>
      </c>
    </row>
    <row r="2181" spans="1:2" x14ac:dyDescent="0.3">
      <c r="A2181" s="1" t="s">
        <v>440</v>
      </c>
      <c r="B2181" s="19">
        <v>16000000</v>
      </c>
    </row>
    <row r="2182" spans="1:2" x14ac:dyDescent="0.3">
      <c r="A2182" s="1" t="s">
        <v>799</v>
      </c>
      <c r="B2182" s="19">
        <v>31490000</v>
      </c>
    </row>
    <row r="2183" spans="1:2" x14ac:dyDescent="0.3">
      <c r="A2183" s="1" t="s">
        <v>302</v>
      </c>
      <c r="B2183" s="19">
        <v>13500000</v>
      </c>
    </row>
    <row r="2184" spans="1:2" x14ac:dyDescent="0.3">
      <c r="A2184" s="1" t="s">
        <v>891</v>
      </c>
      <c r="B2184" s="19">
        <v>20932100</v>
      </c>
    </row>
    <row r="2185" spans="1:2" x14ac:dyDescent="0.3">
      <c r="A2185" s="1" t="s">
        <v>241</v>
      </c>
      <c r="B2185" s="19">
        <v>26300000</v>
      </c>
    </row>
    <row r="2186" spans="1:2" x14ac:dyDescent="0.3">
      <c r="A2186" s="1" t="s">
        <v>192</v>
      </c>
      <c r="B2186" s="19">
        <v>15500000</v>
      </c>
    </row>
    <row r="2187" spans="1:2" x14ac:dyDescent="0.3">
      <c r="A2187" s="1" t="s">
        <v>310</v>
      </c>
      <c r="B2187" s="19">
        <v>29000000</v>
      </c>
    </row>
    <row r="2188" spans="1:2" x14ac:dyDescent="0.3">
      <c r="A2188" s="1" t="s">
        <v>479</v>
      </c>
      <c r="B2188" s="19">
        <v>10000000</v>
      </c>
    </row>
    <row r="2189" spans="1:2" x14ac:dyDescent="0.3">
      <c r="A2189" s="1" t="s">
        <v>148</v>
      </c>
      <c r="B2189" s="19">
        <v>16000000</v>
      </c>
    </row>
    <row r="2190" spans="1:2" x14ac:dyDescent="0.3">
      <c r="A2190" s="1" t="s">
        <v>356</v>
      </c>
      <c r="B2190" s="19">
        <v>9000000</v>
      </c>
    </row>
    <row r="2191" spans="1:2" x14ac:dyDescent="0.3">
      <c r="A2191" s="1" t="s">
        <v>590</v>
      </c>
      <c r="B2191" s="19">
        <v>45290000</v>
      </c>
    </row>
    <row r="2192" spans="1:2" x14ac:dyDescent="0.3">
      <c r="A2192" s="1" t="s">
        <v>190</v>
      </c>
      <c r="B2192" s="19">
        <v>17500000</v>
      </c>
    </row>
    <row r="2193" spans="1:2" x14ac:dyDescent="0.3">
      <c r="A2193" s="1" t="s">
        <v>670</v>
      </c>
      <c r="B2193" s="19">
        <v>8000000</v>
      </c>
    </row>
    <row r="2194" spans="1:2" x14ac:dyDescent="0.3">
      <c r="A2194" s="1" t="s">
        <v>591</v>
      </c>
      <c r="B2194" s="19">
        <v>15500000</v>
      </c>
    </row>
    <row r="2195" spans="1:2" x14ac:dyDescent="0.3">
      <c r="A2195" s="1" t="s">
        <v>433</v>
      </c>
      <c r="B2195" s="19">
        <v>37000000</v>
      </c>
    </row>
    <row r="2196" spans="1:2" x14ac:dyDescent="0.3">
      <c r="A2196" s="1" t="s">
        <v>537</v>
      </c>
      <c r="B2196" s="19">
        <v>26525100</v>
      </c>
    </row>
    <row r="2197" spans="1:2" x14ac:dyDescent="0.3">
      <c r="A2197" s="1" t="s">
        <v>660</v>
      </c>
      <c r="B2197" s="19">
        <v>29381100</v>
      </c>
    </row>
    <row r="2198" spans="1:2" x14ac:dyDescent="0.3">
      <c r="A2198" s="1" t="s">
        <v>484</v>
      </c>
      <c r="B2198" s="19">
        <v>7100000</v>
      </c>
    </row>
    <row r="2199" spans="1:2" x14ac:dyDescent="0.3">
      <c r="A2199" s="1" t="s">
        <v>594</v>
      </c>
      <c r="B2199" s="19">
        <v>52300000</v>
      </c>
    </row>
    <row r="2200" spans="1:2" x14ac:dyDescent="0.3">
      <c r="A2200" s="1" t="s">
        <v>193</v>
      </c>
      <c r="B2200" s="19">
        <v>14500000</v>
      </c>
    </row>
    <row r="2201" spans="1:2" x14ac:dyDescent="0.3">
      <c r="A2201" s="1" t="s">
        <v>386</v>
      </c>
      <c r="B2201" s="19">
        <v>6500000</v>
      </c>
    </row>
    <row r="2202" spans="1:2" x14ac:dyDescent="0.3">
      <c r="A2202" s="1" t="s">
        <v>438</v>
      </c>
      <c r="B2202" s="19">
        <v>18500000</v>
      </c>
    </row>
    <row r="2203" spans="1:2" x14ac:dyDescent="0.3">
      <c r="A2203" s="1" t="s">
        <v>388</v>
      </c>
      <c r="B2203" s="19">
        <v>33921345</v>
      </c>
    </row>
    <row r="2204" spans="1:2" x14ac:dyDescent="0.3">
      <c r="A2204" s="1" t="s">
        <v>40</v>
      </c>
      <c r="B2204" s="19">
        <v>10000000</v>
      </c>
    </row>
    <row r="2205" spans="1:2" x14ac:dyDescent="0.3">
      <c r="A2205" s="1" t="s">
        <v>447</v>
      </c>
      <c r="B2205" s="19">
        <v>28890000</v>
      </c>
    </row>
    <row r="2206" spans="1:2" x14ac:dyDescent="0.3">
      <c r="A2206" s="1" t="s">
        <v>393</v>
      </c>
      <c r="B2206" s="19">
        <v>18500000</v>
      </c>
    </row>
    <row r="2207" spans="1:2" x14ac:dyDescent="0.3">
      <c r="A2207" s="1" t="s">
        <v>585</v>
      </c>
      <c r="B2207" s="19">
        <v>10000000</v>
      </c>
    </row>
    <row r="2208" spans="1:2" x14ac:dyDescent="0.3">
      <c r="A2208" s="1" t="s">
        <v>395</v>
      </c>
      <c r="B2208" s="19">
        <v>17243100</v>
      </c>
    </row>
    <row r="2209" spans="1:2" x14ac:dyDescent="0.3">
      <c r="A2209" s="1" t="s">
        <v>408</v>
      </c>
      <c r="B2209" s="19">
        <v>17838100</v>
      </c>
    </row>
    <row r="2210" spans="1:2" x14ac:dyDescent="0.3">
      <c r="A2210" s="1" t="s">
        <v>6673</v>
      </c>
      <c r="B2210" s="19">
        <v>16500000</v>
      </c>
    </row>
    <row r="2211" spans="1:2" x14ac:dyDescent="0.3">
      <c r="A2211" s="1" t="s">
        <v>379</v>
      </c>
      <c r="B2211" s="19">
        <v>47288100</v>
      </c>
    </row>
    <row r="2212" spans="1:2" x14ac:dyDescent="0.3">
      <c r="A2212" s="1" t="s">
        <v>374</v>
      </c>
      <c r="B2212" s="19">
        <v>17990000</v>
      </c>
    </row>
    <row r="2213" spans="1:2" x14ac:dyDescent="0.3">
      <c r="A2213" s="1" t="s">
        <v>2390</v>
      </c>
      <c r="B2213" s="19">
        <v>11200000</v>
      </c>
    </row>
    <row r="2214" spans="1:2" x14ac:dyDescent="0.3">
      <c r="A2214" s="1" t="s">
        <v>2391</v>
      </c>
      <c r="B2214" s="19">
        <v>14600000</v>
      </c>
    </row>
    <row r="2215" spans="1:2" x14ac:dyDescent="0.3">
      <c r="A2215" s="1" t="s">
        <v>2392</v>
      </c>
      <c r="B2215" s="19">
        <v>10700000</v>
      </c>
    </row>
    <row r="2216" spans="1:2" x14ac:dyDescent="0.3">
      <c r="A2216" s="1" t="s">
        <v>2393</v>
      </c>
      <c r="B2216" s="19">
        <v>10200000</v>
      </c>
    </row>
    <row r="2217" spans="1:2" x14ac:dyDescent="0.3">
      <c r="A2217" s="1" t="s">
        <v>2394</v>
      </c>
      <c r="B2217" s="19">
        <v>26200000</v>
      </c>
    </row>
    <row r="2218" spans="1:2" x14ac:dyDescent="0.3">
      <c r="A2218" s="1" t="s">
        <v>2395</v>
      </c>
      <c r="B2218" s="19">
        <v>10500000</v>
      </c>
    </row>
    <row r="2219" spans="1:2" x14ac:dyDescent="0.3">
      <c r="A2219" s="1" t="s">
        <v>2396</v>
      </c>
      <c r="B2219" s="19">
        <v>5700000</v>
      </c>
    </row>
    <row r="2220" spans="1:2" x14ac:dyDescent="0.3">
      <c r="A2220" s="1" t="s">
        <v>2397</v>
      </c>
      <c r="B2220" s="19">
        <v>16800000</v>
      </c>
    </row>
    <row r="2221" spans="1:2" x14ac:dyDescent="0.3">
      <c r="A2221" s="1" t="s">
        <v>2398</v>
      </c>
      <c r="B2221" s="19">
        <v>11000000</v>
      </c>
    </row>
    <row r="2222" spans="1:2" x14ac:dyDescent="0.3">
      <c r="A2222" s="1" t="s">
        <v>2399</v>
      </c>
      <c r="B2222" s="19">
        <v>7300000</v>
      </c>
    </row>
    <row r="2223" spans="1:2" x14ac:dyDescent="0.3">
      <c r="A2223" s="1" t="s">
        <v>2400</v>
      </c>
      <c r="B2223" s="19">
        <v>8000000</v>
      </c>
    </row>
    <row r="2224" spans="1:2" x14ac:dyDescent="0.3">
      <c r="A2224" s="1" t="s">
        <v>2401</v>
      </c>
      <c r="B2224" s="19">
        <v>10700000</v>
      </c>
    </row>
    <row r="2225" spans="1:2" x14ac:dyDescent="0.3">
      <c r="A2225" s="1" t="s">
        <v>1023</v>
      </c>
      <c r="B2225" s="19">
        <v>9000000</v>
      </c>
    </row>
    <row r="2226" spans="1:2" x14ac:dyDescent="0.3">
      <c r="A2226" s="1" t="s">
        <v>2402</v>
      </c>
      <c r="B2226" s="19">
        <v>9300000</v>
      </c>
    </row>
    <row r="2227" spans="1:2" x14ac:dyDescent="0.3">
      <c r="A2227" s="1" t="s">
        <v>2403</v>
      </c>
      <c r="B2227" s="19">
        <v>9700000</v>
      </c>
    </row>
    <row r="2228" spans="1:2" x14ac:dyDescent="0.3">
      <c r="A2228" s="1" t="s">
        <v>2404</v>
      </c>
      <c r="B2228" s="19">
        <v>17000000</v>
      </c>
    </row>
    <row r="2229" spans="1:2" x14ac:dyDescent="0.3">
      <c r="A2229" s="1" t="s">
        <v>2405</v>
      </c>
      <c r="B2229" s="19">
        <v>15000000</v>
      </c>
    </row>
    <row r="2230" spans="1:2" x14ac:dyDescent="0.3">
      <c r="A2230" s="1" t="s">
        <v>2406</v>
      </c>
      <c r="B2230" s="19">
        <v>16500000</v>
      </c>
    </row>
    <row r="2231" spans="1:2" x14ac:dyDescent="0.3">
      <c r="A2231" s="1" t="s">
        <v>2407</v>
      </c>
      <c r="B2231" s="19">
        <v>21300000</v>
      </c>
    </row>
    <row r="2232" spans="1:2" x14ac:dyDescent="0.3">
      <c r="A2232" s="1" t="s">
        <v>2408</v>
      </c>
      <c r="B2232" s="19">
        <v>17000000</v>
      </c>
    </row>
    <row r="2233" spans="1:2" x14ac:dyDescent="0.3">
      <c r="A2233" s="1" t="s">
        <v>2409</v>
      </c>
      <c r="B2233" s="19">
        <v>8000000</v>
      </c>
    </row>
    <row r="2234" spans="1:2" x14ac:dyDescent="0.3">
      <c r="A2234" s="1" t="s">
        <v>2410</v>
      </c>
      <c r="B2234" s="19">
        <v>7068000</v>
      </c>
    </row>
    <row r="2235" spans="1:2" x14ac:dyDescent="0.3">
      <c r="A2235" s="1" t="s">
        <v>2411</v>
      </c>
      <c r="B2235" s="19">
        <v>17500000</v>
      </c>
    </row>
    <row r="2236" spans="1:2" x14ac:dyDescent="0.3">
      <c r="A2236" s="1" t="s">
        <v>2412</v>
      </c>
      <c r="B2236" s="19">
        <v>9500000</v>
      </c>
    </row>
    <row r="2237" spans="1:2" x14ac:dyDescent="0.3">
      <c r="A2237" s="1" t="s">
        <v>2413</v>
      </c>
      <c r="B2237" s="19">
        <v>7500000</v>
      </c>
    </row>
    <row r="2238" spans="1:2" x14ac:dyDescent="0.3">
      <c r="A2238" s="1" t="s">
        <v>2414</v>
      </c>
      <c r="B2238" s="19">
        <v>10200000</v>
      </c>
    </row>
    <row r="2239" spans="1:2" x14ac:dyDescent="0.3">
      <c r="A2239" s="1" t="s">
        <v>2415</v>
      </c>
      <c r="B2239" s="19">
        <v>13500000</v>
      </c>
    </row>
    <row r="2240" spans="1:2" x14ac:dyDescent="0.3">
      <c r="A2240" s="1" t="s">
        <v>2416</v>
      </c>
      <c r="B2240" s="19">
        <v>15000000</v>
      </c>
    </row>
    <row r="2241" spans="1:2" x14ac:dyDescent="0.3">
      <c r="A2241" s="1" t="s">
        <v>2417</v>
      </c>
      <c r="B2241" s="19">
        <v>10300000</v>
      </c>
    </row>
    <row r="2242" spans="1:2" x14ac:dyDescent="0.3">
      <c r="A2242" s="1" t="s">
        <v>2418</v>
      </c>
      <c r="B2242" s="19">
        <v>23800000</v>
      </c>
    </row>
    <row r="2243" spans="1:2" x14ac:dyDescent="0.3">
      <c r="A2243" s="1" t="s">
        <v>2419</v>
      </c>
      <c r="B2243" s="19">
        <v>41000000</v>
      </c>
    </row>
    <row r="2244" spans="1:2" x14ac:dyDescent="0.3">
      <c r="A2244" s="1" t="s">
        <v>2420</v>
      </c>
      <c r="B2244" s="19">
        <v>11500000</v>
      </c>
    </row>
    <row r="2245" spans="1:2" x14ac:dyDescent="0.3">
      <c r="A2245" s="1" t="s">
        <v>2421</v>
      </c>
      <c r="B2245" s="19">
        <v>27700000</v>
      </c>
    </row>
    <row r="2246" spans="1:2" x14ac:dyDescent="0.3">
      <c r="A2246" s="1" t="s">
        <v>2422</v>
      </c>
      <c r="B2246" s="19">
        <v>10000000</v>
      </c>
    </row>
    <row r="2247" spans="1:2" x14ac:dyDescent="0.3">
      <c r="A2247" s="1" t="s">
        <v>2423</v>
      </c>
      <c r="B2247" s="19">
        <v>11000000</v>
      </c>
    </row>
    <row r="2248" spans="1:2" x14ac:dyDescent="0.3">
      <c r="A2248" s="1" t="s">
        <v>2424</v>
      </c>
      <c r="B2248" s="19">
        <v>16000000</v>
      </c>
    </row>
    <row r="2249" spans="1:2" x14ac:dyDescent="0.3">
      <c r="A2249" s="1" t="s">
        <v>2425</v>
      </c>
      <c r="B2249" s="19">
        <v>9400000</v>
      </c>
    </row>
    <row r="2250" spans="1:2" x14ac:dyDescent="0.3">
      <c r="A2250" s="1" t="s">
        <v>2426</v>
      </c>
      <c r="B2250" s="19">
        <v>13300000</v>
      </c>
    </row>
    <row r="2251" spans="1:2" x14ac:dyDescent="0.3">
      <c r="A2251" s="1" t="s">
        <v>2427</v>
      </c>
      <c r="B2251" s="19">
        <v>19000000</v>
      </c>
    </row>
    <row r="2252" spans="1:2" x14ac:dyDescent="0.3">
      <c r="A2252" s="1" t="s">
        <v>2428</v>
      </c>
      <c r="B2252" s="19">
        <v>12700000</v>
      </c>
    </row>
    <row r="2253" spans="1:2" x14ac:dyDescent="0.3">
      <c r="A2253" s="1" t="s">
        <v>1191</v>
      </c>
      <c r="B2253" s="19">
        <v>8000000</v>
      </c>
    </row>
    <row r="2254" spans="1:2" x14ac:dyDescent="0.3">
      <c r="A2254" s="1" t="s">
        <v>2429</v>
      </c>
      <c r="B2254" s="19">
        <v>12100000</v>
      </c>
    </row>
    <row r="2255" spans="1:2" x14ac:dyDescent="0.3">
      <c r="A2255" s="1" t="s">
        <v>2430</v>
      </c>
      <c r="B2255" s="19">
        <v>8000000</v>
      </c>
    </row>
    <row r="2256" spans="1:2" x14ac:dyDescent="0.3">
      <c r="A2256" s="1" t="s">
        <v>2431</v>
      </c>
      <c r="B2256" s="19">
        <v>9900000</v>
      </c>
    </row>
    <row r="2257" spans="1:2" x14ac:dyDescent="0.3">
      <c r="A2257" s="1" t="s">
        <v>2432</v>
      </c>
      <c r="B2257" s="19">
        <v>12000000</v>
      </c>
    </row>
    <row r="2258" spans="1:2" x14ac:dyDescent="0.3">
      <c r="A2258" s="1" t="s">
        <v>2433</v>
      </c>
      <c r="B2258" s="19">
        <v>5200000</v>
      </c>
    </row>
    <row r="2259" spans="1:2" x14ac:dyDescent="0.3">
      <c r="A2259" s="1" t="s">
        <v>2434</v>
      </c>
      <c r="B2259" s="19">
        <v>10000000</v>
      </c>
    </row>
    <row r="2260" spans="1:2" x14ac:dyDescent="0.3">
      <c r="A2260" s="1" t="s">
        <v>2435</v>
      </c>
      <c r="B2260" s="19">
        <v>6150000</v>
      </c>
    </row>
    <row r="2261" spans="1:2" x14ac:dyDescent="0.3">
      <c r="A2261" s="1" t="s">
        <v>2436</v>
      </c>
      <c r="B2261" s="19">
        <v>6200000</v>
      </c>
    </row>
    <row r="2262" spans="1:2" x14ac:dyDescent="0.3">
      <c r="A2262" s="1" t="s">
        <v>2437</v>
      </c>
      <c r="B2262" s="19">
        <v>5700000</v>
      </c>
    </row>
    <row r="2263" spans="1:2" x14ac:dyDescent="0.3">
      <c r="A2263" s="1" t="s">
        <v>2438</v>
      </c>
      <c r="B2263" s="19">
        <v>16000000</v>
      </c>
    </row>
    <row r="2264" spans="1:2" x14ac:dyDescent="0.3">
      <c r="A2264" s="1" t="s">
        <v>2439</v>
      </c>
      <c r="B2264" s="19">
        <v>6500000</v>
      </c>
    </row>
    <row r="2265" spans="1:2" x14ac:dyDescent="0.3">
      <c r="A2265" s="1" t="s">
        <v>2440</v>
      </c>
      <c r="B2265" s="19">
        <v>7600000</v>
      </c>
    </row>
    <row r="2266" spans="1:2" x14ac:dyDescent="0.3">
      <c r="A2266" s="1" t="s">
        <v>2441</v>
      </c>
      <c r="B2266" s="19">
        <v>54000000</v>
      </c>
    </row>
    <row r="2267" spans="1:2" x14ac:dyDescent="0.3">
      <c r="A2267" s="1" t="s">
        <v>2442</v>
      </c>
      <c r="B2267" s="19">
        <v>2800000</v>
      </c>
    </row>
    <row r="2268" spans="1:2" x14ac:dyDescent="0.3">
      <c r="A2268" s="1" t="s">
        <v>2443</v>
      </c>
      <c r="B2268" s="19">
        <v>6200000</v>
      </c>
    </row>
    <row r="2269" spans="1:2" x14ac:dyDescent="0.3">
      <c r="A2269" s="1" t="s">
        <v>2444</v>
      </c>
      <c r="B2269" s="19">
        <v>18000000</v>
      </c>
    </row>
    <row r="2270" spans="1:2" x14ac:dyDescent="0.3">
      <c r="A2270" s="1" t="s">
        <v>2445</v>
      </c>
      <c r="B2270" s="19">
        <v>12800000</v>
      </c>
    </row>
    <row r="2271" spans="1:2" x14ac:dyDescent="0.3">
      <c r="A2271" s="1" t="s">
        <v>2446</v>
      </c>
      <c r="B2271" s="19">
        <v>15000000</v>
      </c>
    </row>
    <row r="2272" spans="1:2" x14ac:dyDescent="0.3">
      <c r="A2272" s="1" t="s">
        <v>2447</v>
      </c>
      <c r="B2272" s="19">
        <v>17000000</v>
      </c>
    </row>
    <row r="2273" spans="1:2" x14ac:dyDescent="0.3">
      <c r="A2273" s="1" t="s">
        <v>2448</v>
      </c>
      <c r="B2273" s="19">
        <v>10000000</v>
      </c>
    </row>
    <row r="2274" spans="1:2" x14ac:dyDescent="0.3">
      <c r="A2274" s="1" t="s">
        <v>2449</v>
      </c>
      <c r="B2274" s="19">
        <v>16000000</v>
      </c>
    </row>
    <row r="2275" spans="1:2" x14ac:dyDescent="0.3">
      <c r="A2275" s="1" t="s">
        <v>2450</v>
      </c>
      <c r="B2275" s="19">
        <v>6000000</v>
      </c>
    </row>
    <row r="2276" spans="1:2" x14ac:dyDescent="0.3">
      <c r="A2276" s="1" t="s">
        <v>2451</v>
      </c>
      <c r="B2276" s="19">
        <v>10500000</v>
      </c>
    </row>
    <row r="2277" spans="1:2" x14ac:dyDescent="0.3">
      <c r="A2277" s="1" t="s">
        <v>2452</v>
      </c>
      <c r="B2277" s="19">
        <v>7100000</v>
      </c>
    </row>
    <row r="2278" spans="1:2" x14ac:dyDescent="0.3">
      <c r="A2278" s="1" t="s">
        <v>2453</v>
      </c>
      <c r="B2278" s="19">
        <v>16900000</v>
      </c>
    </row>
    <row r="2279" spans="1:2" x14ac:dyDescent="0.3">
      <c r="A2279" s="1" t="s">
        <v>2454</v>
      </c>
      <c r="B2279" s="19">
        <v>17000000</v>
      </c>
    </row>
    <row r="2280" spans="1:2" x14ac:dyDescent="0.3">
      <c r="A2280" s="1" t="s">
        <v>2455</v>
      </c>
      <c r="B2280" s="19">
        <v>21500000</v>
      </c>
    </row>
    <row r="2281" spans="1:2" x14ac:dyDescent="0.3">
      <c r="A2281" s="1" t="s">
        <v>2456</v>
      </c>
      <c r="B2281" s="19">
        <v>5800000</v>
      </c>
    </row>
    <row r="2282" spans="1:2" x14ac:dyDescent="0.3">
      <c r="A2282" s="1" t="s">
        <v>1643</v>
      </c>
      <c r="B2282" s="19">
        <v>16800000</v>
      </c>
    </row>
    <row r="2283" spans="1:2" x14ac:dyDescent="0.3">
      <c r="A2283" s="1" t="s">
        <v>2457</v>
      </c>
      <c r="B2283" s="19">
        <v>10000000</v>
      </c>
    </row>
    <row r="2284" spans="1:2" x14ac:dyDescent="0.3">
      <c r="A2284" s="1" t="s">
        <v>2458</v>
      </c>
      <c r="B2284" s="19">
        <v>9000000</v>
      </c>
    </row>
    <row r="2285" spans="1:2" x14ac:dyDescent="0.3">
      <c r="A2285" s="1" t="s">
        <v>2459</v>
      </c>
      <c r="B2285" s="19">
        <v>10000000</v>
      </c>
    </row>
    <row r="2286" spans="1:2" x14ac:dyDescent="0.3">
      <c r="A2286" s="1" t="s">
        <v>2460</v>
      </c>
      <c r="B2286" s="19">
        <v>7300000</v>
      </c>
    </row>
    <row r="2287" spans="1:2" x14ac:dyDescent="0.3">
      <c r="A2287" s="1" t="s">
        <v>2461</v>
      </c>
      <c r="B2287" s="19">
        <v>5800000</v>
      </c>
    </row>
    <row r="2288" spans="1:2" x14ac:dyDescent="0.3">
      <c r="A2288" s="1" t="s">
        <v>2462</v>
      </c>
      <c r="B2288" s="19">
        <v>12700000</v>
      </c>
    </row>
    <row r="2289" spans="1:2" x14ac:dyDescent="0.3">
      <c r="A2289" s="1" t="s">
        <v>2463</v>
      </c>
      <c r="B2289" s="19">
        <v>16600000</v>
      </c>
    </row>
    <row r="2290" spans="1:2" x14ac:dyDescent="0.3">
      <c r="A2290" s="1" t="s">
        <v>2464</v>
      </c>
      <c r="B2290" s="19">
        <v>4300000</v>
      </c>
    </row>
    <row r="2291" spans="1:2" x14ac:dyDescent="0.3">
      <c r="A2291" s="1" t="s">
        <v>2465</v>
      </c>
      <c r="B2291" s="19">
        <v>7500000</v>
      </c>
    </row>
    <row r="2292" spans="1:2" x14ac:dyDescent="0.3">
      <c r="A2292" s="1" t="s">
        <v>2466</v>
      </c>
      <c r="B2292" s="19">
        <v>12500000</v>
      </c>
    </row>
    <row r="2293" spans="1:2" x14ac:dyDescent="0.3">
      <c r="A2293" s="1" t="s">
        <v>2467</v>
      </c>
      <c r="B2293" s="19">
        <v>13000000</v>
      </c>
    </row>
    <row r="2294" spans="1:2" x14ac:dyDescent="0.3">
      <c r="A2294" s="1" t="s">
        <v>2468</v>
      </c>
      <c r="B2294" s="19">
        <v>12500000</v>
      </c>
    </row>
    <row r="2295" spans="1:2" x14ac:dyDescent="0.3">
      <c r="A2295" s="1" t="s">
        <v>2469</v>
      </c>
      <c r="B2295" s="19">
        <v>4000000</v>
      </c>
    </row>
    <row r="2296" spans="1:2" x14ac:dyDescent="0.3">
      <c r="A2296" s="1" t="s">
        <v>2470</v>
      </c>
      <c r="B2296" s="19">
        <v>21000000</v>
      </c>
    </row>
    <row r="2297" spans="1:2" x14ac:dyDescent="0.3">
      <c r="A2297" s="1" t="s">
        <v>2471</v>
      </c>
      <c r="B2297" s="19">
        <v>16000000</v>
      </c>
    </row>
    <row r="2298" spans="1:2" x14ac:dyDescent="0.3">
      <c r="A2298" s="1" t="s">
        <v>2472</v>
      </c>
      <c r="B2298" s="19">
        <v>18500000</v>
      </c>
    </row>
    <row r="2299" spans="1:2" x14ac:dyDescent="0.3">
      <c r="A2299" s="1" t="s">
        <v>2473</v>
      </c>
      <c r="B2299" s="19">
        <v>6000000</v>
      </c>
    </row>
    <row r="2300" spans="1:2" x14ac:dyDescent="0.3">
      <c r="A2300" s="1" t="s">
        <v>2474</v>
      </c>
      <c r="B2300" s="19">
        <v>10200000</v>
      </c>
    </row>
    <row r="2301" spans="1:2" x14ac:dyDescent="0.3">
      <c r="A2301" s="1" t="s">
        <v>2475</v>
      </c>
      <c r="B2301" s="19">
        <v>6100000</v>
      </c>
    </row>
    <row r="2302" spans="1:2" x14ac:dyDescent="0.3">
      <c r="A2302" s="1" t="s">
        <v>2476</v>
      </c>
      <c r="B2302" s="19">
        <v>20000000</v>
      </c>
    </row>
    <row r="2303" spans="1:2" x14ac:dyDescent="0.3">
      <c r="A2303" s="1" t="s">
        <v>2477</v>
      </c>
      <c r="B2303" s="19">
        <v>9500000</v>
      </c>
    </row>
    <row r="2304" spans="1:2" x14ac:dyDescent="0.3">
      <c r="A2304" s="1" t="s">
        <v>2478</v>
      </c>
      <c r="B2304" s="19">
        <v>15000000</v>
      </c>
    </row>
    <row r="2305" spans="1:2" x14ac:dyDescent="0.3">
      <c r="A2305" s="1" t="s">
        <v>2479</v>
      </c>
      <c r="B2305" s="19">
        <v>5750000</v>
      </c>
    </row>
    <row r="2306" spans="1:2" x14ac:dyDescent="0.3">
      <c r="A2306" s="1" t="s">
        <v>2480</v>
      </c>
      <c r="B2306" s="19">
        <v>13000000</v>
      </c>
    </row>
    <row r="2307" spans="1:2" x14ac:dyDescent="0.3">
      <c r="A2307" s="1" t="s">
        <v>2481</v>
      </c>
      <c r="B2307" s="19">
        <v>21000000</v>
      </c>
    </row>
    <row r="2308" spans="1:2" x14ac:dyDescent="0.3">
      <c r="A2308" s="1" t="s">
        <v>2482</v>
      </c>
      <c r="B2308" s="19">
        <v>16700000</v>
      </c>
    </row>
    <row r="2309" spans="1:2" x14ac:dyDescent="0.3">
      <c r="A2309" s="1" t="s">
        <v>2483</v>
      </c>
      <c r="B2309" s="19">
        <v>15000000</v>
      </c>
    </row>
    <row r="2310" spans="1:2" x14ac:dyDescent="0.3">
      <c r="A2310" s="1" t="s">
        <v>2484</v>
      </c>
      <c r="B2310" s="19">
        <v>9000000</v>
      </c>
    </row>
    <row r="2311" spans="1:2" x14ac:dyDescent="0.3">
      <c r="A2311" s="1" t="s">
        <v>2485</v>
      </c>
      <c r="B2311" s="19">
        <v>16000000</v>
      </c>
    </row>
    <row r="2312" spans="1:2" x14ac:dyDescent="0.3">
      <c r="A2312" s="1" t="s">
        <v>2486</v>
      </c>
      <c r="B2312" s="19">
        <v>8700000</v>
      </c>
    </row>
    <row r="2313" spans="1:2" x14ac:dyDescent="0.3">
      <c r="A2313" s="1" t="s">
        <v>2487</v>
      </c>
      <c r="B2313" s="19">
        <v>7800000</v>
      </c>
    </row>
    <row r="2314" spans="1:2" x14ac:dyDescent="0.3">
      <c r="A2314" s="1" t="s">
        <v>2488</v>
      </c>
      <c r="B2314" s="19">
        <v>14500000</v>
      </c>
    </row>
    <row r="2315" spans="1:2" x14ac:dyDescent="0.3">
      <c r="A2315" s="1" t="s">
        <v>2489</v>
      </c>
      <c r="B2315" s="19">
        <v>19000000</v>
      </c>
    </row>
    <row r="2316" spans="1:2" x14ac:dyDescent="0.3">
      <c r="A2316" s="1" t="s">
        <v>2490</v>
      </c>
      <c r="B2316" s="19">
        <v>16500000</v>
      </c>
    </row>
    <row r="2317" spans="1:2" x14ac:dyDescent="0.3">
      <c r="A2317" s="1" t="s">
        <v>2491</v>
      </c>
      <c r="B2317" s="19">
        <v>6500000</v>
      </c>
    </row>
    <row r="2318" spans="1:2" x14ac:dyDescent="0.3">
      <c r="A2318" s="1" t="s">
        <v>2492</v>
      </c>
      <c r="B2318" s="19">
        <v>16790000</v>
      </c>
    </row>
    <row r="2319" spans="1:2" x14ac:dyDescent="0.3">
      <c r="A2319" s="1" t="s">
        <v>2493</v>
      </c>
      <c r="B2319" s="19">
        <v>7150000</v>
      </c>
    </row>
    <row r="2320" spans="1:2" x14ac:dyDescent="0.3">
      <c r="A2320" s="1" t="s">
        <v>2494</v>
      </c>
      <c r="B2320" s="19">
        <v>9700000</v>
      </c>
    </row>
    <row r="2321" spans="1:2" x14ac:dyDescent="0.3">
      <c r="A2321" s="1" t="s">
        <v>2495</v>
      </c>
      <c r="B2321" s="19">
        <v>7800000</v>
      </c>
    </row>
    <row r="2322" spans="1:2" x14ac:dyDescent="0.3">
      <c r="A2322" s="1" t="s">
        <v>2496</v>
      </c>
      <c r="B2322" s="19">
        <v>9800000</v>
      </c>
    </row>
    <row r="2323" spans="1:2" x14ac:dyDescent="0.3">
      <c r="A2323" s="1" t="s">
        <v>2497</v>
      </c>
      <c r="B2323" s="19">
        <v>9300000</v>
      </c>
    </row>
    <row r="2324" spans="1:2" x14ac:dyDescent="0.3">
      <c r="A2324" s="1" t="s">
        <v>2498</v>
      </c>
      <c r="B2324" s="19">
        <v>13000000</v>
      </c>
    </row>
    <row r="2325" spans="1:2" x14ac:dyDescent="0.3">
      <c r="A2325" s="1" t="s">
        <v>2499</v>
      </c>
      <c r="B2325" s="19">
        <v>18000000</v>
      </c>
    </row>
    <row r="2326" spans="1:2" x14ac:dyDescent="0.3">
      <c r="A2326" s="1" t="s">
        <v>2500</v>
      </c>
      <c r="B2326" s="19">
        <v>6000000</v>
      </c>
    </row>
    <row r="2327" spans="1:2" x14ac:dyDescent="0.3">
      <c r="A2327" s="1" t="s">
        <v>2501</v>
      </c>
      <c r="B2327" s="19">
        <v>8650000</v>
      </c>
    </row>
    <row r="2328" spans="1:2" x14ac:dyDescent="0.3">
      <c r="A2328" s="1" t="s">
        <v>2502</v>
      </c>
      <c r="B2328" s="19">
        <v>6800000</v>
      </c>
    </row>
    <row r="2329" spans="1:2" x14ac:dyDescent="0.3">
      <c r="A2329" s="1" t="s">
        <v>2503</v>
      </c>
      <c r="B2329" s="19">
        <v>12900000</v>
      </c>
    </row>
    <row r="2330" spans="1:2" x14ac:dyDescent="0.3">
      <c r="A2330" s="1" t="s">
        <v>2504</v>
      </c>
      <c r="B2330" s="19">
        <v>6200000</v>
      </c>
    </row>
    <row r="2331" spans="1:2" x14ac:dyDescent="0.3">
      <c r="A2331" s="1" t="s">
        <v>2505</v>
      </c>
      <c r="B2331" s="19">
        <v>12000000</v>
      </c>
    </row>
    <row r="2332" spans="1:2" x14ac:dyDescent="0.3">
      <c r="A2332" s="1" t="s">
        <v>2506</v>
      </c>
      <c r="B2332" s="19">
        <v>6700000</v>
      </c>
    </row>
    <row r="2333" spans="1:2" x14ac:dyDescent="0.3">
      <c r="A2333" s="1" t="s">
        <v>2507</v>
      </c>
      <c r="B2333" s="19">
        <v>6000000</v>
      </c>
    </row>
    <row r="2334" spans="1:2" x14ac:dyDescent="0.3">
      <c r="A2334" s="1" t="s">
        <v>2508</v>
      </c>
      <c r="B2334" s="19">
        <v>7000000</v>
      </c>
    </row>
    <row r="2335" spans="1:2" x14ac:dyDescent="0.3">
      <c r="A2335" s="1" t="s">
        <v>2509</v>
      </c>
      <c r="B2335" s="19">
        <v>15500000</v>
      </c>
    </row>
    <row r="2336" spans="1:2" x14ac:dyDescent="0.3">
      <c r="A2336" s="1" t="s">
        <v>2510</v>
      </c>
      <c r="B2336" s="19">
        <v>19000000</v>
      </c>
    </row>
    <row r="2337" spans="1:2" x14ac:dyDescent="0.3">
      <c r="A2337" s="1" t="s">
        <v>2511</v>
      </c>
      <c r="B2337" s="19">
        <v>5600000</v>
      </c>
    </row>
    <row r="2338" spans="1:2" x14ac:dyDescent="0.3">
      <c r="A2338" s="1" t="s">
        <v>2512</v>
      </c>
      <c r="B2338" s="19">
        <v>6000000</v>
      </c>
    </row>
    <row r="2339" spans="1:2" x14ac:dyDescent="0.3">
      <c r="A2339" s="1" t="s">
        <v>2513</v>
      </c>
      <c r="B2339" s="19">
        <v>22500000</v>
      </c>
    </row>
    <row r="2340" spans="1:2" x14ac:dyDescent="0.3">
      <c r="A2340" s="1" t="s">
        <v>2514</v>
      </c>
      <c r="B2340" s="19">
        <v>12000000</v>
      </c>
    </row>
    <row r="2341" spans="1:2" x14ac:dyDescent="0.3">
      <c r="A2341" s="1" t="s">
        <v>2515</v>
      </c>
      <c r="B2341" s="19">
        <v>37000000</v>
      </c>
    </row>
    <row r="2342" spans="1:2" x14ac:dyDescent="0.3">
      <c r="A2342" s="1" t="s">
        <v>2516</v>
      </c>
      <c r="B2342" s="19">
        <v>11000000</v>
      </c>
    </row>
    <row r="2343" spans="1:2" x14ac:dyDescent="0.3">
      <c r="A2343" s="1" t="s">
        <v>2517</v>
      </c>
      <c r="B2343" s="19">
        <v>10500000</v>
      </c>
    </row>
    <row r="2344" spans="1:2" x14ac:dyDescent="0.3">
      <c r="A2344" s="1" t="s">
        <v>2518</v>
      </c>
      <c r="B2344" s="19">
        <v>21500000</v>
      </c>
    </row>
    <row r="2345" spans="1:2" x14ac:dyDescent="0.3">
      <c r="A2345" s="1" t="s">
        <v>2519</v>
      </c>
      <c r="B2345" s="19">
        <v>15700000</v>
      </c>
    </row>
    <row r="2346" spans="1:2" x14ac:dyDescent="0.3">
      <c r="A2346" s="1" t="s">
        <v>2520</v>
      </c>
      <c r="B2346" s="19">
        <v>15500000</v>
      </c>
    </row>
    <row r="2347" spans="1:2" x14ac:dyDescent="0.3">
      <c r="A2347" s="1" t="s">
        <v>2521</v>
      </c>
      <c r="B2347" s="19">
        <v>12600000</v>
      </c>
    </row>
    <row r="2348" spans="1:2" x14ac:dyDescent="0.3">
      <c r="A2348" s="1" t="s">
        <v>2522</v>
      </c>
      <c r="B2348" s="19">
        <v>11800000</v>
      </c>
    </row>
    <row r="2349" spans="1:2" x14ac:dyDescent="0.3">
      <c r="A2349" s="1" t="s">
        <v>2523</v>
      </c>
      <c r="B2349" s="19">
        <v>8750000</v>
      </c>
    </row>
    <row r="2350" spans="1:2" x14ac:dyDescent="0.3">
      <c r="A2350" s="1" t="s">
        <v>2524</v>
      </c>
      <c r="B2350" s="19">
        <v>6500000</v>
      </c>
    </row>
    <row r="2351" spans="1:2" x14ac:dyDescent="0.3">
      <c r="A2351" s="1" t="s">
        <v>2525</v>
      </c>
      <c r="B2351" s="19">
        <v>6800000</v>
      </c>
    </row>
    <row r="2352" spans="1:2" x14ac:dyDescent="0.3">
      <c r="A2352" s="1" t="s">
        <v>2526</v>
      </c>
      <c r="B2352" s="19">
        <v>35000000</v>
      </c>
    </row>
    <row r="2353" spans="1:2" x14ac:dyDescent="0.3">
      <c r="A2353" s="1" t="s">
        <v>2527</v>
      </c>
      <c r="B2353" s="19">
        <v>18600000</v>
      </c>
    </row>
    <row r="2354" spans="1:2" x14ac:dyDescent="0.3">
      <c r="A2354" s="1" t="s">
        <v>2528</v>
      </c>
      <c r="B2354" s="19">
        <v>28400000</v>
      </c>
    </row>
    <row r="2355" spans="1:2" x14ac:dyDescent="0.3">
      <c r="A2355" s="1" t="s">
        <v>2529</v>
      </c>
      <c r="B2355" s="19">
        <v>20400000</v>
      </c>
    </row>
    <row r="2356" spans="1:2" x14ac:dyDescent="0.3">
      <c r="A2356" s="1" t="s">
        <v>2530</v>
      </c>
      <c r="B2356" s="19">
        <v>18600000</v>
      </c>
    </row>
    <row r="2357" spans="1:2" x14ac:dyDescent="0.3">
      <c r="A2357" s="1" t="s">
        <v>2531</v>
      </c>
      <c r="B2357" s="19">
        <v>10200000</v>
      </c>
    </row>
    <row r="2358" spans="1:2" x14ac:dyDescent="0.3">
      <c r="A2358" s="1" t="s">
        <v>2530</v>
      </c>
      <c r="B2358" s="19">
        <v>18600000</v>
      </c>
    </row>
    <row r="2359" spans="1:2" x14ac:dyDescent="0.3">
      <c r="A2359" s="1" t="s">
        <v>2532</v>
      </c>
      <c r="B2359" s="19">
        <v>14500000</v>
      </c>
    </row>
    <row r="2360" spans="1:2" x14ac:dyDescent="0.3">
      <c r="A2360" s="1" t="s">
        <v>2533</v>
      </c>
      <c r="B2360" s="19">
        <v>9000000</v>
      </c>
    </row>
    <row r="2361" spans="1:2" x14ac:dyDescent="0.3">
      <c r="A2361" s="1" t="s">
        <v>2534</v>
      </c>
      <c r="B2361" s="19">
        <v>13500000</v>
      </c>
    </row>
    <row r="2362" spans="1:2" x14ac:dyDescent="0.3">
      <c r="A2362" s="1" t="s">
        <v>2535</v>
      </c>
      <c r="B2362" s="19">
        <v>6600000</v>
      </c>
    </row>
    <row r="2363" spans="1:2" x14ac:dyDescent="0.3">
      <c r="A2363" s="1" t="s">
        <v>2536</v>
      </c>
      <c r="B2363" s="19">
        <v>16500000</v>
      </c>
    </row>
    <row r="2364" spans="1:2" x14ac:dyDescent="0.3">
      <c r="A2364" s="1" t="s">
        <v>2537</v>
      </c>
      <c r="B2364" s="19">
        <v>5500000</v>
      </c>
    </row>
    <row r="2365" spans="1:2" x14ac:dyDescent="0.3">
      <c r="A2365" s="1" t="s">
        <v>2538</v>
      </c>
      <c r="B2365" s="19">
        <v>12100000</v>
      </c>
    </row>
    <row r="2366" spans="1:2" x14ac:dyDescent="0.3">
      <c r="A2366" s="1" t="s">
        <v>2539</v>
      </c>
      <c r="B2366" s="19">
        <v>12000000</v>
      </c>
    </row>
    <row r="2367" spans="1:2" x14ac:dyDescent="0.3">
      <c r="A2367" s="1" t="s">
        <v>2540</v>
      </c>
      <c r="B2367" s="19">
        <v>20000000</v>
      </c>
    </row>
    <row r="2368" spans="1:2" x14ac:dyDescent="0.3">
      <c r="A2368" s="1" t="s">
        <v>2541</v>
      </c>
      <c r="B2368" s="19">
        <v>9000000</v>
      </c>
    </row>
    <row r="2369" spans="1:2" x14ac:dyDescent="0.3">
      <c r="A2369" s="1" t="s">
        <v>2542</v>
      </c>
      <c r="B2369" s="19">
        <v>9800000</v>
      </c>
    </row>
    <row r="2370" spans="1:2" x14ac:dyDescent="0.3">
      <c r="A2370" s="1" t="s">
        <v>2543</v>
      </c>
      <c r="B2370" s="19">
        <v>8700000</v>
      </c>
    </row>
    <row r="2371" spans="1:2" x14ac:dyDescent="0.3">
      <c r="A2371" s="1" t="s">
        <v>2544</v>
      </c>
      <c r="B2371" s="19">
        <v>16900000</v>
      </c>
    </row>
    <row r="2372" spans="1:2" x14ac:dyDescent="0.3">
      <c r="A2372" s="1" t="s">
        <v>2545</v>
      </c>
      <c r="B2372" s="19">
        <v>13400000</v>
      </c>
    </row>
    <row r="2373" spans="1:2" x14ac:dyDescent="0.3">
      <c r="A2373" s="1" t="s">
        <v>2546</v>
      </c>
      <c r="B2373" s="19">
        <v>11000000</v>
      </c>
    </row>
    <row r="2374" spans="1:2" x14ac:dyDescent="0.3">
      <c r="A2374" s="1" t="s">
        <v>2547</v>
      </c>
      <c r="B2374" s="19">
        <v>10200000</v>
      </c>
    </row>
    <row r="2375" spans="1:2" x14ac:dyDescent="0.3">
      <c r="A2375" s="1" t="s">
        <v>2548</v>
      </c>
      <c r="B2375" s="19">
        <v>11000000</v>
      </c>
    </row>
    <row r="2376" spans="1:2" x14ac:dyDescent="0.3">
      <c r="A2376" s="1" t="s">
        <v>2549</v>
      </c>
      <c r="B2376" s="19">
        <v>10800000</v>
      </c>
    </row>
    <row r="2377" spans="1:2" x14ac:dyDescent="0.3">
      <c r="A2377" s="1" t="s">
        <v>2550</v>
      </c>
      <c r="B2377" s="19">
        <v>13500000</v>
      </c>
    </row>
    <row r="2378" spans="1:2" x14ac:dyDescent="0.3">
      <c r="A2378" s="1" t="s">
        <v>2551</v>
      </c>
      <c r="B2378" s="19">
        <v>9200000</v>
      </c>
    </row>
    <row r="2379" spans="1:2" x14ac:dyDescent="0.3">
      <c r="A2379" s="1" t="s">
        <v>2552</v>
      </c>
      <c r="B2379" s="19">
        <v>8900000</v>
      </c>
    </row>
    <row r="2380" spans="1:2" x14ac:dyDescent="0.3">
      <c r="A2380" s="1" t="s">
        <v>2553</v>
      </c>
      <c r="B2380" s="19">
        <v>16000000</v>
      </c>
    </row>
    <row r="2381" spans="1:2" x14ac:dyDescent="0.3">
      <c r="A2381" s="1" t="s">
        <v>2554</v>
      </c>
      <c r="B2381" s="19">
        <v>16950000</v>
      </c>
    </row>
    <row r="2382" spans="1:2" x14ac:dyDescent="0.3">
      <c r="A2382" s="1" t="s">
        <v>2555</v>
      </c>
      <c r="B2382" s="19">
        <v>14000000</v>
      </c>
    </row>
    <row r="2383" spans="1:2" x14ac:dyDescent="0.3">
      <c r="A2383" s="1" t="s">
        <v>2556</v>
      </c>
      <c r="B2383" s="19">
        <v>17700000</v>
      </c>
    </row>
    <row r="2384" spans="1:2" x14ac:dyDescent="0.3">
      <c r="A2384" s="1" t="s">
        <v>2557</v>
      </c>
      <c r="B2384" s="19">
        <v>15000000</v>
      </c>
    </row>
    <row r="2385" spans="1:2" x14ac:dyDescent="0.3">
      <c r="A2385" s="1" t="s">
        <v>2558</v>
      </c>
      <c r="B2385" s="19">
        <v>14800000</v>
      </c>
    </row>
    <row r="2386" spans="1:2" x14ac:dyDescent="0.3">
      <c r="A2386" s="1" t="s">
        <v>2559</v>
      </c>
      <c r="B2386" s="19">
        <v>13800000</v>
      </c>
    </row>
    <row r="2387" spans="1:2" x14ac:dyDescent="0.3">
      <c r="A2387" s="1" t="s">
        <v>2560</v>
      </c>
      <c r="B2387" s="19">
        <v>7900000</v>
      </c>
    </row>
    <row r="2388" spans="1:2" x14ac:dyDescent="0.3">
      <c r="A2388" s="1" t="s">
        <v>2171</v>
      </c>
      <c r="B2388" s="19">
        <v>7700000</v>
      </c>
    </row>
    <row r="2389" spans="1:2" x14ac:dyDescent="0.3">
      <c r="A2389" s="1" t="s">
        <v>2561</v>
      </c>
      <c r="B2389" s="19">
        <v>9500000</v>
      </c>
    </row>
    <row r="2390" spans="1:2" x14ac:dyDescent="0.3">
      <c r="A2390" s="1" t="s">
        <v>2562</v>
      </c>
      <c r="B2390" s="19">
        <v>9300000</v>
      </c>
    </row>
    <row r="2391" spans="1:2" x14ac:dyDescent="0.3">
      <c r="A2391" s="1" t="s">
        <v>2563</v>
      </c>
      <c r="B2391" s="19">
        <v>17000000</v>
      </c>
    </row>
    <row r="2392" spans="1:2" x14ac:dyDescent="0.3">
      <c r="A2392" s="1" t="s">
        <v>2564</v>
      </c>
      <c r="B2392" s="19">
        <v>34000000</v>
      </c>
    </row>
    <row r="2393" spans="1:2" x14ac:dyDescent="0.3">
      <c r="A2393" s="1" t="s">
        <v>2565</v>
      </c>
      <c r="B2393" s="19">
        <v>6750000</v>
      </c>
    </row>
    <row r="2394" spans="1:2" x14ac:dyDescent="0.3">
      <c r="A2394" s="1" t="s">
        <v>2566</v>
      </c>
      <c r="B2394" s="19">
        <v>17000000</v>
      </c>
    </row>
    <row r="2395" spans="1:2" x14ac:dyDescent="0.3">
      <c r="A2395" s="1" t="s">
        <v>2567</v>
      </c>
      <c r="B2395" s="19">
        <v>10500000</v>
      </c>
    </row>
    <row r="2396" spans="1:2" x14ac:dyDescent="0.3">
      <c r="A2396" s="1" t="s">
        <v>2568</v>
      </c>
      <c r="B2396" s="19">
        <v>17000000</v>
      </c>
    </row>
    <row r="2397" spans="1:2" x14ac:dyDescent="0.3">
      <c r="A2397" s="1" t="s">
        <v>2569</v>
      </c>
      <c r="B2397" s="19">
        <v>23000000</v>
      </c>
    </row>
    <row r="2398" spans="1:2" x14ac:dyDescent="0.3">
      <c r="A2398" s="1" t="s">
        <v>2570</v>
      </c>
      <c r="B2398" s="19">
        <v>7000000</v>
      </c>
    </row>
    <row r="2399" spans="1:2" x14ac:dyDescent="0.3">
      <c r="A2399" s="1" t="s">
        <v>2571</v>
      </c>
      <c r="B2399" s="19">
        <v>11500000</v>
      </c>
    </row>
    <row r="2400" spans="1:2" x14ac:dyDescent="0.3">
      <c r="A2400" s="1" t="s">
        <v>2572</v>
      </c>
      <c r="B2400" s="19">
        <v>8900000</v>
      </c>
    </row>
    <row r="2401" spans="1:2" x14ac:dyDescent="0.3">
      <c r="A2401" s="1" t="s">
        <v>2573</v>
      </c>
      <c r="B2401" s="19">
        <v>14300000</v>
      </c>
    </row>
    <row r="2402" spans="1:2" x14ac:dyDescent="0.3">
      <c r="A2402" s="1" t="s">
        <v>2574</v>
      </c>
      <c r="B2402" s="19">
        <v>12000000</v>
      </c>
    </row>
    <row r="2403" spans="1:2" x14ac:dyDescent="0.3">
      <c r="A2403" s="1" t="s">
        <v>2575</v>
      </c>
      <c r="B2403" s="19">
        <v>16500000</v>
      </c>
    </row>
    <row r="2404" spans="1:2" x14ac:dyDescent="0.3">
      <c r="A2404" s="1" t="s">
        <v>2576</v>
      </c>
      <c r="B2404" s="19">
        <v>8000000</v>
      </c>
    </row>
    <row r="2405" spans="1:2" x14ac:dyDescent="0.3">
      <c r="A2405" s="1" t="s">
        <v>2577</v>
      </c>
      <c r="B2405" s="19">
        <v>9000000</v>
      </c>
    </row>
    <row r="2406" spans="1:2" x14ac:dyDescent="0.3">
      <c r="A2406" s="1" t="s">
        <v>2578</v>
      </c>
      <c r="B2406" s="19">
        <v>10000000</v>
      </c>
    </row>
    <row r="2407" spans="1:2" x14ac:dyDescent="0.3">
      <c r="A2407" s="1" t="s">
        <v>2579</v>
      </c>
      <c r="B2407" s="19">
        <v>9500000</v>
      </c>
    </row>
    <row r="2408" spans="1:2" x14ac:dyDescent="0.3">
      <c r="A2408" s="1" t="s">
        <v>2580</v>
      </c>
      <c r="B2408" s="19">
        <v>14200000</v>
      </c>
    </row>
    <row r="2409" spans="1:2" x14ac:dyDescent="0.3">
      <c r="A2409" s="1" t="s">
        <v>2581</v>
      </c>
      <c r="B2409" s="19">
        <v>22000000</v>
      </c>
    </row>
    <row r="2410" spans="1:2" x14ac:dyDescent="0.3">
      <c r="A2410" s="1" t="s">
        <v>2582</v>
      </c>
      <c r="B2410" s="19">
        <v>8500000</v>
      </c>
    </row>
    <row r="2411" spans="1:2" x14ac:dyDescent="0.3">
      <c r="A2411" s="1" t="s">
        <v>2583</v>
      </c>
      <c r="B2411" s="19">
        <v>17900000</v>
      </c>
    </row>
    <row r="2412" spans="1:2" x14ac:dyDescent="0.3">
      <c r="A2412" s="1" t="s">
        <v>2584</v>
      </c>
      <c r="B2412" s="19">
        <v>25000000</v>
      </c>
    </row>
    <row r="2413" spans="1:2" x14ac:dyDescent="0.3">
      <c r="A2413" s="1" t="s">
        <v>2585</v>
      </c>
      <c r="B2413" s="19">
        <v>8000000</v>
      </c>
    </row>
    <row r="2414" spans="1:2" x14ac:dyDescent="0.3">
      <c r="A2414" s="1" t="s">
        <v>2586</v>
      </c>
      <c r="B2414" s="19">
        <v>6800000</v>
      </c>
    </row>
    <row r="2415" spans="1:2" x14ac:dyDescent="0.3">
      <c r="A2415" s="1" t="s">
        <v>2587</v>
      </c>
      <c r="B2415" s="19">
        <v>18800000</v>
      </c>
    </row>
    <row r="2416" spans="1:2" x14ac:dyDescent="0.3">
      <c r="A2416" s="1" t="s">
        <v>2588</v>
      </c>
      <c r="B2416" s="19">
        <v>16700000</v>
      </c>
    </row>
    <row r="2417" spans="1:2" x14ac:dyDescent="0.3">
      <c r="A2417" s="1" t="s">
        <v>2589</v>
      </c>
      <c r="B2417" s="19">
        <v>12800000</v>
      </c>
    </row>
    <row r="2418" spans="1:2" x14ac:dyDescent="0.3">
      <c r="A2418" s="1" t="s">
        <v>2590</v>
      </c>
      <c r="B2418" s="19">
        <v>12700000</v>
      </c>
    </row>
    <row r="2419" spans="1:2" x14ac:dyDescent="0.3">
      <c r="A2419" s="1" t="s">
        <v>2591</v>
      </c>
      <c r="B2419" s="19">
        <v>6800000</v>
      </c>
    </row>
    <row r="2420" spans="1:2" x14ac:dyDescent="0.3">
      <c r="A2420" s="1" t="s">
        <v>2592</v>
      </c>
      <c r="B2420" s="19">
        <v>8600000</v>
      </c>
    </row>
    <row r="2421" spans="1:2" x14ac:dyDescent="0.3">
      <c r="A2421" s="1" t="s">
        <v>2593</v>
      </c>
      <c r="B2421" s="19">
        <v>5500000</v>
      </c>
    </row>
    <row r="2422" spans="1:2" x14ac:dyDescent="0.3">
      <c r="A2422" s="1" t="s">
        <v>2594</v>
      </c>
      <c r="B2422" s="19">
        <v>5300000</v>
      </c>
    </row>
    <row r="2423" spans="1:2" x14ac:dyDescent="0.3">
      <c r="A2423" s="1" t="s">
        <v>2595</v>
      </c>
      <c r="B2423" s="19">
        <v>14500000</v>
      </c>
    </row>
    <row r="2424" spans="1:2" x14ac:dyDescent="0.3">
      <c r="A2424" s="1" t="s">
        <v>2596</v>
      </c>
      <c r="B2424" s="19">
        <v>42000000</v>
      </c>
    </row>
    <row r="2425" spans="1:2" x14ac:dyDescent="0.3">
      <c r="A2425" s="1" t="s">
        <v>2597</v>
      </c>
      <c r="B2425" s="19">
        <v>10500000</v>
      </c>
    </row>
    <row r="2426" spans="1:2" x14ac:dyDescent="0.3">
      <c r="A2426" s="1" t="s">
        <v>2598</v>
      </c>
      <c r="B2426" s="19">
        <v>10000000</v>
      </c>
    </row>
    <row r="2427" spans="1:2" x14ac:dyDescent="0.3">
      <c r="A2427" s="1" t="s">
        <v>2348</v>
      </c>
      <c r="B2427" s="19">
        <v>16200000</v>
      </c>
    </row>
    <row r="2428" spans="1:2" x14ac:dyDescent="0.3">
      <c r="A2428" s="1" t="s">
        <v>2599</v>
      </c>
      <c r="B2428" s="19">
        <v>12800000</v>
      </c>
    </row>
    <row r="2429" spans="1:2" x14ac:dyDescent="0.3">
      <c r="A2429" s="1" t="s">
        <v>2600</v>
      </c>
      <c r="B2429" s="19">
        <v>19500000</v>
      </c>
    </row>
    <row r="2430" spans="1:2" x14ac:dyDescent="0.3">
      <c r="A2430" s="1" t="s">
        <v>2601</v>
      </c>
      <c r="B2430" s="19">
        <v>20600000</v>
      </c>
    </row>
    <row r="2431" spans="1:2" x14ac:dyDescent="0.3">
      <c r="A2431" s="1" t="s">
        <v>2602</v>
      </c>
      <c r="B2431" s="19">
        <v>18500000</v>
      </c>
    </row>
    <row r="2432" spans="1:2" x14ac:dyDescent="0.3">
      <c r="A2432" s="1" t="s">
        <v>2603</v>
      </c>
      <c r="B2432" s="19">
        <v>5500000</v>
      </c>
    </row>
    <row r="2433" spans="1:2" x14ac:dyDescent="0.3">
      <c r="A2433" s="1" t="s">
        <v>2604</v>
      </c>
      <c r="B2433" s="19">
        <v>11500000</v>
      </c>
    </row>
    <row r="2434" spans="1:2" x14ac:dyDescent="0.3">
      <c r="A2434" s="1" t="s">
        <v>2605</v>
      </c>
      <c r="B2434" s="19">
        <v>18800000</v>
      </c>
    </row>
    <row r="2435" spans="1:2" x14ac:dyDescent="0.3">
      <c r="A2435" s="1" t="s">
        <v>2606</v>
      </c>
      <c r="B2435" s="19">
        <v>13500000</v>
      </c>
    </row>
    <row r="2436" spans="1:2" x14ac:dyDescent="0.3">
      <c r="A2436" s="1" t="s">
        <v>2607</v>
      </c>
      <c r="B2436" s="19">
        <v>12500000</v>
      </c>
    </row>
    <row r="2437" spans="1:2" x14ac:dyDescent="0.3">
      <c r="A2437" s="1" t="s">
        <v>2608</v>
      </c>
      <c r="B2437" s="19">
        <v>22800000</v>
      </c>
    </row>
    <row r="2438" spans="1:2" x14ac:dyDescent="0.3">
      <c r="A2438" s="1" t="s">
        <v>2609</v>
      </c>
      <c r="B2438" s="19">
        <v>10600000</v>
      </c>
    </row>
    <row r="2439" spans="1:2" x14ac:dyDescent="0.3">
      <c r="A2439" s="1" t="s">
        <v>245</v>
      </c>
      <c r="B2439" s="19">
        <v>9300000</v>
      </c>
    </row>
    <row r="2440" spans="1:2" x14ac:dyDescent="0.3">
      <c r="A2440" s="1" t="s">
        <v>2424</v>
      </c>
      <c r="B2440" s="19">
        <v>17000000</v>
      </c>
    </row>
    <row r="2441" spans="1:2" x14ac:dyDescent="0.3">
      <c r="A2441" s="1" t="s">
        <v>2610</v>
      </c>
      <c r="B2441" s="19">
        <v>5700000</v>
      </c>
    </row>
    <row r="2442" spans="1:2" x14ac:dyDescent="0.3">
      <c r="A2442" s="1" t="s">
        <v>2611</v>
      </c>
      <c r="B2442" s="19">
        <v>15500000</v>
      </c>
    </row>
    <row r="2443" spans="1:2" x14ac:dyDescent="0.3">
      <c r="A2443" s="1" t="s">
        <v>2612</v>
      </c>
      <c r="B2443" s="19">
        <v>8800000</v>
      </c>
    </row>
    <row r="2444" spans="1:2" x14ac:dyDescent="0.3">
      <c r="A2444" s="1" t="s">
        <v>2613</v>
      </c>
      <c r="B2444" s="19">
        <v>15500000</v>
      </c>
    </row>
    <row r="2445" spans="1:2" x14ac:dyDescent="0.3">
      <c r="A2445" s="1" t="s">
        <v>2614</v>
      </c>
      <c r="B2445" s="19">
        <v>7800000</v>
      </c>
    </row>
    <row r="2446" spans="1:2" x14ac:dyDescent="0.3">
      <c r="A2446" s="1" t="s">
        <v>2615</v>
      </c>
      <c r="B2446" s="19">
        <v>16000000</v>
      </c>
    </row>
    <row r="2447" spans="1:2" x14ac:dyDescent="0.3">
      <c r="A2447" s="1" t="s">
        <v>2129</v>
      </c>
      <c r="B2447" s="19">
        <v>8500000</v>
      </c>
    </row>
    <row r="2448" spans="1:2" x14ac:dyDescent="0.3">
      <c r="A2448" s="1" t="s">
        <v>2616</v>
      </c>
      <c r="B2448" s="19">
        <v>12200000</v>
      </c>
    </row>
    <row r="2449" spans="1:2" x14ac:dyDescent="0.3">
      <c r="A2449" s="1" t="s">
        <v>2253</v>
      </c>
      <c r="B2449" s="19">
        <v>12100000</v>
      </c>
    </row>
    <row r="2450" spans="1:2" x14ac:dyDescent="0.3">
      <c r="A2450" s="1" t="s">
        <v>2617</v>
      </c>
      <c r="B2450" s="19">
        <v>10650000</v>
      </c>
    </row>
    <row r="2451" spans="1:2" x14ac:dyDescent="0.3">
      <c r="A2451" s="1" t="s">
        <v>2618</v>
      </c>
      <c r="B2451" s="19">
        <v>13000000</v>
      </c>
    </row>
    <row r="2452" spans="1:2" x14ac:dyDescent="0.3">
      <c r="A2452" s="1" t="s">
        <v>2619</v>
      </c>
      <c r="B2452" s="19">
        <v>17000000</v>
      </c>
    </row>
    <row r="2453" spans="1:2" x14ac:dyDescent="0.3">
      <c r="A2453" s="1" t="s">
        <v>2620</v>
      </c>
      <c r="B2453" s="19">
        <v>16000000</v>
      </c>
    </row>
    <row r="2454" spans="1:2" x14ac:dyDescent="0.3">
      <c r="A2454" s="1" t="s">
        <v>2621</v>
      </c>
      <c r="B2454" s="19">
        <v>8500000</v>
      </c>
    </row>
    <row r="2455" spans="1:2" x14ac:dyDescent="0.3">
      <c r="A2455" s="1" t="s">
        <v>2622</v>
      </c>
      <c r="B2455" s="19">
        <v>11000000</v>
      </c>
    </row>
    <row r="2456" spans="1:2" x14ac:dyDescent="0.3">
      <c r="A2456" s="1" t="s">
        <v>2623</v>
      </c>
      <c r="B2456" s="19">
        <v>13500000</v>
      </c>
    </row>
    <row r="2457" spans="1:2" x14ac:dyDescent="0.3">
      <c r="A2457" s="1" t="s">
        <v>2624</v>
      </c>
      <c r="B2457" s="19">
        <v>14000000</v>
      </c>
    </row>
    <row r="2458" spans="1:2" x14ac:dyDescent="0.3">
      <c r="A2458" s="1" t="s">
        <v>2625</v>
      </c>
      <c r="B2458" s="19">
        <v>11000000</v>
      </c>
    </row>
    <row r="2459" spans="1:2" x14ac:dyDescent="0.3">
      <c r="A2459" s="1" t="s">
        <v>2626</v>
      </c>
      <c r="B2459" s="19">
        <v>8000000</v>
      </c>
    </row>
    <row r="2460" spans="1:2" x14ac:dyDescent="0.3">
      <c r="A2460" s="1" t="s">
        <v>2627</v>
      </c>
      <c r="B2460" s="19">
        <v>13000000</v>
      </c>
    </row>
    <row r="2461" spans="1:2" x14ac:dyDescent="0.3">
      <c r="A2461" s="1" t="s">
        <v>2628</v>
      </c>
      <c r="B2461" s="19">
        <v>7500000</v>
      </c>
    </row>
    <row r="2462" spans="1:2" x14ac:dyDescent="0.3">
      <c r="A2462" s="1" t="s">
        <v>2629</v>
      </c>
      <c r="B2462" s="19">
        <v>9800000</v>
      </c>
    </row>
    <row r="2463" spans="1:2" x14ac:dyDescent="0.3">
      <c r="A2463" s="1" t="s">
        <v>2630</v>
      </c>
      <c r="B2463" s="19">
        <v>10200000</v>
      </c>
    </row>
    <row r="2464" spans="1:2" x14ac:dyDescent="0.3">
      <c r="A2464" s="1" t="s">
        <v>2631</v>
      </c>
      <c r="B2464" s="19">
        <v>10000000</v>
      </c>
    </row>
    <row r="2465" spans="1:2" x14ac:dyDescent="0.3">
      <c r="A2465" s="1" t="s">
        <v>2632</v>
      </c>
      <c r="B2465" s="19">
        <v>14500000</v>
      </c>
    </row>
    <row r="2466" spans="1:2" x14ac:dyDescent="0.3">
      <c r="A2466" s="1" t="s">
        <v>2633</v>
      </c>
      <c r="B2466" s="19">
        <v>9000000</v>
      </c>
    </row>
    <row r="2467" spans="1:2" x14ac:dyDescent="0.3">
      <c r="A2467" s="1" t="s">
        <v>2634</v>
      </c>
      <c r="B2467" s="19">
        <v>31000000</v>
      </c>
    </row>
    <row r="2468" spans="1:2" x14ac:dyDescent="0.3">
      <c r="A2468" s="1" t="s">
        <v>2635</v>
      </c>
      <c r="B2468" s="19">
        <v>10000000</v>
      </c>
    </row>
    <row r="2469" spans="1:2" x14ac:dyDescent="0.3">
      <c r="A2469" s="1" t="s">
        <v>2636</v>
      </c>
      <c r="B2469" s="19">
        <v>22000000</v>
      </c>
    </row>
    <row r="2470" spans="1:2" x14ac:dyDescent="0.3">
      <c r="A2470" s="1" t="s">
        <v>2637</v>
      </c>
      <c r="B2470" s="19">
        <v>18600000</v>
      </c>
    </row>
    <row r="2471" spans="1:2" x14ac:dyDescent="0.3">
      <c r="A2471" s="1" t="s">
        <v>2638</v>
      </c>
      <c r="B2471" s="19">
        <v>17000000</v>
      </c>
    </row>
    <row r="2472" spans="1:2" x14ac:dyDescent="0.3">
      <c r="A2472" s="1" t="s">
        <v>2639</v>
      </c>
      <c r="B2472" s="19">
        <v>19000000</v>
      </c>
    </row>
    <row r="2473" spans="1:2" x14ac:dyDescent="0.3">
      <c r="A2473" s="1" t="s">
        <v>2640</v>
      </c>
      <c r="B2473" s="19">
        <v>23500000</v>
      </c>
    </row>
    <row r="2474" spans="1:2" x14ac:dyDescent="0.3">
      <c r="A2474" s="1" t="s">
        <v>2641</v>
      </c>
      <c r="B2474" s="19">
        <v>10800000</v>
      </c>
    </row>
    <row r="2475" spans="1:2" x14ac:dyDescent="0.3">
      <c r="A2475" s="1" t="s">
        <v>2642</v>
      </c>
      <c r="B2475" s="19">
        <v>13800000</v>
      </c>
    </row>
    <row r="2476" spans="1:2" x14ac:dyDescent="0.3">
      <c r="A2476" s="1" t="s">
        <v>2643</v>
      </c>
      <c r="B2476" s="19">
        <v>12500000</v>
      </c>
    </row>
    <row r="2477" spans="1:2" x14ac:dyDescent="0.3">
      <c r="A2477" s="1" t="s">
        <v>2644</v>
      </c>
      <c r="B2477" s="19">
        <v>13800000</v>
      </c>
    </row>
    <row r="2478" spans="1:2" x14ac:dyDescent="0.3">
      <c r="A2478" s="1" t="s">
        <v>2645</v>
      </c>
      <c r="B2478" s="19">
        <v>10000000</v>
      </c>
    </row>
    <row r="2479" spans="1:2" x14ac:dyDescent="0.3">
      <c r="A2479" s="1" t="s">
        <v>2646</v>
      </c>
      <c r="B2479" s="19">
        <v>11000000</v>
      </c>
    </row>
    <row r="2480" spans="1:2" x14ac:dyDescent="0.3">
      <c r="A2480" s="1" t="s">
        <v>2647</v>
      </c>
      <c r="B2480" s="19">
        <v>19000000</v>
      </c>
    </row>
    <row r="2481" spans="1:2" x14ac:dyDescent="0.3">
      <c r="A2481" s="1" t="s">
        <v>2648</v>
      </c>
      <c r="B2481" s="19">
        <v>10400000</v>
      </c>
    </row>
    <row r="2482" spans="1:2" x14ac:dyDescent="0.3">
      <c r="A2482" s="1" t="s">
        <v>673</v>
      </c>
      <c r="B2482" s="19">
        <v>11000000</v>
      </c>
    </row>
    <row r="2483" spans="1:2" x14ac:dyDescent="0.3">
      <c r="A2483" s="1" t="s">
        <v>2649</v>
      </c>
      <c r="B2483" s="19">
        <v>15500000</v>
      </c>
    </row>
    <row r="2484" spans="1:2" x14ac:dyDescent="0.3">
      <c r="A2484" s="1" t="s">
        <v>2650</v>
      </c>
      <c r="B2484" s="19">
        <v>8200000</v>
      </c>
    </row>
    <row r="2485" spans="1:2" x14ac:dyDescent="0.3">
      <c r="A2485" s="1" t="s">
        <v>2651</v>
      </c>
      <c r="B2485" s="19">
        <v>6700000</v>
      </c>
    </row>
    <row r="2486" spans="1:2" x14ac:dyDescent="0.3">
      <c r="A2486" s="1" t="s">
        <v>2652</v>
      </c>
      <c r="B2486" s="19">
        <v>26000000</v>
      </c>
    </row>
    <row r="2487" spans="1:2" x14ac:dyDescent="0.3">
      <c r="A2487" s="1" t="s">
        <v>2653</v>
      </c>
      <c r="B2487" s="19">
        <v>11300000</v>
      </c>
    </row>
    <row r="2488" spans="1:2" x14ac:dyDescent="0.3">
      <c r="A2488" s="1" t="s">
        <v>2654</v>
      </c>
      <c r="B2488" s="19">
        <v>17350000</v>
      </c>
    </row>
    <row r="2489" spans="1:2" x14ac:dyDescent="0.3">
      <c r="A2489" s="1" t="s">
        <v>2655</v>
      </c>
      <c r="B2489" s="19">
        <v>13976000</v>
      </c>
    </row>
    <row r="2490" spans="1:2" x14ac:dyDescent="0.3">
      <c r="A2490" s="1" t="s">
        <v>2656</v>
      </c>
      <c r="B2490" s="19">
        <v>32000000</v>
      </c>
    </row>
    <row r="2491" spans="1:2" x14ac:dyDescent="0.3">
      <c r="A2491" s="1" t="s">
        <v>2657</v>
      </c>
      <c r="B2491" s="19">
        <v>7500000</v>
      </c>
    </row>
    <row r="2492" spans="1:2" x14ac:dyDescent="0.3">
      <c r="A2492" s="1" t="s">
        <v>2658</v>
      </c>
      <c r="B2492" s="19">
        <v>9800000</v>
      </c>
    </row>
    <row r="2493" spans="1:2" x14ac:dyDescent="0.3">
      <c r="A2493" s="1" t="s">
        <v>2659</v>
      </c>
      <c r="B2493" s="19">
        <v>9500000</v>
      </c>
    </row>
    <row r="2494" spans="1:2" x14ac:dyDescent="0.3">
      <c r="A2494" s="1" t="s">
        <v>2660</v>
      </c>
      <c r="B2494" s="19">
        <v>15500000</v>
      </c>
    </row>
    <row r="2495" spans="1:2" x14ac:dyDescent="0.3">
      <c r="A2495" s="1" t="s">
        <v>2661</v>
      </c>
      <c r="B2495" s="19">
        <v>9900000</v>
      </c>
    </row>
    <row r="2496" spans="1:2" x14ac:dyDescent="0.3">
      <c r="A2496" s="1" t="s">
        <v>2662</v>
      </c>
      <c r="B2496" s="19">
        <v>10000000</v>
      </c>
    </row>
    <row r="2497" spans="1:2" x14ac:dyDescent="0.3">
      <c r="A2497" s="1" t="s">
        <v>2663</v>
      </c>
      <c r="B2497" s="19">
        <v>8150000</v>
      </c>
    </row>
    <row r="2498" spans="1:2" x14ac:dyDescent="0.3">
      <c r="A2498" s="1" t="s">
        <v>2664</v>
      </c>
      <c r="B2498" s="19">
        <v>30000000</v>
      </c>
    </row>
    <row r="2499" spans="1:2" x14ac:dyDescent="0.3">
      <c r="A2499" s="1" t="s">
        <v>2665</v>
      </c>
      <c r="B2499" s="19">
        <v>10200000</v>
      </c>
    </row>
    <row r="2500" spans="1:2" x14ac:dyDescent="0.3">
      <c r="A2500" s="1" t="s">
        <v>2666</v>
      </c>
      <c r="B2500" s="19">
        <v>15500000</v>
      </c>
    </row>
    <row r="2501" spans="1:2" x14ac:dyDescent="0.3">
      <c r="A2501" s="1" t="s">
        <v>2667</v>
      </c>
      <c r="B2501" s="19">
        <v>9800000</v>
      </c>
    </row>
    <row r="2502" spans="1:2" x14ac:dyDescent="0.3">
      <c r="A2502" s="1" t="s">
        <v>2668</v>
      </c>
      <c r="B2502" s="19">
        <v>6800000</v>
      </c>
    </row>
    <row r="2503" spans="1:2" x14ac:dyDescent="0.3">
      <c r="A2503" s="1" t="s">
        <v>2669</v>
      </c>
      <c r="B2503" s="19">
        <v>12000000</v>
      </c>
    </row>
    <row r="2504" spans="1:2" x14ac:dyDescent="0.3">
      <c r="A2504" s="1" t="s">
        <v>2670</v>
      </c>
      <c r="B2504" s="19">
        <v>12000000</v>
      </c>
    </row>
    <row r="2505" spans="1:2" x14ac:dyDescent="0.3">
      <c r="A2505" s="1" t="s">
        <v>2671</v>
      </c>
      <c r="B2505" s="19">
        <v>18000000</v>
      </c>
    </row>
    <row r="2506" spans="1:2" x14ac:dyDescent="0.3">
      <c r="A2506" s="1" t="s">
        <v>2672</v>
      </c>
      <c r="B2506" s="19">
        <v>17000000</v>
      </c>
    </row>
    <row r="2507" spans="1:2" x14ac:dyDescent="0.3">
      <c r="A2507" s="1" t="s">
        <v>2673</v>
      </c>
      <c r="B2507" s="19">
        <v>16500000</v>
      </c>
    </row>
    <row r="2508" spans="1:2" x14ac:dyDescent="0.3">
      <c r="A2508" s="1" t="s">
        <v>2674</v>
      </c>
      <c r="B2508" s="19">
        <v>13200000</v>
      </c>
    </row>
    <row r="2509" spans="1:2" x14ac:dyDescent="0.3">
      <c r="A2509" s="1" t="s">
        <v>2675</v>
      </c>
      <c r="B2509" s="19">
        <v>10000000</v>
      </c>
    </row>
    <row r="2510" spans="1:2" x14ac:dyDescent="0.3">
      <c r="A2510" s="1" t="s">
        <v>2676</v>
      </c>
      <c r="B2510" s="19">
        <v>10287850</v>
      </c>
    </row>
    <row r="2511" spans="1:2" x14ac:dyDescent="0.3">
      <c r="A2511" s="1" t="s">
        <v>2677</v>
      </c>
      <c r="B2511" s="19">
        <v>12000000</v>
      </c>
    </row>
    <row r="2512" spans="1:2" x14ac:dyDescent="0.3">
      <c r="A2512" s="1" t="s">
        <v>2678</v>
      </c>
      <c r="B2512" s="19">
        <v>19990000</v>
      </c>
    </row>
    <row r="2513" spans="1:2" x14ac:dyDescent="0.3">
      <c r="A2513" s="1" t="s">
        <v>2679</v>
      </c>
      <c r="B2513" s="19">
        <v>18500000</v>
      </c>
    </row>
    <row r="2514" spans="1:2" x14ac:dyDescent="0.3">
      <c r="A2514" s="1" t="s">
        <v>2680</v>
      </c>
      <c r="B2514" s="19">
        <v>9800000</v>
      </c>
    </row>
    <row r="2515" spans="1:2" x14ac:dyDescent="0.3">
      <c r="A2515" s="1" t="s">
        <v>2681</v>
      </c>
      <c r="B2515" s="19">
        <v>32000000</v>
      </c>
    </row>
    <row r="2516" spans="1:2" x14ac:dyDescent="0.3">
      <c r="A2516" s="1" t="s">
        <v>2682</v>
      </c>
      <c r="B2516" s="19">
        <v>19700000</v>
      </c>
    </row>
    <row r="2517" spans="1:2" x14ac:dyDescent="0.3">
      <c r="A2517" s="1" t="s">
        <v>2683</v>
      </c>
      <c r="B2517" s="19">
        <v>16000000</v>
      </c>
    </row>
    <row r="2518" spans="1:2" x14ac:dyDescent="0.3">
      <c r="A2518" s="1" t="s">
        <v>2684</v>
      </c>
      <c r="B2518" s="19">
        <v>15500000</v>
      </c>
    </row>
    <row r="2519" spans="1:2" x14ac:dyDescent="0.3">
      <c r="A2519" s="1" t="s">
        <v>2685</v>
      </c>
      <c r="B2519" s="19">
        <v>9100000</v>
      </c>
    </row>
    <row r="2520" spans="1:2" x14ac:dyDescent="0.3">
      <c r="A2520" s="1" t="s">
        <v>2686</v>
      </c>
      <c r="B2520" s="19">
        <v>9700000</v>
      </c>
    </row>
    <row r="2521" spans="1:2" x14ac:dyDescent="0.3">
      <c r="A2521" s="1" t="s">
        <v>2687</v>
      </c>
      <c r="B2521" s="19">
        <v>5500000</v>
      </c>
    </row>
    <row r="2522" spans="1:2" x14ac:dyDescent="0.3">
      <c r="A2522" s="1" t="s">
        <v>2688</v>
      </c>
      <c r="B2522" s="19">
        <v>6350000</v>
      </c>
    </row>
    <row r="2523" spans="1:2" x14ac:dyDescent="0.3">
      <c r="A2523" s="1" t="s">
        <v>2689</v>
      </c>
      <c r="B2523" s="19">
        <v>13000000</v>
      </c>
    </row>
    <row r="2524" spans="1:2" x14ac:dyDescent="0.3">
      <c r="A2524" s="1" t="s">
        <v>2690</v>
      </c>
      <c r="B2524" s="19">
        <v>13400000</v>
      </c>
    </row>
    <row r="2525" spans="1:2" x14ac:dyDescent="0.3">
      <c r="A2525" s="1" t="s">
        <v>2691</v>
      </c>
      <c r="B2525" s="19">
        <v>14500000</v>
      </c>
    </row>
    <row r="2526" spans="1:2" x14ac:dyDescent="0.3">
      <c r="A2526" s="1" t="s">
        <v>200</v>
      </c>
      <c r="B2526" s="19">
        <v>13800000</v>
      </c>
    </row>
    <row r="2527" spans="1:2" x14ac:dyDescent="0.3">
      <c r="A2527" s="1" t="s">
        <v>2692</v>
      </c>
      <c r="B2527" s="19">
        <v>9350000</v>
      </c>
    </row>
    <row r="2528" spans="1:2" x14ac:dyDescent="0.3">
      <c r="A2528" s="1" t="s">
        <v>2693</v>
      </c>
      <c r="B2528" s="19">
        <v>12600000</v>
      </c>
    </row>
    <row r="2529" spans="1:2" x14ac:dyDescent="0.3">
      <c r="A2529" s="1" t="s">
        <v>2694</v>
      </c>
      <c r="B2529" s="19">
        <v>6000000</v>
      </c>
    </row>
    <row r="2530" spans="1:2" x14ac:dyDescent="0.3">
      <c r="A2530" s="1" t="s">
        <v>2695</v>
      </c>
      <c r="B2530" s="19">
        <v>8800000</v>
      </c>
    </row>
    <row r="2531" spans="1:2" x14ac:dyDescent="0.3">
      <c r="A2531" s="1" t="s">
        <v>2696</v>
      </c>
      <c r="B2531" s="19">
        <v>19000000</v>
      </c>
    </row>
    <row r="2532" spans="1:2" x14ac:dyDescent="0.3">
      <c r="A2532" s="1" t="s">
        <v>2697</v>
      </c>
      <c r="B2532" s="19">
        <v>6500000</v>
      </c>
    </row>
    <row r="2533" spans="1:2" x14ac:dyDescent="0.3">
      <c r="A2533" s="1" t="s">
        <v>2698</v>
      </c>
      <c r="B2533" s="19">
        <v>17000000</v>
      </c>
    </row>
    <row r="2534" spans="1:2" x14ac:dyDescent="0.3">
      <c r="A2534" s="1" t="s">
        <v>2558</v>
      </c>
      <c r="B2534" s="19">
        <v>14900000</v>
      </c>
    </row>
    <row r="2535" spans="1:2" x14ac:dyDescent="0.3">
      <c r="A2535" s="1" t="s">
        <v>2330</v>
      </c>
      <c r="B2535" s="19">
        <v>8790000</v>
      </c>
    </row>
    <row r="2536" spans="1:2" x14ac:dyDescent="0.3">
      <c r="A2536" s="1" t="s">
        <v>2699</v>
      </c>
      <c r="B2536" s="19">
        <v>7000000</v>
      </c>
    </row>
    <row r="2537" spans="1:2" x14ac:dyDescent="0.3">
      <c r="A2537" s="1" t="s">
        <v>2700</v>
      </c>
      <c r="B2537" s="19">
        <v>9400000</v>
      </c>
    </row>
    <row r="2538" spans="1:2" x14ac:dyDescent="0.3">
      <c r="A2538" s="1" t="s">
        <v>2701</v>
      </c>
      <c r="B2538" s="19">
        <v>11000000</v>
      </c>
    </row>
    <row r="2539" spans="1:2" x14ac:dyDescent="0.3">
      <c r="A2539" s="1" t="s">
        <v>2702</v>
      </c>
      <c r="B2539" s="19">
        <v>7500000</v>
      </c>
    </row>
    <row r="2540" spans="1:2" x14ac:dyDescent="0.3">
      <c r="A2540" s="1" t="s">
        <v>2703</v>
      </c>
      <c r="B2540" s="19">
        <v>11300000</v>
      </c>
    </row>
    <row r="2541" spans="1:2" x14ac:dyDescent="0.3">
      <c r="A2541" s="1" t="s">
        <v>2704</v>
      </c>
      <c r="B2541" s="19">
        <v>28600000</v>
      </c>
    </row>
    <row r="2542" spans="1:2" x14ac:dyDescent="0.3">
      <c r="A2542" s="1" t="s">
        <v>2705</v>
      </c>
      <c r="B2542" s="19">
        <v>13200000</v>
      </c>
    </row>
    <row r="2543" spans="1:2" x14ac:dyDescent="0.3">
      <c r="A2543" s="1" t="s">
        <v>2706</v>
      </c>
      <c r="B2543" s="19">
        <v>11300000</v>
      </c>
    </row>
    <row r="2544" spans="1:2" x14ac:dyDescent="0.3">
      <c r="A2544" s="1" t="s">
        <v>2707</v>
      </c>
      <c r="B2544" s="19">
        <v>9800000</v>
      </c>
    </row>
    <row r="2545" spans="1:2" x14ac:dyDescent="0.3">
      <c r="A2545" s="1" t="s">
        <v>2708</v>
      </c>
      <c r="B2545" s="19">
        <v>13000000</v>
      </c>
    </row>
    <row r="2546" spans="1:2" x14ac:dyDescent="0.3">
      <c r="A2546" s="1" t="s">
        <v>2709</v>
      </c>
      <c r="B2546" s="19">
        <v>18000000</v>
      </c>
    </row>
    <row r="2547" spans="1:2" x14ac:dyDescent="0.3">
      <c r="A2547" s="1" t="s">
        <v>2172</v>
      </c>
      <c r="B2547" s="19">
        <v>24500000</v>
      </c>
    </row>
    <row r="2548" spans="1:2" x14ac:dyDescent="0.3">
      <c r="A2548" s="1" t="s">
        <v>2710</v>
      </c>
      <c r="B2548" s="19">
        <v>9200000</v>
      </c>
    </row>
    <row r="2549" spans="1:2" x14ac:dyDescent="0.3">
      <c r="A2549" s="1" t="s">
        <v>2711</v>
      </c>
      <c r="B2549" s="19">
        <v>14500000</v>
      </c>
    </row>
    <row r="2550" spans="1:2" x14ac:dyDescent="0.3">
      <c r="A2550" s="1" t="s">
        <v>2712</v>
      </c>
      <c r="B2550" s="19">
        <v>15650000</v>
      </c>
    </row>
    <row r="2551" spans="1:2" x14ac:dyDescent="0.3">
      <c r="A2551" s="1" t="s">
        <v>2713</v>
      </c>
      <c r="B2551" s="19">
        <v>6800000</v>
      </c>
    </row>
    <row r="2552" spans="1:2" x14ac:dyDescent="0.3">
      <c r="A2552" s="1" t="s">
        <v>2714</v>
      </c>
      <c r="B2552" s="19">
        <v>10000000</v>
      </c>
    </row>
    <row r="2553" spans="1:2" x14ac:dyDescent="0.3">
      <c r="A2553" s="1" t="s">
        <v>2715</v>
      </c>
      <c r="B2553" s="19">
        <v>7500000</v>
      </c>
    </row>
    <row r="2554" spans="1:2" x14ac:dyDescent="0.3">
      <c r="A2554" s="1" t="s">
        <v>2716</v>
      </c>
      <c r="B2554" s="19">
        <v>8450000</v>
      </c>
    </row>
    <row r="2555" spans="1:2" x14ac:dyDescent="0.3">
      <c r="A2555" s="1" t="s">
        <v>2717</v>
      </c>
      <c r="B2555" s="19">
        <v>24700000</v>
      </c>
    </row>
    <row r="2556" spans="1:2" x14ac:dyDescent="0.3">
      <c r="A2556" s="1" t="s">
        <v>2718</v>
      </c>
      <c r="B2556" s="19">
        <v>11100000</v>
      </c>
    </row>
    <row r="2557" spans="1:2" x14ac:dyDescent="0.3">
      <c r="A2557" s="1" t="s">
        <v>2719</v>
      </c>
      <c r="B2557" s="19">
        <v>25500000</v>
      </c>
    </row>
    <row r="2558" spans="1:2" x14ac:dyDescent="0.3">
      <c r="A2558" s="1" t="s">
        <v>2720</v>
      </c>
      <c r="B2558" s="19">
        <v>15000000</v>
      </c>
    </row>
    <row r="2559" spans="1:2" x14ac:dyDescent="0.3">
      <c r="A2559" s="1" t="s">
        <v>2721</v>
      </c>
      <c r="B2559" s="19">
        <v>43000000</v>
      </c>
    </row>
    <row r="2560" spans="1:2" x14ac:dyDescent="0.3">
      <c r="A2560" s="1" t="s">
        <v>2722</v>
      </c>
      <c r="B2560" s="19">
        <v>14000000</v>
      </c>
    </row>
    <row r="2561" spans="1:2" x14ac:dyDescent="0.3">
      <c r="A2561" s="1" t="s">
        <v>2723</v>
      </c>
      <c r="B2561" s="19">
        <v>8800000</v>
      </c>
    </row>
    <row r="2562" spans="1:2" x14ac:dyDescent="0.3">
      <c r="A2562" s="1" t="s">
        <v>2724</v>
      </c>
      <c r="B2562" s="19">
        <v>10000000</v>
      </c>
    </row>
    <row r="2563" spans="1:2" x14ac:dyDescent="0.3">
      <c r="A2563" s="1" t="s">
        <v>2725</v>
      </c>
      <c r="B2563" s="19">
        <v>13500000</v>
      </c>
    </row>
    <row r="2564" spans="1:2" x14ac:dyDescent="0.3">
      <c r="A2564" s="1" t="s">
        <v>2726</v>
      </c>
      <c r="B2564" s="19">
        <v>22990000</v>
      </c>
    </row>
    <row r="2565" spans="1:2" x14ac:dyDescent="0.3">
      <c r="A2565" s="1" t="s">
        <v>2727</v>
      </c>
      <c r="B2565" s="19">
        <v>14100000</v>
      </c>
    </row>
    <row r="2566" spans="1:2" x14ac:dyDescent="0.3">
      <c r="A2566" s="1" t="s">
        <v>2728</v>
      </c>
      <c r="B2566" s="19">
        <v>9800000</v>
      </c>
    </row>
    <row r="2567" spans="1:2" x14ac:dyDescent="0.3">
      <c r="A2567" s="1" t="s">
        <v>2729</v>
      </c>
      <c r="B2567" s="19">
        <v>11650000</v>
      </c>
    </row>
    <row r="2568" spans="1:2" x14ac:dyDescent="0.3">
      <c r="A2568" s="1" t="s">
        <v>2730</v>
      </c>
      <c r="B2568" s="19">
        <v>10100000</v>
      </c>
    </row>
    <row r="2569" spans="1:2" x14ac:dyDescent="0.3">
      <c r="A2569" s="1" t="s">
        <v>2731</v>
      </c>
      <c r="B2569" s="19">
        <v>12600000</v>
      </c>
    </row>
    <row r="2570" spans="1:2" x14ac:dyDescent="0.3">
      <c r="A2570" s="1" t="s">
        <v>2732</v>
      </c>
      <c r="B2570" s="19">
        <v>7500000</v>
      </c>
    </row>
    <row r="2571" spans="1:2" x14ac:dyDescent="0.3">
      <c r="A2571" s="1" t="s">
        <v>2733</v>
      </c>
      <c r="B2571" s="19">
        <v>5500000</v>
      </c>
    </row>
    <row r="2572" spans="1:2" x14ac:dyDescent="0.3">
      <c r="A2572" s="1" t="s">
        <v>1555</v>
      </c>
      <c r="B2572" s="19">
        <v>20880000</v>
      </c>
    </row>
    <row r="2573" spans="1:2" x14ac:dyDescent="0.3">
      <c r="A2573" s="1" t="s">
        <v>2734</v>
      </c>
      <c r="B2573" s="19">
        <v>8500000</v>
      </c>
    </row>
    <row r="2574" spans="1:2" x14ac:dyDescent="0.3">
      <c r="A2574" s="1" t="s">
        <v>2735</v>
      </c>
      <c r="B2574" s="19">
        <v>8400000</v>
      </c>
    </row>
    <row r="2575" spans="1:2" x14ac:dyDescent="0.3">
      <c r="A2575" s="1" t="s">
        <v>2736</v>
      </c>
      <c r="B2575" s="19">
        <v>18000000</v>
      </c>
    </row>
    <row r="2576" spans="1:2" x14ac:dyDescent="0.3">
      <c r="A2576" s="1" t="s">
        <v>2737</v>
      </c>
      <c r="B2576" s="19">
        <v>10800000</v>
      </c>
    </row>
    <row r="2577" spans="1:2" x14ac:dyDescent="0.3">
      <c r="A2577" s="1" t="s">
        <v>2738</v>
      </c>
      <c r="B2577" s="19">
        <v>19500000</v>
      </c>
    </row>
    <row r="2578" spans="1:2" x14ac:dyDescent="0.3">
      <c r="A2578" s="1" t="s">
        <v>2739</v>
      </c>
      <c r="B2578" s="19">
        <v>17000000</v>
      </c>
    </row>
    <row r="2579" spans="1:2" x14ac:dyDescent="0.3">
      <c r="A2579" s="1" t="s">
        <v>2740</v>
      </c>
      <c r="B2579" s="19">
        <v>16000000</v>
      </c>
    </row>
    <row r="2580" spans="1:2" x14ac:dyDescent="0.3">
      <c r="A2580" s="1" t="s">
        <v>2741</v>
      </c>
      <c r="B2580" s="19">
        <v>19000000</v>
      </c>
    </row>
    <row r="2581" spans="1:2" x14ac:dyDescent="0.3">
      <c r="A2581" s="1" t="s">
        <v>2742</v>
      </c>
      <c r="B2581" s="19">
        <v>12000000</v>
      </c>
    </row>
    <row r="2582" spans="1:2" x14ac:dyDescent="0.3">
      <c r="A2582" s="1" t="s">
        <v>2743</v>
      </c>
      <c r="B2582" s="19">
        <v>17500000</v>
      </c>
    </row>
    <row r="2583" spans="1:2" x14ac:dyDescent="0.3">
      <c r="A2583" s="1" t="s">
        <v>2744</v>
      </c>
      <c r="B2583" s="19">
        <v>11000000</v>
      </c>
    </row>
    <row r="2584" spans="1:2" x14ac:dyDescent="0.3">
      <c r="A2584" s="1" t="s">
        <v>2745</v>
      </c>
      <c r="B2584" s="19">
        <v>5700000</v>
      </c>
    </row>
    <row r="2585" spans="1:2" x14ac:dyDescent="0.3">
      <c r="A2585" s="1" t="s">
        <v>277</v>
      </c>
      <c r="B2585" s="19">
        <v>20000000</v>
      </c>
    </row>
    <row r="2586" spans="1:2" x14ac:dyDescent="0.3">
      <c r="A2586" s="1" t="s">
        <v>2746</v>
      </c>
      <c r="B2586" s="19">
        <v>18500000</v>
      </c>
    </row>
    <row r="2587" spans="1:2" x14ac:dyDescent="0.3">
      <c r="A2587" s="1" t="s">
        <v>2747</v>
      </c>
      <c r="B2587" s="19">
        <v>15700000</v>
      </c>
    </row>
    <row r="2588" spans="1:2" x14ac:dyDescent="0.3">
      <c r="A2588" s="1" t="s">
        <v>2748</v>
      </c>
      <c r="B2588" s="19">
        <v>9300000</v>
      </c>
    </row>
    <row r="2589" spans="1:2" x14ac:dyDescent="0.3">
      <c r="A2589" s="1" t="s">
        <v>2749</v>
      </c>
      <c r="B2589" s="19">
        <v>12800000</v>
      </c>
    </row>
    <row r="2590" spans="1:2" x14ac:dyDescent="0.3">
      <c r="A2590" s="1" t="s">
        <v>2750</v>
      </c>
      <c r="B2590" s="19">
        <v>11200000</v>
      </c>
    </row>
    <row r="2591" spans="1:2" x14ac:dyDescent="0.3">
      <c r="A2591" s="1" t="s">
        <v>2751</v>
      </c>
      <c r="B2591" s="19">
        <v>8500000</v>
      </c>
    </row>
    <row r="2592" spans="1:2" x14ac:dyDescent="0.3">
      <c r="A2592" s="1" t="s">
        <v>2752</v>
      </c>
      <c r="B2592" s="19">
        <v>10400000</v>
      </c>
    </row>
    <row r="2593" spans="1:2" x14ac:dyDescent="0.3">
      <c r="A2593" s="1" t="s">
        <v>2753</v>
      </c>
      <c r="B2593" s="19">
        <v>16700000</v>
      </c>
    </row>
    <row r="2594" spans="1:2" x14ac:dyDescent="0.3">
      <c r="A2594" s="1" t="s">
        <v>2754</v>
      </c>
      <c r="B2594" s="19">
        <v>10700000</v>
      </c>
    </row>
    <row r="2595" spans="1:2" x14ac:dyDescent="0.3">
      <c r="A2595" s="1" t="s">
        <v>2755</v>
      </c>
      <c r="B2595" s="19">
        <v>8300000</v>
      </c>
    </row>
    <row r="2596" spans="1:2" x14ac:dyDescent="0.3">
      <c r="A2596" s="1" t="s">
        <v>2756</v>
      </c>
      <c r="B2596" s="19">
        <v>7000000</v>
      </c>
    </row>
    <row r="2597" spans="1:2" x14ac:dyDescent="0.3">
      <c r="A2597" s="1" t="s">
        <v>2757</v>
      </c>
      <c r="B2597" s="19">
        <v>21000000</v>
      </c>
    </row>
    <row r="2598" spans="1:2" x14ac:dyDescent="0.3">
      <c r="A2598" s="1" t="s">
        <v>2758</v>
      </c>
      <c r="B2598" s="19">
        <v>17000000</v>
      </c>
    </row>
    <row r="2599" spans="1:2" x14ac:dyDescent="0.3">
      <c r="A2599" s="1" t="s">
        <v>2759</v>
      </c>
      <c r="B2599" s="19">
        <v>9900000</v>
      </c>
    </row>
    <row r="2600" spans="1:2" x14ac:dyDescent="0.3">
      <c r="A2600" s="1" t="s">
        <v>2760</v>
      </c>
      <c r="B2600" s="19">
        <v>16000000</v>
      </c>
    </row>
    <row r="2601" spans="1:2" x14ac:dyDescent="0.3">
      <c r="A2601" s="1" t="s">
        <v>2761</v>
      </c>
      <c r="B2601" s="19">
        <v>12500000</v>
      </c>
    </row>
    <row r="2602" spans="1:2" x14ac:dyDescent="0.3">
      <c r="A2602" s="1" t="s">
        <v>2762</v>
      </c>
      <c r="B2602" s="19">
        <v>7900000</v>
      </c>
    </row>
    <row r="2603" spans="1:2" x14ac:dyDescent="0.3">
      <c r="A2603" s="1" t="s">
        <v>2763</v>
      </c>
      <c r="B2603" s="19">
        <v>14500000</v>
      </c>
    </row>
    <row r="2604" spans="1:2" x14ac:dyDescent="0.3">
      <c r="A2604" s="1" t="s">
        <v>2764</v>
      </c>
      <c r="B2604" s="19">
        <v>18000000</v>
      </c>
    </row>
    <row r="2605" spans="1:2" x14ac:dyDescent="0.3">
      <c r="A2605" s="1" t="s">
        <v>2765</v>
      </c>
      <c r="B2605" s="19">
        <v>9000000</v>
      </c>
    </row>
    <row r="2606" spans="1:2" x14ac:dyDescent="0.3">
      <c r="A2606" s="1" t="s">
        <v>2766</v>
      </c>
      <c r="B2606" s="19">
        <v>7000000</v>
      </c>
    </row>
    <row r="2607" spans="1:2" x14ac:dyDescent="0.3">
      <c r="A2607" s="1" t="s">
        <v>2366</v>
      </c>
      <c r="B2607" s="19">
        <v>20500000</v>
      </c>
    </row>
    <row r="2608" spans="1:2" x14ac:dyDescent="0.3">
      <c r="A2608" s="1" t="s">
        <v>2767</v>
      </c>
      <c r="B2608" s="19">
        <v>15300000</v>
      </c>
    </row>
    <row r="2609" spans="1:2" x14ac:dyDescent="0.3">
      <c r="A2609" s="1" t="s">
        <v>2768</v>
      </c>
      <c r="B2609" s="19">
        <v>8800000</v>
      </c>
    </row>
    <row r="2610" spans="1:2" x14ac:dyDescent="0.3">
      <c r="A2610" s="1" t="s">
        <v>2769</v>
      </c>
      <c r="B2610" s="19">
        <v>13500000</v>
      </c>
    </row>
    <row r="2611" spans="1:2" x14ac:dyDescent="0.3">
      <c r="A2611" s="1" t="s">
        <v>2770</v>
      </c>
      <c r="B2611" s="19">
        <v>18800000</v>
      </c>
    </row>
    <row r="2612" spans="1:2" x14ac:dyDescent="0.3">
      <c r="A2612" s="1" t="s">
        <v>2771</v>
      </c>
      <c r="B2612" s="19">
        <v>5600000</v>
      </c>
    </row>
    <row r="2613" spans="1:2" x14ac:dyDescent="0.3">
      <c r="A2613" s="1" t="s">
        <v>2772</v>
      </c>
      <c r="B2613" s="19">
        <v>10500000</v>
      </c>
    </row>
    <row r="2614" spans="1:2" x14ac:dyDescent="0.3">
      <c r="A2614" s="1" t="s">
        <v>2773</v>
      </c>
      <c r="B2614" s="19">
        <v>10000000</v>
      </c>
    </row>
    <row r="2615" spans="1:2" x14ac:dyDescent="0.3">
      <c r="A2615" s="1" t="s">
        <v>2774</v>
      </c>
      <c r="B2615" s="19">
        <v>9500000</v>
      </c>
    </row>
    <row r="2616" spans="1:2" x14ac:dyDescent="0.3">
      <c r="A2616" s="1" t="s">
        <v>2775</v>
      </c>
      <c r="B2616" s="19">
        <v>9800000</v>
      </c>
    </row>
    <row r="2617" spans="1:2" x14ac:dyDescent="0.3">
      <c r="A2617" s="1" t="s">
        <v>2776</v>
      </c>
      <c r="B2617" s="19">
        <v>9800000</v>
      </c>
    </row>
    <row r="2618" spans="1:2" x14ac:dyDescent="0.3">
      <c r="A2618" s="1" t="s">
        <v>2777</v>
      </c>
      <c r="B2618" s="19">
        <v>16500000</v>
      </c>
    </row>
    <row r="2619" spans="1:2" x14ac:dyDescent="0.3">
      <c r="A2619" s="1" t="s">
        <v>2778</v>
      </c>
      <c r="B2619" s="19">
        <v>10400000</v>
      </c>
    </row>
    <row r="2620" spans="1:2" x14ac:dyDescent="0.3">
      <c r="A2620" s="1" t="s">
        <v>2779</v>
      </c>
      <c r="B2620" s="19">
        <v>10650000</v>
      </c>
    </row>
    <row r="2621" spans="1:2" x14ac:dyDescent="0.3">
      <c r="A2621" s="1" t="s">
        <v>2780</v>
      </c>
      <c r="B2621" s="19">
        <v>33000000</v>
      </c>
    </row>
    <row r="2622" spans="1:2" x14ac:dyDescent="0.3">
      <c r="A2622" s="1" t="s">
        <v>2781</v>
      </c>
      <c r="B2622" s="19">
        <v>12600000</v>
      </c>
    </row>
    <row r="2623" spans="1:2" x14ac:dyDescent="0.3">
      <c r="A2623" s="1" t="s">
        <v>2782</v>
      </c>
      <c r="B2623" s="19">
        <v>16500000</v>
      </c>
    </row>
    <row r="2624" spans="1:2" x14ac:dyDescent="0.3">
      <c r="A2624" s="1" t="s">
        <v>2783</v>
      </c>
      <c r="B2624" s="19">
        <v>16400000</v>
      </c>
    </row>
    <row r="2625" spans="1:2" x14ac:dyDescent="0.3">
      <c r="A2625" s="1" t="s">
        <v>2784</v>
      </c>
      <c r="B2625" s="19">
        <v>6300000</v>
      </c>
    </row>
    <row r="2626" spans="1:2" x14ac:dyDescent="0.3">
      <c r="A2626" s="1" t="s">
        <v>2785</v>
      </c>
      <c r="B2626" s="19">
        <v>10500000</v>
      </c>
    </row>
    <row r="2627" spans="1:2" x14ac:dyDescent="0.3">
      <c r="A2627" s="1" t="s">
        <v>2786</v>
      </c>
      <c r="B2627" s="19">
        <v>15000000</v>
      </c>
    </row>
    <row r="2628" spans="1:2" x14ac:dyDescent="0.3">
      <c r="A2628" s="1" t="s">
        <v>2787</v>
      </c>
      <c r="B2628" s="19">
        <v>4500000</v>
      </c>
    </row>
    <row r="2629" spans="1:2" x14ac:dyDescent="0.3">
      <c r="A2629" s="1" t="s">
        <v>2788</v>
      </c>
      <c r="B2629" s="19">
        <v>7300000</v>
      </c>
    </row>
    <row r="2630" spans="1:2" x14ac:dyDescent="0.3">
      <c r="A2630" s="1" t="s">
        <v>2789</v>
      </c>
      <c r="B2630" s="19">
        <v>11700000</v>
      </c>
    </row>
    <row r="2631" spans="1:2" x14ac:dyDescent="0.3">
      <c r="A2631" s="1" t="s">
        <v>2790</v>
      </c>
      <c r="B2631" s="19">
        <v>11500000</v>
      </c>
    </row>
    <row r="2632" spans="1:2" x14ac:dyDescent="0.3">
      <c r="A2632" s="1" t="s">
        <v>2791</v>
      </c>
      <c r="B2632" s="19">
        <v>7500000</v>
      </c>
    </row>
    <row r="2633" spans="1:2" x14ac:dyDescent="0.3">
      <c r="A2633" s="1" t="s">
        <v>2792</v>
      </c>
      <c r="B2633" s="19">
        <v>16500000</v>
      </c>
    </row>
    <row r="2634" spans="1:2" x14ac:dyDescent="0.3">
      <c r="A2634" s="1" t="s">
        <v>2793</v>
      </c>
      <c r="B2634" s="19">
        <v>6800000</v>
      </c>
    </row>
    <row r="2635" spans="1:2" x14ac:dyDescent="0.3">
      <c r="A2635" s="1" t="s">
        <v>2794</v>
      </c>
      <c r="B2635" s="19">
        <v>12000000</v>
      </c>
    </row>
    <row r="2636" spans="1:2" x14ac:dyDescent="0.3">
      <c r="A2636" s="1" t="s">
        <v>2374</v>
      </c>
      <c r="B2636" s="19">
        <v>21000000</v>
      </c>
    </row>
    <row r="2637" spans="1:2" x14ac:dyDescent="0.3">
      <c r="A2637" s="1" t="s">
        <v>2795</v>
      </c>
      <c r="B2637" s="19">
        <v>28000000</v>
      </c>
    </row>
    <row r="2638" spans="1:2" x14ac:dyDescent="0.3">
      <c r="A2638" s="1" t="s">
        <v>2796</v>
      </c>
      <c r="B2638" s="19">
        <v>10500000</v>
      </c>
    </row>
    <row r="2639" spans="1:2" x14ac:dyDescent="0.3">
      <c r="A2639" s="1" t="s">
        <v>2797</v>
      </c>
      <c r="B2639" s="19">
        <v>11500000</v>
      </c>
    </row>
    <row r="2640" spans="1:2" x14ac:dyDescent="0.3">
      <c r="A2640" s="1" t="s">
        <v>2798</v>
      </c>
      <c r="B2640" s="19">
        <v>19600000</v>
      </c>
    </row>
    <row r="2641" spans="1:2" x14ac:dyDescent="0.3">
      <c r="A2641" s="1" t="s">
        <v>2799</v>
      </c>
      <c r="B2641" s="19">
        <v>15700000</v>
      </c>
    </row>
    <row r="2642" spans="1:2" x14ac:dyDescent="0.3">
      <c r="A2642" s="1" t="s">
        <v>2800</v>
      </c>
      <c r="B2642" s="19">
        <v>18500000</v>
      </c>
    </row>
    <row r="2643" spans="1:2" x14ac:dyDescent="0.3">
      <c r="A2643" s="1" t="s">
        <v>2801</v>
      </c>
      <c r="B2643" s="19">
        <v>8200000</v>
      </c>
    </row>
    <row r="2644" spans="1:2" x14ac:dyDescent="0.3">
      <c r="A2644" s="1" t="s">
        <v>2802</v>
      </c>
      <c r="B2644" s="19">
        <v>8000000</v>
      </c>
    </row>
    <row r="2645" spans="1:2" x14ac:dyDescent="0.3">
      <c r="A2645" s="1" t="s">
        <v>2803</v>
      </c>
      <c r="B2645" s="19">
        <v>17000000</v>
      </c>
    </row>
    <row r="2646" spans="1:2" x14ac:dyDescent="0.3">
      <c r="A2646" s="1" t="s">
        <v>2804</v>
      </c>
      <c r="B2646" s="19">
        <v>3600000</v>
      </c>
    </row>
    <row r="2647" spans="1:2" x14ac:dyDescent="0.3">
      <c r="A2647" s="1" t="s">
        <v>2805</v>
      </c>
      <c r="B2647" s="19">
        <v>12500000</v>
      </c>
    </row>
    <row r="2648" spans="1:2" x14ac:dyDescent="0.3">
      <c r="A2648" s="1" t="s">
        <v>323</v>
      </c>
      <c r="B2648" s="19">
        <v>10500000</v>
      </c>
    </row>
    <row r="2649" spans="1:2" x14ac:dyDescent="0.3">
      <c r="A2649" s="1" t="s">
        <v>2806</v>
      </c>
      <c r="B2649" s="19">
        <v>9600000</v>
      </c>
    </row>
    <row r="2650" spans="1:2" x14ac:dyDescent="0.3">
      <c r="A2650" s="1" t="s">
        <v>2807</v>
      </c>
      <c r="B2650" s="19">
        <v>7000000</v>
      </c>
    </row>
    <row r="2651" spans="1:2" x14ac:dyDescent="0.3">
      <c r="A2651" s="1" t="s">
        <v>2808</v>
      </c>
      <c r="B2651" s="19">
        <v>14600000</v>
      </c>
    </row>
    <row r="2652" spans="1:2" x14ac:dyDescent="0.3">
      <c r="A2652" s="1" t="s">
        <v>2809</v>
      </c>
      <c r="B2652" s="19">
        <v>15500000</v>
      </c>
    </row>
    <row r="2653" spans="1:2" x14ac:dyDescent="0.3">
      <c r="A2653" s="1" t="s">
        <v>2810</v>
      </c>
      <c r="B2653" s="19">
        <v>19500000</v>
      </c>
    </row>
    <row r="2654" spans="1:2" x14ac:dyDescent="0.3">
      <c r="A2654" s="1" t="s">
        <v>2811</v>
      </c>
      <c r="B2654" s="19">
        <v>16500000</v>
      </c>
    </row>
    <row r="2655" spans="1:2" x14ac:dyDescent="0.3">
      <c r="A2655" s="1" t="s">
        <v>2812</v>
      </c>
      <c r="B2655" s="19">
        <v>25000000</v>
      </c>
    </row>
    <row r="2656" spans="1:2" x14ac:dyDescent="0.3">
      <c r="A2656" s="1" t="s">
        <v>2813</v>
      </c>
      <c r="B2656" s="19">
        <v>18000000</v>
      </c>
    </row>
    <row r="2657" spans="1:2" x14ac:dyDescent="0.3">
      <c r="A2657" s="1" t="s">
        <v>2814</v>
      </c>
      <c r="B2657" s="19">
        <v>19000000</v>
      </c>
    </row>
    <row r="2658" spans="1:2" x14ac:dyDescent="0.3">
      <c r="A2658" s="1" t="s">
        <v>2815</v>
      </c>
      <c r="B2658" s="19">
        <v>17000000</v>
      </c>
    </row>
    <row r="2659" spans="1:2" x14ac:dyDescent="0.3">
      <c r="A2659" s="1" t="s">
        <v>2816</v>
      </c>
      <c r="B2659" s="19">
        <v>14300000</v>
      </c>
    </row>
    <row r="2660" spans="1:2" x14ac:dyDescent="0.3">
      <c r="A2660" s="1" t="s">
        <v>2817</v>
      </c>
      <c r="B2660" s="19">
        <v>28500000</v>
      </c>
    </row>
    <row r="2661" spans="1:2" x14ac:dyDescent="0.3">
      <c r="A2661" s="1" t="s">
        <v>2818</v>
      </c>
      <c r="B2661" s="19">
        <v>8300000</v>
      </c>
    </row>
    <row r="2662" spans="1:2" x14ac:dyDescent="0.3">
      <c r="A2662" s="1" t="s">
        <v>2819</v>
      </c>
      <c r="B2662" s="19">
        <v>11500000</v>
      </c>
    </row>
    <row r="2663" spans="1:2" x14ac:dyDescent="0.3">
      <c r="A2663" s="1" t="s">
        <v>2820</v>
      </c>
      <c r="B2663" s="19">
        <v>25500000</v>
      </c>
    </row>
    <row r="2664" spans="1:2" x14ac:dyDescent="0.3">
      <c r="A2664" s="1" t="s">
        <v>2820</v>
      </c>
      <c r="B2664" s="19">
        <v>25500000</v>
      </c>
    </row>
    <row r="2665" spans="1:2" x14ac:dyDescent="0.3">
      <c r="A2665" s="1" t="s">
        <v>2821</v>
      </c>
      <c r="B2665" s="19">
        <v>11000000</v>
      </c>
    </row>
    <row r="2666" spans="1:2" x14ac:dyDescent="0.3">
      <c r="A2666" s="1" t="s">
        <v>2822</v>
      </c>
      <c r="B2666" s="19">
        <v>10600000</v>
      </c>
    </row>
    <row r="2667" spans="1:2" x14ac:dyDescent="0.3">
      <c r="A2667" s="1" t="s">
        <v>2823</v>
      </c>
      <c r="B2667" s="19">
        <v>9500000</v>
      </c>
    </row>
    <row r="2668" spans="1:2" x14ac:dyDescent="0.3">
      <c r="A2668" s="1" t="s">
        <v>2824</v>
      </c>
      <c r="B2668" s="19">
        <v>8500000</v>
      </c>
    </row>
    <row r="2669" spans="1:2" x14ac:dyDescent="0.3">
      <c r="A2669" s="1" t="s">
        <v>2825</v>
      </c>
      <c r="B2669" s="19">
        <v>15900000</v>
      </c>
    </row>
    <row r="2670" spans="1:2" x14ac:dyDescent="0.3">
      <c r="A2670" s="1" t="s">
        <v>2826</v>
      </c>
      <c r="B2670" s="19">
        <v>11200000</v>
      </c>
    </row>
    <row r="2671" spans="1:2" x14ac:dyDescent="0.3">
      <c r="A2671" s="1" t="s">
        <v>2827</v>
      </c>
      <c r="B2671" s="19">
        <v>16000000</v>
      </c>
    </row>
    <row r="2672" spans="1:2" x14ac:dyDescent="0.3">
      <c r="A2672" s="1" t="s">
        <v>2828</v>
      </c>
      <c r="B2672" s="19">
        <v>23000000</v>
      </c>
    </row>
    <row r="2673" spans="1:2" x14ac:dyDescent="0.3">
      <c r="A2673" s="1" t="s">
        <v>2829</v>
      </c>
      <c r="B2673" s="19">
        <v>22500000</v>
      </c>
    </row>
    <row r="2674" spans="1:2" x14ac:dyDescent="0.3">
      <c r="A2674" s="1" t="s">
        <v>2830</v>
      </c>
      <c r="B2674" s="19">
        <v>9500000</v>
      </c>
    </row>
    <row r="2675" spans="1:2" x14ac:dyDescent="0.3">
      <c r="A2675" s="1" t="s">
        <v>2831</v>
      </c>
      <c r="B2675" s="19">
        <v>14000000</v>
      </c>
    </row>
    <row r="2676" spans="1:2" x14ac:dyDescent="0.3">
      <c r="A2676" s="1" t="s">
        <v>2832</v>
      </c>
      <c r="B2676" s="19">
        <v>15500000</v>
      </c>
    </row>
    <row r="2677" spans="1:2" x14ac:dyDescent="0.3">
      <c r="A2677" s="1" t="s">
        <v>2833</v>
      </c>
      <c r="B2677" s="19">
        <v>7000000</v>
      </c>
    </row>
    <row r="2678" spans="1:2" x14ac:dyDescent="0.3">
      <c r="A2678" s="1" t="s">
        <v>2834</v>
      </c>
      <c r="B2678" s="19">
        <v>8500000</v>
      </c>
    </row>
    <row r="2679" spans="1:2" x14ac:dyDescent="0.3">
      <c r="A2679" s="1" t="s">
        <v>2051</v>
      </c>
      <c r="B2679" s="19">
        <v>12200000</v>
      </c>
    </row>
    <row r="2680" spans="1:2" x14ac:dyDescent="0.3">
      <c r="A2680" s="1" t="s">
        <v>2835</v>
      </c>
      <c r="B2680" s="19">
        <v>10200000</v>
      </c>
    </row>
    <row r="2681" spans="1:2" x14ac:dyDescent="0.3">
      <c r="A2681" s="1" t="s">
        <v>2836</v>
      </c>
      <c r="B2681" s="19">
        <v>10400000</v>
      </c>
    </row>
    <row r="2682" spans="1:2" x14ac:dyDescent="0.3">
      <c r="A2682" s="1" t="s">
        <v>2837</v>
      </c>
      <c r="B2682" s="19">
        <v>14500000</v>
      </c>
    </row>
    <row r="2683" spans="1:2" x14ac:dyDescent="0.3">
      <c r="A2683" s="1" t="s">
        <v>2838</v>
      </c>
      <c r="B2683" s="19">
        <v>8200000</v>
      </c>
    </row>
    <row r="2684" spans="1:2" x14ac:dyDescent="0.3">
      <c r="A2684" s="1" t="s">
        <v>2839</v>
      </c>
      <c r="B2684" s="19">
        <v>13000000</v>
      </c>
    </row>
    <row r="2685" spans="1:2" x14ac:dyDescent="0.3">
      <c r="A2685" s="1" t="s">
        <v>2840</v>
      </c>
      <c r="B2685" s="19">
        <v>10500000</v>
      </c>
    </row>
    <row r="2686" spans="1:2" x14ac:dyDescent="0.3">
      <c r="A2686" s="1" t="s">
        <v>2841</v>
      </c>
      <c r="B2686" s="19">
        <v>13800000</v>
      </c>
    </row>
    <row r="2687" spans="1:2" x14ac:dyDescent="0.3">
      <c r="A2687" s="1" t="s">
        <v>2842</v>
      </c>
      <c r="B2687" s="19">
        <v>23000000</v>
      </c>
    </row>
    <row r="2688" spans="1:2" x14ac:dyDescent="0.3">
      <c r="A2688" s="1" t="s">
        <v>2843</v>
      </c>
      <c r="B2688" s="19">
        <v>26000000</v>
      </c>
    </row>
    <row r="2689" spans="1:2" x14ac:dyDescent="0.3">
      <c r="A2689" s="1" t="s">
        <v>2844</v>
      </c>
      <c r="B2689" s="19">
        <v>6700000</v>
      </c>
    </row>
    <row r="2690" spans="1:2" x14ac:dyDescent="0.3">
      <c r="A2690" s="1" t="s">
        <v>2660</v>
      </c>
      <c r="B2690" s="19">
        <v>15650000</v>
      </c>
    </row>
    <row r="2691" spans="1:2" x14ac:dyDescent="0.3">
      <c r="A2691" s="1" t="s">
        <v>2845</v>
      </c>
      <c r="B2691" s="19">
        <v>9000000</v>
      </c>
    </row>
    <row r="2692" spans="1:2" x14ac:dyDescent="0.3">
      <c r="A2692" s="1" t="s">
        <v>2846</v>
      </c>
      <c r="B2692" s="19">
        <v>10000000</v>
      </c>
    </row>
    <row r="2693" spans="1:2" x14ac:dyDescent="0.3">
      <c r="A2693" s="1" t="s">
        <v>2847</v>
      </c>
      <c r="B2693" s="19">
        <v>6400000</v>
      </c>
    </row>
    <row r="2694" spans="1:2" x14ac:dyDescent="0.3">
      <c r="A2694" s="1" t="s">
        <v>2509</v>
      </c>
      <c r="B2694" s="19">
        <v>14300000</v>
      </c>
    </row>
    <row r="2695" spans="1:2" x14ac:dyDescent="0.3">
      <c r="A2695" s="1" t="s">
        <v>2848</v>
      </c>
      <c r="B2695" s="19">
        <v>5200000</v>
      </c>
    </row>
    <row r="2696" spans="1:2" x14ac:dyDescent="0.3">
      <c r="A2696" s="1" t="s">
        <v>2849</v>
      </c>
      <c r="B2696" s="19">
        <v>11850000</v>
      </c>
    </row>
    <row r="2697" spans="1:2" x14ac:dyDescent="0.3">
      <c r="A2697" s="1" t="s">
        <v>2850</v>
      </c>
      <c r="B2697" s="19">
        <v>16000000</v>
      </c>
    </row>
    <row r="2698" spans="1:2" x14ac:dyDescent="0.3">
      <c r="A2698" s="1" t="s">
        <v>2851</v>
      </c>
      <c r="B2698" s="19">
        <v>17000000</v>
      </c>
    </row>
    <row r="2699" spans="1:2" x14ac:dyDescent="0.3">
      <c r="A2699" s="1" t="s">
        <v>2852</v>
      </c>
      <c r="B2699" s="19">
        <v>34200000</v>
      </c>
    </row>
    <row r="2700" spans="1:2" x14ac:dyDescent="0.3">
      <c r="A2700" s="1" t="s">
        <v>2853</v>
      </c>
      <c r="B2700" s="19">
        <v>8500000</v>
      </c>
    </row>
    <row r="2701" spans="1:2" x14ac:dyDescent="0.3">
      <c r="A2701" s="1" t="s">
        <v>2854</v>
      </c>
      <c r="B2701" s="19">
        <v>25000000</v>
      </c>
    </row>
    <row r="2702" spans="1:2" x14ac:dyDescent="0.3">
      <c r="A2702" s="1" t="s">
        <v>2855</v>
      </c>
      <c r="B2702" s="19">
        <v>27500000</v>
      </c>
    </row>
    <row r="2703" spans="1:2" x14ac:dyDescent="0.3">
      <c r="A2703" s="1" t="s">
        <v>2856</v>
      </c>
      <c r="B2703" s="19">
        <v>9000000</v>
      </c>
    </row>
    <row r="2704" spans="1:2" x14ac:dyDescent="0.3">
      <c r="A2704" s="1" t="s">
        <v>2857</v>
      </c>
      <c r="B2704" s="19">
        <v>7300000</v>
      </c>
    </row>
    <row r="2705" spans="1:2" x14ac:dyDescent="0.3">
      <c r="A2705" s="1" t="s">
        <v>2858</v>
      </c>
      <c r="B2705" s="19">
        <v>17500000</v>
      </c>
    </row>
    <row r="2706" spans="1:2" x14ac:dyDescent="0.3">
      <c r="A2706" s="1" t="s">
        <v>2859</v>
      </c>
      <c r="B2706" s="19">
        <v>5800000</v>
      </c>
    </row>
    <row r="2707" spans="1:2" x14ac:dyDescent="0.3">
      <c r="A2707" s="1" t="s">
        <v>2860</v>
      </c>
      <c r="B2707" s="19">
        <v>15300000</v>
      </c>
    </row>
    <row r="2708" spans="1:2" x14ac:dyDescent="0.3">
      <c r="A2708" s="1" t="s">
        <v>2861</v>
      </c>
      <c r="B2708" s="19">
        <v>7800000</v>
      </c>
    </row>
    <row r="2709" spans="1:2" x14ac:dyDescent="0.3">
      <c r="A2709" s="1" t="s">
        <v>2862</v>
      </c>
      <c r="B2709" s="19">
        <v>7500000</v>
      </c>
    </row>
    <row r="2710" spans="1:2" x14ac:dyDescent="0.3">
      <c r="A2710" s="1" t="s">
        <v>2863</v>
      </c>
      <c r="B2710" s="19">
        <v>9800000</v>
      </c>
    </row>
    <row r="2711" spans="1:2" x14ac:dyDescent="0.3">
      <c r="A2711" s="1" t="s">
        <v>2864</v>
      </c>
      <c r="B2711" s="19">
        <v>8200000</v>
      </c>
    </row>
    <row r="2712" spans="1:2" x14ac:dyDescent="0.3">
      <c r="A2712" s="1" t="s">
        <v>2865</v>
      </c>
      <c r="B2712" s="19">
        <v>9000000</v>
      </c>
    </row>
    <row r="2713" spans="1:2" x14ac:dyDescent="0.3">
      <c r="A2713" s="1" t="s">
        <v>2866</v>
      </c>
      <c r="B2713" s="19">
        <v>11500000</v>
      </c>
    </row>
    <row r="2714" spans="1:2" x14ac:dyDescent="0.3">
      <c r="A2714" s="1" t="s">
        <v>2867</v>
      </c>
      <c r="B2714" s="19">
        <v>6500000</v>
      </c>
    </row>
    <row r="2715" spans="1:2" x14ac:dyDescent="0.3">
      <c r="A2715" s="1" t="s">
        <v>2868</v>
      </c>
      <c r="B2715" s="19">
        <v>9500000</v>
      </c>
    </row>
    <row r="2716" spans="1:2" x14ac:dyDescent="0.3">
      <c r="A2716" s="1" t="s">
        <v>2869</v>
      </c>
      <c r="B2716" s="19">
        <v>23500000</v>
      </c>
    </row>
    <row r="2717" spans="1:2" x14ac:dyDescent="0.3">
      <c r="A2717" s="1" t="s">
        <v>2404</v>
      </c>
      <c r="B2717" s="19">
        <v>18290000</v>
      </c>
    </row>
    <row r="2718" spans="1:2" x14ac:dyDescent="0.3">
      <c r="A2718" s="1" t="s">
        <v>2870</v>
      </c>
      <c r="B2718" s="19">
        <v>15000000</v>
      </c>
    </row>
    <row r="2719" spans="1:2" x14ac:dyDescent="0.3">
      <c r="A2719" s="1" t="s">
        <v>2871</v>
      </c>
      <c r="B2719" s="19">
        <v>7100000</v>
      </c>
    </row>
    <row r="2720" spans="1:2" x14ac:dyDescent="0.3">
      <c r="A2720" s="1" t="s">
        <v>2872</v>
      </c>
      <c r="B2720" s="19">
        <v>9300000</v>
      </c>
    </row>
    <row r="2721" spans="1:26" x14ac:dyDescent="0.3">
      <c r="A2721" s="1" t="s">
        <v>2873</v>
      </c>
      <c r="B2721" s="19">
        <v>7800000</v>
      </c>
    </row>
    <row r="2722" spans="1:26" x14ac:dyDescent="0.3">
      <c r="A2722" s="1" t="s">
        <v>2874</v>
      </c>
      <c r="B2722" s="19">
        <v>11500000</v>
      </c>
    </row>
    <row r="2723" spans="1:26" x14ac:dyDescent="0.3">
      <c r="A2723" s="1" t="s">
        <v>2875</v>
      </c>
      <c r="B2723" s="19">
        <v>5500000</v>
      </c>
    </row>
    <row r="2724" spans="1:26" x14ac:dyDescent="0.3">
      <c r="A2724" s="1" t="s">
        <v>2876</v>
      </c>
      <c r="B2724" s="19">
        <v>6700000</v>
      </c>
    </row>
    <row r="2725" spans="1:26" x14ac:dyDescent="0.3">
      <c r="A2725" s="1" t="s">
        <v>2877</v>
      </c>
      <c r="B2725" s="19">
        <v>15000000</v>
      </c>
    </row>
    <row r="2726" spans="1:26" x14ac:dyDescent="0.3">
      <c r="A2726" s="1" t="s">
        <v>2878</v>
      </c>
      <c r="B2726" s="19">
        <v>7500000</v>
      </c>
    </row>
    <row r="2727" spans="1:26" x14ac:dyDescent="0.3">
      <c r="A2727" s="1" t="s">
        <v>2879</v>
      </c>
      <c r="B2727" s="19">
        <v>7000000</v>
      </c>
    </row>
    <row r="2728" spans="1:26" x14ac:dyDescent="0.3">
      <c r="A2728" s="1" t="s">
        <v>2880</v>
      </c>
      <c r="B2728" s="19">
        <v>12500000</v>
      </c>
    </row>
    <row r="2729" spans="1:26" x14ac:dyDescent="0.3">
      <c r="A2729" s="12" t="s">
        <v>273</v>
      </c>
      <c r="B2729" s="9">
        <v>17500000</v>
      </c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 spans="1:26" x14ac:dyDescent="0.3">
      <c r="A2730" s="12" t="s">
        <v>173</v>
      </c>
      <c r="B2730" s="9">
        <v>23500000</v>
      </c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 spans="1:26" x14ac:dyDescent="0.3">
      <c r="A2731" s="12" t="s">
        <v>263</v>
      </c>
      <c r="B2731" s="9">
        <v>13000000</v>
      </c>
      <c r="C2731" s="12"/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 spans="1:26" x14ac:dyDescent="0.3">
      <c r="A2732" s="1"/>
      <c r="B2732" s="19"/>
    </row>
    <row r="2733" spans="1:26" x14ac:dyDescent="0.3">
      <c r="A2733" s="1"/>
      <c r="B2733" s="19"/>
    </row>
    <row r="2734" spans="1:26" x14ac:dyDescent="0.3">
      <c r="A2734" s="1"/>
      <c r="B2734" s="19"/>
    </row>
    <row r="2735" spans="1:26" x14ac:dyDescent="0.3">
      <c r="A2735" s="1"/>
      <c r="B2735" s="19"/>
    </row>
    <row r="2736" spans="1:26" x14ac:dyDescent="0.3">
      <c r="A2736" s="1"/>
      <c r="B2736" s="19"/>
    </row>
    <row r="2737" spans="1:2" x14ac:dyDescent="0.3">
      <c r="A2737" s="1"/>
      <c r="B2737" s="19"/>
    </row>
    <row r="2738" spans="1:2" x14ac:dyDescent="0.3">
      <c r="A2738" s="1"/>
      <c r="B273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21"/>
  <sheetViews>
    <sheetView workbookViewId="0">
      <pane ySplit="1" topLeftCell="A2198" activePane="bottomLeft" state="frozen"/>
      <selection pane="bottomLeft" activeCell="A2220" sqref="A2220"/>
    </sheetView>
  </sheetViews>
  <sheetFormatPr baseColWidth="10" defaultColWidth="12.6640625" defaultRowHeight="15" customHeight="1" x14ac:dyDescent="0.3"/>
  <cols>
    <col min="1" max="1" width="18" customWidth="1"/>
    <col min="5" max="5" width="18.88671875" customWidth="1"/>
  </cols>
  <sheetData>
    <row r="1" spans="1:5" ht="14.4" x14ac:dyDescent="0.3">
      <c r="A1" s="1" t="s">
        <v>2881</v>
      </c>
      <c r="B1" s="1" t="s">
        <v>2882</v>
      </c>
      <c r="C1" s="1" t="s">
        <v>2883</v>
      </c>
      <c r="D1" s="1" t="s">
        <v>2884</v>
      </c>
      <c r="E1" s="1" t="s">
        <v>2885</v>
      </c>
    </row>
    <row r="2" spans="1:5" ht="14.4" x14ac:dyDescent="0.3">
      <c r="A2" s="20">
        <v>45827.410451388889</v>
      </c>
      <c r="B2" s="1" t="s">
        <v>2886</v>
      </c>
      <c r="C2" s="1" t="s">
        <v>2887</v>
      </c>
      <c r="D2" s="1" t="s">
        <v>1690</v>
      </c>
      <c r="E2" s="1">
        <v>13100000</v>
      </c>
    </row>
    <row r="3" spans="1:5" ht="14.4" x14ac:dyDescent="0.3">
      <c r="A3" s="20">
        <v>46014.257870370369</v>
      </c>
      <c r="B3" s="1" t="s">
        <v>93</v>
      </c>
      <c r="C3" s="1" t="s">
        <v>2888</v>
      </c>
      <c r="D3" s="1" t="s">
        <v>505</v>
      </c>
      <c r="E3" s="1">
        <v>43400000</v>
      </c>
    </row>
    <row r="4" spans="1:5" ht="14.4" x14ac:dyDescent="0.3">
      <c r="A4" s="20">
        <v>46014.285381944443</v>
      </c>
      <c r="B4" s="1" t="s">
        <v>93</v>
      </c>
      <c r="C4" s="1" t="s">
        <v>94</v>
      </c>
      <c r="D4" s="1" t="s">
        <v>2889</v>
      </c>
      <c r="E4" s="1">
        <v>48700000</v>
      </c>
    </row>
    <row r="5" spans="1:5" ht="14.4" x14ac:dyDescent="0.3">
      <c r="A5" s="20">
        <v>46014.314050925925</v>
      </c>
      <c r="B5" s="1" t="s">
        <v>264</v>
      </c>
      <c r="C5" s="1" t="s">
        <v>2890</v>
      </c>
      <c r="D5" s="1" t="s">
        <v>1435</v>
      </c>
      <c r="E5" s="1">
        <v>16500000</v>
      </c>
    </row>
    <row r="6" spans="1:5" ht="14.4" x14ac:dyDescent="0.3">
      <c r="A6" s="20">
        <v>46014.327361111114</v>
      </c>
      <c r="B6" s="1" t="s">
        <v>167</v>
      </c>
      <c r="C6" s="1" t="s">
        <v>2891</v>
      </c>
      <c r="D6" s="1" t="s">
        <v>522</v>
      </c>
      <c r="E6" s="1">
        <v>10500000</v>
      </c>
    </row>
    <row r="7" spans="1:5" ht="14.4" x14ac:dyDescent="0.3">
      <c r="A7" s="20">
        <v>46014.334039351852</v>
      </c>
      <c r="B7" s="1" t="s">
        <v>48</v>
      </c>
      <c r="C7" s="1" t="s">
        <v>2892</v>
      </c>
      <c r="D7" s="1" t="s">
        <v>63</v>
      </c>
      <c r="E7" s="1">
        <v>11000000</v>
      </c>
    </row>
    <row r="8" spans="1:5" ht="14.4" x14ac:dyDescent="0.3">
      <c r="A8" s="20">
        <v>46014.335173611114</v>
      </c>
      <c r="B8" s="1" t="s">
        <v>264</v>
      </c>
      <c r="C8" s="1">
        <v>3008</v>
      </c>
      <c r="D8" s="1" t="s">
        <v>277</v>
      </c>
      <c r="E8" s="1">
        <v>15000000</v>
      </c>
    </row>
    <row r="9" spans="1:5" ht="14.4" x14ac:dyDescent="0.3">
      <c r="A9" s="20">
        <v>46014.346851851849</v>
      </c>
      <c r="B9" s="1" t="s">
        <v>236</v>
      </c>
      <c r="C9" s="1" t="s">
        <v>2893</v>
      </c>
      <c r="D9" s="1" t="s">
        <v>517</v>
      </c>
      <c r="E9" s="1">
        <v>20200000</v>
      </c>
    </row>
    <row r="10" spans="1:5" ht="14.4" x14ac:dyDescent="0.3">
      <c r="A10" s="20">
        <v>46014.352199074077</v>
      </c>
      <c r="B10" s="1" t="s">
        <v>93</v>
      </c>
      <c r="C10" s="1" t="s">
        <v>2888</v>
      </c>
      <c r="D10" s="1" t="s">
        <v>505</v>
      </c>
      <c r="E10" s="1">
        <v>43400000</v>
      </c>
    </row>
    <row r="11" spans="1:5" ht="14.4" x14ac:dyDescent="0.3">
      <c r="A11" s="20">
        <v>46014.380370370367</v>
      </c>
      <c r="B11" s="1" t="s">
        <v>195</v>
      </c>
      <c r="C11" s="1" t="s">
        <v>198</v>
      </c>
      <c r="D11" s="1" t="s">
        <v>2894</v>
      </c>
      <c r="E11" s="1">
        <v>43000000</v>
      </c>
    </row>
    <row r="12" spans="1:5" ht="14.4" x14ac:dyDescent="0.3">
      <c r="A12" s="20">
        <v>46014.390127314815</v>
      </c>
      <c r="B12" s="1" t="s">
        <v>314</v>
      </c>
      <c r="C12" s="1" t="s">
        <v>2895</v>
      </c>
      <c r="D12" s="1" t="s">
        <v>521</v>
      </c>
      <c r="E12" s="1">
        <v>6780000</v>
      </c>
    </row>
    <row r="13" spans="1:5" ht="14.4" x14ac:dyDescent="0.3">
      <c r="A13" s="20">
        <v>46014.396574074075</v>
      </c>
      <c r="B13" s="1" t="s">
        <v>264</v>
      </c>
      <c r="C13" s="1" t="s">
        <v>2896</v>
      </c>
      <c r="D13" s="1" t="s">
        <v>528</v>
      </c>
      <c r="E13" s="1">
        <v>12400000</v>
      </c>
    </row>
    <row r="14" spans="1:5" ht="14.4" x14ac:dyDescent="0.3">
      <c r="A14" s="20">
        <v>46014.401226851849</v>
      </c>
      <c r="B14" s="1" t="s">
        <v>264</v>
      </c>
      <c r="C14" s="1" t="s">
        <v>2897</v>
      </c>
      <c r="D14" s="1" t="s">
        <v>2898</v>
      </c>
      <c r="E14" s="1">
        <v>19000000</v>
      </c>
    </row>
    <row r="15" spans="1:5" ht="14.4" x14ac:dyDescent="0.3">
      <c r="A15" s="20">
        <v>46014.406863425924</v>
      </c>
      <c r="B15" s="1" t="s">
        <v>72</v>
      </c>
      <c r="C15" s="1">
        <v>560</v>
      </c>
      <c r="D15" s="1" t="s">
        <v>74</v>
      </c>
      <c r="E15" s="1">
        <v>8200000</v>
      </c>
    </row>
    <row r="16" spans="1:5" ht="14.4" x14ac:dyDescent="0.3">
      <c r="A16" s="20">
        <v>46014.409988425927</v>
      </c>
      <c r="B16" s="1" t="s">
        <v>264</v>
      </c>
      <c r="C16" s="1" t="s">
        <v>2899</v>
      </c>
      <c r="D16" s="1" t="s">
        <v>284</v>
      </c>
      <c r="E16" s="1">
        <v>15200000</v>
      </c>
    </row>
    <row r="17" spans="1:5" ht="14.4" x14ac:dyDescent="0.3">
      <c r="A17" s="20">
        <v>46014.415358796294</v>
      </c>
      <c r="B17" s="1" t="s">
        <v>93</v>
      </c>
      <c r="C17" s="1" t="s">
        <v>2900</v>
      </c>
      <c r="D17" s="1" t="s">
        <v>2901</v>
      </c>
      <c r="E17" s="1">
        <v>45800000</v>
      </c>
    </row>
    <row r="18" spans="1:5" ht="14.4" x14ac:dyDescent="0.3">
      <c r="A18" s="20">
        <v>46014.421493055554</v>
      </c>
      <c r="B18" s="1" t="s">
        <v>30</v>
      </c>
      <c r="C18" s="1" t="s">
        <v>45</v>
      </c>
      <c r="D18" s="1" t="s">
        <v>525</v>
      </c>
      <c r="E18" s="1">
        <v>11500000</v>
      </c>
    </row>
    <row r="19" spans="1:5" ht="14.4" x14ac:dyDescent="0.3">
      <c r="A19" s="20">
        <v>46014.427939814814</v>
      </c>
      <c r="B19" s="1" t="s">
        <v>30</v>
      </c>
      <c r="C19" s="1" t="s">
        <v>2902</v>
      </c>
      <c r="D19" s="1" t="s">
        <v>504</v>
      </c>
      <c r="E19" s="1">
        <v>14700000</v>
      </c>
    </row>
    <row r="20" spans="1:5" ht="14.4" x14ac:dyDescent="0.3">
      <c r="A20" s="20">
        <v>46014.438090277778</v>
      </c>
      <c r="B20" s="1" t="s">
        <v>334</v>
      </c>
      <c r="C20" s="1" t="s">
        <v>2903</v>
      </c>
      <c r="D20" s="1" t="s">
        <v>508</v>
      </c>
      <c r="E20" s="1">
        <v>23300000</v>
      </c>
    </row>
    <row r="21" spans="1:5" ht="14.4" x14ac:dyDescent="0.3">
      <c r="A21" s="20">
        <v>46014.474745370368</v>
      </c>
      <c r="B21" s="1" t="s">
        <v>303</v>
      </c>
      <c r="C21" s="1">
        <v>1500</v>
      </c>
      <c r="D21" s="1" t="s">
        <v>306</v>
      </c>
      <c r="E21" s="1">
        <v>31400000</v>
      </c>
    </row>
    <row r="22" spans="1:5" ht="14.4" x14ac:dyDescent="0.3">
      <c r="A22" s="20">
        <v>46014.479062500002</v>
      </c>
      <c r="B22" s="1" t="s">
        <v>242</v>
      </c>
      <c r="C22" s="1" t="s">
        <v>2904</v>
      </c>
      <c r="D22" s="1" t="s">
        <v>526</v>
      </c>
      <c r="E22" s="1">
        <v>20100000</v>
      </c>
    </row>
    <row r="23" spans="1:5" ht="14.4" x14ac:dyDescent="0.3">
      <c r="A23" s="20">
        <v>46014.495856481481</v>
      </c>
      <c r="B23" s="1" t="s">
        <v>2905</v>
      </c>
      <c r="C23" s="1" t="s">
        <v>90</v>
      </c>
      <c r="D23" s="1" t="s">
        <v>524</v>
      </c>
      <c r="E23" s="1">
        <v>14700000</v>
      </c>
    </row>
    <row r="24" spans="1:5" ht="14.4" x14ac:dyDescent="0.3">
      <c r="A24" s="20">
        <v>46014.510162037041</v>
      </c>
      <c r="B24" s="1" t="s">
        <v>2906</v>
      </c>
      <c r="C24" s="1" t="s">
        <v>2907</v>
      </c>
      <c r="D24" s="1" t="s">
        <v>523</v>
      </c>
      <c r="E24" s="1">
        <v>5850000</v>
      </c>
    </row>
    <row r="25" spans="1:5" ht="14.4" x14ac:dyDescent="0.3">
      <c r="A25" s="20">
        <v>46014.516087962962</v>
      </c>
      <c r="B25" s="1" t="s">
        <v>264</v>
      </c>
      <c r="C25" s="1">
        <v>3008</v>
      </c>
      <c r="D25" s="1" t="s">
        <v>519</v>
      </c>
      <c r="E25" s="1">
        <v>25800000</v>
      </c>
    </row>
    <row r="26" spans="1:5" ht="14.4" x14ac:dyDescent="0.3">
      <c r="A26" s="20">
        <v>46014.553136574075</v>
      </c>
      <c r="B26" s="1" t="s">
        <v>30</v>
      </c>
      <c r="C26" s="1" t="s">
        <v>2908</v>
      </c>
      <c r="D26" s="1" t="s">
        <v>2909</v>
      </c>
      <c r="E26" s="1">
        <v>7600000</v>
      </c>
    </row>
    <row r="27" spans="1:5" ht="14.4" x14ac:dyDescent="0.3">
      <c r="A27" s="20">
        <v>46015.296296296299</v>
      </c>
      <c r="B27" s="1" t="s">
        <v>2910</v>
      </c>
      <c r="C27" s="1" t="s">
        <v>2911</v>
      </c>
      <c r="D27" s="1" t="s">
        <v>495</v>
      </c>
      <c r="E27" s="1">
        <v>8600000</v>
      </c>
    </row>
    <row r="28" spans="1:5" ht="14.4" x14ac:dyDescent="0.3">
      <c r="A28" s="20">
        <v>46015.316678240742</v>
      </c>
      <c r="B28" s="1" t="s">
        <v>242</v>
      </c>
      <c r="C28" s="1" t="s">
        <v>246</v>
      </c>
      <c r="D28" s="1" t="s">
        <v>2912</v>
      </c>
      <c r="E28" s="1">
        <v>13000000</v>
      </c>
    </row>
    <row r="29" spans="1:5" ht="14.4" x14ac:dyDescent="0.3">
      <c r="A29" s="20">
        <v>46015.32298611111</v>
      </c>
      <c r="B29" s="1" t="s">
        <v>264</v>
      </c>
      <c r="C29" s="1" t="s">
        <v>2913</v>
      </c>
      <c r="D29" s="1" t="s">
        <v>2914</v>
      </c>
      <c r="E29" s="1">
        <v>23700000</v>
      </c>
    </row>
    <row r="30" spans="1:5" ht="14.4" x14ac:dyDescent="0.3">
      <c r="A30" s="20">
        <v>46015.339988425927</v>
      </c>
      <c r="B30" s="1" t="s">
        <v>264</v>
      </c>
      <c r="C30" s="1" t="s">
        <v>293</v>
      </c>
      <c r="D30" s="1" t="s">
        <v>2915</v>
      </c>
      <c r="E30" s="1">
        <v>17200000</v>
      </c>
    </row>
    <row r="31" spans="1:5" ht="14.4" x14ac:dyDescent="0.3">
      <c r="A31" s="20">
        <v>46015.34851851852</v>
      </c>
      <c r="B31" s="1" t="s">
        <v>30</v>
      </c>
      <c r="C31" s="1" t="s">
        <v>34</v>
      </c>
      <c r="D31" s="1" t="s">
        <v>37</v>
      </c>
      <c r="E31" s="1">
        <v>8400000</v>
      </c>
    </row>
    <row r="32" spans="1:5" ht="14.4" x14ac:dyDescent="0.3">
      <c r="A32" s="20">
        <v>46015.349976851852</v>
      </c>
      <c r="B32" s="1" t="s">
        <v>93</v>
      </c>
      <c r="C32" s="1" t="s">
        <v>2916</v>
      </c>
      <c r="D32" s="1" t="s">
        <v>124</v>
      </c>
      <c r="E32" s="1">
        <v>45300000</v>
      </c>
    </row>
    <row r="33" spans="1:5" ht="14.4" x14ac:dyDescent="0.3">
      <c r="A33" s="20">
        <v>46015.351793981485</v>
      </c>
      <c r="B33" s="1" t="s">
        <v>264</v>
      </c>
      <c r="C33" s="1" t="s">
        <v>2917</v>
      </c>
      <c r="D33" s="1" t="s">
        <v>271</v>
      </c>
      <c r="E33" s="1">
        <v>23900000</v>
      </c>
    </row>
    <row r="34" spans="1:5" ht="14.4" x14ac:dyDescent="0.3">
      <c r="A34" s="20">
        <v>46015.355740740742</v>
      </c>
      <c r="B34" s="1" t="s">
        <v>264</v>
      </c>
      <c r="C34" s="1" t="s">
        <v>2896</v>
      </c>
      <c r="D34" s="1" t="s">
        <v>649</v>
      </c>
      <c r="E34" s="1">
        <v>16900000</v>
      </c>
    </row>
    <row r="35" spans="1:5" ht="14.4" x14ac:dyDescent="0.3">
      <c r="A35" s="20">
        <v>46015.356620370374</v>
      </c>
      <c r="B35" s="1" t="s">
        <v>93</v>
      </c>
      <c r="C35" s="1" t="s">
        <v>2918</v>
      </c>
      <c r="D35" s="1" t="s">
        <v>535</v>
      </c>
      <c r="E35" s="1">
        <v>49700000</v>
      </c>
    </row>
    <row r="36" spans="1:5" ht="14.4" x14ac:dyDescent="0.3">
      <c r="A36" s="20">
        <v>46015.361087962963</v>
      </c>
      <c r="B36" s="1" t="s">
        <v>93</v>
      </c>
      <c r="C36" s="1" t="s">
        <v>2919</v>
      </c>
      <c r="D36" s="1" t="s">
        <v>140</v>
      </c>
      <c r="E36" s="1">
        <v>26400000</v>
      </c>
    </row>
    <row r="37" spans="1:5" ht="14.4" x14ac:dyDescent="0.3">
      <c r="A37" s="20">
        <v>46015.363333333335</v>
      </c>
      <c r="B37" s="1" t="s">
        <v>15</v>
      </c>
      <c r="C37" s="1" t="s">
        <v>2920</v>
      </c>
      <c r="D37" s="1" t="s">
        <v>500</v>
      </c>
      <c r="E37" s="1">
        <v>12000000</v>
      </c>
    </row>
    <row r="38" spans="1:5" ht="14.4" x14ac:dyDescent="0.3">
      <c r="A38" s="20">
        <v>46015.364537037036</v>
      </c>
      <c r="B38" s="1" t="s">
        <v>264</v>
      </c>
      <c r="C38" s="1" t="s">
        <v>2899</v>
      </c>
      <c r="D38" s="1" t="s">
        <v>785</v>
      </c>
      <c r="E38" s="1">
        <v>18100000</v>
      </c>
    </row>
    <row r="39" spans="1:5" ht="14.4" x14ac:dyDescent="0.3">
      <c r="A39" s="20">
        <v>46015.36996527778</v>
      </c>
      <c r="B39" s="1" t="s">
        <v>264</v>
      </c>
      <c r="C39" s="1" t="s">
        <v>293</v>
      </c>
      <c r="D39" s="1" t="s">
        <v>298</v>
      </c>
      <c r="E39" s="1">
        <v>22900000</v>
      </c>
    </row>
    <row r="40" spans="1:5" ht="14.4" x14ac:dyDescent="0.3">
      <c r="A40" s="20">
        <v>46015.374259259261</v>
      </c>
      <c r="B40" s="1" t="s">
        <v>242</v>
      </c>
      <c r="C40" s="1" t="s">
        <v>2921</v>
      </c>
      <c r="D40" s="1" t="s">
        <v>1034</v>
      </c>
      <c r="E40" s="1">
        <v>16000000</v>
      </c>
    </row>
    <row r="41" spans="1:5" ht="14.4" x14ac:dyDescent="0.3">
      <c r="A41" s="20">
        <v>46015.374745370369</v>
      </c>
      <c r="B41" s="1" t="s">
        <v>264</v>
      </c>
      <c r="C41" s="1" t="s">
        <v>2897</v>
      </c>
      <c r="D41" s="1" t="s">
        <v>2922</v>
      </c>
      <c r="E41" s="1">
        <v>12600000</v>
      </c>
    </row>
    <row r="42" spans="1:5" ht="14.4" x14ac:dyDescent="0.3">
      <c r="A42" s="20">
        <v>46015.375011574077</v>
      </c>
      <c r="B42" s="1" t="s">
        <v>2923</v>
      </c>
      <c r="C42" s="1" t="s">
        <v>2924</v>
      </c>
      <c r="D42" s="1" t="s">
        <v>540</v>
      </c>
      <c r="E42" s="1">
        <v>12700000</v>
      </c>
    </row>
    <row r="43" spans="1:5" ht="14.4" x14ac:dyDescent="0.3">
      <c r="A43" s="20">
        <v>46015.376111111109</v>
      </c>
      <c r="B43" s="1" t="s">
        <v>93</v>
      </c>
      <c r="C43" s="1" t="s">
        <v>100</v>
      </c>
      <c r="D43" s="1" t="s">
        <v>102</v>
      </c>
      <c r="E43" s="1">
        <v>26100000</v>
      </c>
    </row>
    <row r="44" spans="1:5" ht="14.4" x14ac:dyDescent="0.3">
      <c r="A44" s="20">
        <v>46015.378935185188</v>
      </c>
      <c r="B44" s="1" t="s">
        <v>72</v>
      </c>
      <c r="C44" s="1">
        <v>580</v>
      </c>
      <c r="D44" s="1" t="s">
        <v>827</v>
      </c>
      <c r="E44" s="1">
        <v>10300000</v>
      </c>
    </row>
    <row r="45" spans="1:5" ht="14.4" x14ac:dyDescent="0.3">
      <c r="A45" s="20">
        <v>46015.380347222221</v>
      </c>
      <c r="B45" s="1" t="s">
        <v>242</v>
      </c>
      <c r="C45" s="1" t="s">
        <v>2921</v>
      </c>
      <c r="D45" s="1" t="s">
        <v>918</v>
      </c>
      <c r="E45" s="1">
        <v>15600000</v>
      </c>
    </row>
    <row r="46" spans="1:5" ht="14.4" x14ac:dyDescent="0.3">
      <c r="A46" s="20">
        <v>46015.384872685187</v>
      </c>
      <c r="B46" s="1" t="s">
        <v>264</v>
      </c>
      <c r="C46" s="1" t="s">
        <v>2925</v>
      </c>
      <c r="D46" s="1" t="s">
        <v>2926</v>
      </c>
      <c r="E46" s="1">
        <v>20500000</v>
      </c>
    </row>
    <row r="47" spans="1:5" ht="14.4" x14ac:dyDescent="0.3">
      <c r="A47" s="20">
        <v>46015.385104166664</v>
      </c>
      <c r="B47" s="1" t="s">
        <v>264</v>
      </c>
      <c r="C47" s="1">
        <v>2008</v>
      </c>
      <c r="D47" s="1" t="s">
        <v>2927</v>
      </c>
      <c r="E47" s="1">
        <v>12900000</v>
      </c>
    </row>
    <row r="48" spans="1:5" ht="14.4" x14ac:dyDescent="0.3">
      <c r="A48" s="20">
        <v>46015.388819444444</v>
      </c>
      <c r="B48" s="1" t="s">
        <v>93</v>
      </c>
      <c r="C48" s="1" t="s">
        <v>143</v>
      </c>
      <c r="D48" s="1" t="s">
        <v>146</v>
      </c>
      <c r="E48" s="1">
        <v>12800000</v>
      </c>
    </row>
    <row r="49" spans="1:5" ht="14.4" x14ac:dyDescent="0.3">
      <c r="A49" s="20">
        <v>46015.390960648147</v>
      </c>
      <c r="B49" s="1" t="s">
        <v>157</v>
      </c>
      <c r="C49" s="1" t="s">
        <v>2928</v>
      </c>
      <c r="D49" s="1" t="s">
        <v>541</v>
      </c>
      <c r="E49" s="1">
        <v>12300000</v>
      </c>
    </row>
    <row r="50" spans="1:5" ht="14.4" x14ac:dyDescent="0.3">
      <c r="A50" s="20">
        <v>46015.392592592594</v>
      </c>
      <c r="B50" s="1" t="s">
        <v>264</v>
      </c>
      <c r="C50" s="1" t="s">
        <v>2890</v>
      </c>
      <c r="D50" s="1" t="s">
        <v>1596</v>
      </c>
      <c r="E50" s="1">
        <v>17900000</v>
      </c>
    </row>
    <row r="51" spans="1:5" ht="14.4" x14ac:dyDescent="0.3">
      <c r="A51" s="20">
        <v>46015.393842592595</v>
      </c>
      <c r="B51" s="1" t="s">
        <v>2929</v>
      </c>
      <c r="C51" s="1" t="s">
        <v>2930</v>
      </c>
      <c r="D51" s="1" t="s">
        <v>2931</v>
      </c>
      <c r="E51" s="1">
        <v>5270000</v>
      </c>
    </row>
    <row r="52" spans="1:5" ht="14.4" x14ac:dyDescent="0.3">
      <c r="A52" s="20">
        <v>46015.394212962965</v>
      </c>
      <c r="B52" s="1" t="s">
        <v>64</v>
      </c>
      <c r="C52" s="1" t="s">
        <v>2932</v>
      </c>
      <c r="D52" s="1" t="s">
        <v>71</v>
      </c>
      <c r="E52" s="1">
        <v>13500000</v>
      </c>
    </row>
    <row r="53" spans="1:5" ht="14.4" x14ac:dyDescent="0.3">
      <c r="A53" s="20">
        <v>46015.425185185188</v>
      </c>
      <c r="B53" s="1" t="s">
        <v>2933</v>
      </c>
      <c r="C53" s="1" t="s">
        <v>2934</v>
      </c>
      <c r="D53" s="1" t="s">
        <v>626</v>
      </c>
      <c r="E53" s="1">
        <v>21500000</v>
      </c>
    </row>
    <row r="54" spans="1:5" ht="14.4" x14ac:dyDescent="0.3">
      <c r="A54" s="20">
        <v>46015.432372685187</v>
      </c>
      <c r="B54" s="1" t="s">
        <v>2910</v>
      </c>
      <c r="C54" s="1" t="s">
        <v>2935</v>
      </c>
      <c r="D54" s="1" t="s">
        <v>2936</v>
      </c>
      <c r="E54" s="1">
        <v>12300000</v>
      </c>
    </row>
    <row r="55" spans="1:5" ht="14.4" x14ac:dyDescent="0.3">
      <c r="A55" s="20">
        <v>46017.283576388887</v>
      </c>
      <c r="B55" s="1" t="s">
        <v>48</v>
      </c>
      <c r="C55" s="1" t="s">
        <v>2937</v>
      </c>
      <c r="D55" s="1" t="s">
        <v>1426</v>
      </c>
      <c r="E55" s="1">
        <v>23200000</v>
      </c>
    </row>
    <row r="56" spans="1:5" ht="14.4" x14ac:dyDescent="0.3">
      <c r="A56" s="20">
        <v>46017.285069444442</v>
      </c>
      <c r="B56" s="1" t="s">
        <v>264</v>
      </c>
      <c r="C56" s="1" t="s">
        <v>2925</v>
      </c>
      <c r="D56" s="1" t="s">
        <v>801</v>
      </c>
      <c r="E56" s="1">
        <v>20600000</v>
      </c>
    </row>
    <row r="57" spans="1:5" ht="14.4" x14ac:dyDescent="0.3">
      <c r="A57" s="20">
        <v>46017.288472222222</v>
      </c>
      <c r="B57" s="1" t="s">
        <v>72</v>
      </c>
      <c r="C57" s="1">
        <v>580</v>
      </c>
      <c r="D57" s="1" t="s">
        <v>81</v>
      </c>
      <c r="E57" s="1">
        <v>10000000</v>
      </c>
    </row>
    <row r="58" spans="1:5" ht="14.4" x14ac:dyDescent="0.3">
      <c r="A58" s="20">
        <v>46017.292233796295</v>
      </c>
      <c r="B58" s="1" t="s">
        <v>264</v>
      </c>
      <c r="C58" s="1" t="s">
        <v>2913</v>
      </c>
      <c r="D58" s="1" t="s">
        <v>292</v>
      </c>
      <c r="E58" s="1">
        <v>24900000</v>
      </c>
    </row>
    <row r="59" spans="1:5" ht="14.4" x14ac:dyDescent="0.3">
      <c r="A59" s="20">
        <v>46017.292800925927</v>
      </c>
      <c r="B59" s="1" t="s">
        <v>264</v>
      </c>
      <c r="C59" s="1" t="s">
        <v>293</v>
      </c>
      <c r="D59" s="1" t="s">
        <v>772</v>
      </c>
      <c r="E59" s="1">
        <v>18400000</v>
      </c>
    </row>
    <row r="60" spans="1:5" ht="14.4" x14ac:dyDescent="0.3">
      <c r="A60" s="20">
        <v>46017.293368055558</v>
      </c>
      <c r="B60" s="1" t="s">
        <v>2938</v>
      </c>
      <c r="C60" s="1" t="s">
        <v>2939</v>
      </c>
      <c r="D60" s="1" t="s">
        <v>653</v>
      </c>
      <c r="E60" s="1">
        <v>8800000</v>
      </c>
    </row>
    <row r="61" spans="1:5" ht="14.4" x14ac:dyDescent="0.3">
      <c r="A61" s="20">
        <v>46017.295011574075</v>
      </c>
      <c r="B61" s="1" t="s">
        <v>93</v>
      </c>
      <c r="C61" s="1" t="s">
        <v>2888</v>
      </c>
      <c r="D61" s="1" t="s">
        <v>707</v>
      </c>
      <c r="E61" s="1">
        <v>49800000</v>
      </c>
    </row>
    <row r="62" spans="1:5" ht="14.4" x14ac:dyDescent="0.3">
      <c r="A62" s="20">
        <v>46017.296215277776</v>
      </c>
      <c r="B62" s="1" t="s">
        <v>264</v>
      </c>
      <c r="C62" s="1" t="s">
        <v>2899</v>
      </c>
      <c r="D62" s="1" t="s">
        <v>923</v>
      </c>
      <c r="E62" s="1">
        <v>20700000</v>
      </c>
    </row>
    <row r="63" spans="1:5" ht="14.4" x14ac:dyDescent="0.3">
      <c r="A63" s="20">
        <v>46017.296770833331</v>
      </c>
      <c r="B63" s="1" t="s">
        <v>157</v>
      </c>
      <c r="C63" s="1" t="s">
        <v>2940</v>
      </c>
      <c r="D63" s="1" t="s">
        <v>597</v>
      </c>
      <c r="E63" s="1">
        <v>19400000</v>
      </c>
    </row>
    <row r="64" spans="1:5" ht="14.4" x14ac:dyDescent="0.3">
      <c r="A64" s="20">
        <v>46017.298437500001</v>
      </c>
      <c r="B64" s="1" t="s">
        <v>260</v>
      </c>
      <c r="C64" s="1" t="s">
        <v>69</v>
      </c>
      <c r="D64" s="1" t="s">
        <v>262</v>
      </c>
      <c r="E64" s="1">
        <v>12800000</v>
      </c>
    </row>
    <row r="65" spans="1:5" ht="14.4" x14ac:dyDescent="0.3">
      <c r="A65" s="20">
        <v>46017.299421296295</v>
      </c>
      <c r="B65" s="1" t="s">
        <v>264</v>
      </c>
      <c r="C65" s="1" t="s">
        <v>293</v>
      </c>
      <c r="D65" s="1" t="s">
        <v>769</v>
      </c>
      <c r="E65" s="1">
        <v>17700000</v>
      </c>
    </row>
    <row r="66" spans="1:5" ht="14.4" x14ac:dyDescent="0.3">
      <c r="A66" s="20">
        <v>46017.300659722219</v>
      </c>
      <c r="B66" s="1" t="s">
        <v>242</v>
      </c>
      <c r="C66" s="1" t="s">
        <v>254</v>
      </c>
      <c r="D66" s="1" t="s">
        <v>256</v>
      </c>
      <c r="E66" s="1">
        <v>9800000</v>
      </c>
    </row>
    <row r="67" spans="1:5" ht="14.4" x14ac:dyDescent="0.3">
      <c r="A67" s="20">
        <v>46017.30164351852</v>
      </c>
      <c r="B67" s="1" t="s">
        <v>181</v>
      </c>
      <c r="C67" s="1" t="s">
        <v>2941</v>
      </c>
      <c r="D67" s="1" t="s">
        <v>531</v>
      </c>
      <c r="E67" s="1">
        <v>9000000</v>
      </c>
    </row>
    <row r="68" spans="1:5" ht="14.4" x14ac:dyDescent="0.3">
      <c r="A68" s="20">
        <v>46017.302152777775</v>
      </c>
      <c r="B68" s="1" t="s">
        <v>303</v>
      </c>
      <c r="C68" s="1" t="s">
        <v>2942</v>
      </c>
      <c r="D68" s="1" t="s">
        <v>568</v>
      </c>
      <c r="E68" s="1">
        <v>34300000</v>
      </c>
    </row>
    <row r="69" spans="1:5" ht="14.4" x14ac:dyDescent="0.3">
      <c r="A69" s="20">
        <v>46017.303356481483</v>
      </c>
      <c r="B69" s="1" t="s">
        <v>2906</v>
      </c>
      <c r="C69" s="1" t="s">
        <v>2943</v>
      </c>
      <c r="D69" s="1" t="s">
        <v>581</v>
      </c>
      <c r="E69" s="1">
        <v>9500000</v>
      </c>
    </row>
    <row r="70" spans="1:5" ht="14.4" x14ac:dyDescent="0.3">
      <c r="A70" s="20">
        <v>46017.310011574074</v>
      </c>
      <c r="B70" s="1" t="s">
        <v>264</v>
      </c>
      <c r="C70" s="1" t="s">
        <v>2913</v>
      </c>
      <c r="D70" s="1" t="s">
        <v>288</v>
      </c>
      <c r="E70" s="1">
        <v>23600000</v>
      </c>
    </row>
    <row r="71" spans="1:5" ht="14.4" x14ac:dyDescent="0.3">
      <c r="A71" s="20">
        <v>46017.310416666667</v>
      </c>
      <c r="B71" s="1" t="s">
        <v>93</v>
      </c>
      <c r="C71" s="1" t="s">
        <v>2888</v>
      </c>
      <c r="D71" s="1" t="s">
        <v>128</v>
      </c>
      <c r="E71" s="1">
        <v>22100000</v>
      </c>
    </row>
    <row r="72" spans="1:5" ht="14.4" x14ac:dyDescent="0.3">
      <c r="A72" s="20">
        <v>46017.310833333337</v>
      </c>
      <c r="B72" s="1" t="s">
        <v>48</v>
      </c>
      <c r="C72" s="1" t="s">
        <v>52</v>
      </c>
      <c r="D72" s="1" t="s">
        <v>54</v>
      </c>
      <c r="E72" s="1">
        <v>47500000</v>
      </c>
    </row>
    <row r="73" spans="1:5" ht="14.4" x14ac:dyDescent="0.3">
      <c r="A73" s="20">
        <v>46017.311273148145</v>
      </c>
      <c r="B73" s="1" t="s">
        <v>93</v>
      </c>
      <c r="C73" s="1" t="s">
        <v>2916</v>
      </c>
      <c r="D73" s="1" t="s">
        <v>126</v>
      </c>
      <c r="E73" s="1">
        <v>42400000</v>
      </c>
    </row>
    <row r="74" spans="1:5" ht="14.4" x14ac:dyDescent="0.3">
      <c r="A74" s="20">
        <v>46017.313009259262</v>
      </c>
      <c r="B74" s="1" t="s">
        <v>181</v>
      </c>
      <c r="C74" s="1" t="s">
        <v>2944</v>
      </c>
      <c r="D74" s="1" t="s">
        <v>1003</v>
      </c>
      <c r="E74" s="1">
        <v>16600000</v>
      </c>
    </row>
    <row r="75" spans="1:5" ht="14.4" x14ac:dyDescent="0.3">
      <c r="A75" s="20">
        <v>46017.324074074073</v>
      </c>
      <c r="B75" s="1" t="s">
        <v>264</v>
      </c>
      <c r="C75" s="1" t="s">
        <v>293</v>
      </c>
      <c r="D75" s="1" t="s">
        <v>295</v>
      </c>
      <c r="E75" s="1">
        <v>15300000</v>
      </c>
    </row>
    <row r="76" spans="1:5" ht="14.4" x14ac:dyDescent="0.3">
      <c r="A76" s="20">
        <v>46017.325706018521</v>
      </c>
      <c r="B76" s="1" t="s">
        <v>242</v>
      </c>
      <c r="C76" s="1" t="s">
        <v>254</v>
      </c>
      <c r="D76" s="1" t="s">
        <v>579</v>
      </c>
      <c r="E76" s="1">
        <v>10900000</v>
      </c>
    </row>
    <row r="77" spans="1:5" ht="14.4" x14ac:dyDescent="0.3">
      <c r="A77" s="20">
        <v>46017.326666666668</v>
      </c>
      <c r="B77" s="1" t="s">
        <v>264</v>
      </c>
      <c r="C77" s="1" t="s">
        <v>2896</v>
      </c>
      <c r="D77" s="1" t="s">
        <v>647</v>
      </c>
      <c r="E77" s="1">
        <v>13200000</v>
      </c>
    </row>
    <row r="78" spans="1:5" ht="14.4" x14ac:dyDescent="0.3">
      <c r="A78" s="20">
        <v>46017.328043981484</v>
      </c>
      <c r="B78" s="1" t="s">
        <v>264</v>
      </c>
      <c r="C78" s="1" t="s">
        <v>2899</v>
      </c>
      <c r="D78" s="1" t="s">
        <v>275</v>
      </c>
      <c r="E78" s="1">
        <v>13800000</v>
      </c>
    </row>
    <row r="79" spans="1:5" ht="14.4" x14ac:dyDescent="0.3">
      <c r="A79" s="20">
        <v>46017.328414351854</v>
      </c>
      <c r="B79" s="1" t="s">
        <v>2945</v>
      </c>
      <c r="C79" s="1" t="s">
        <v>2946</v>
      </c>
      <c r="D79" s="1" t="s">
        <v>518</v>
      </c>
      <c r="E79" s="1">
        <v>11600000</v>
      </c>
    </row>
    <row r="80" spans="1:5" ht="14.4" x14ac:dyDescent="0.3">
      <c r="A80" s="20">
        <v>46017.331689814811</v>
      </c>
      <c r="B80" s="1" t="s">
        <v>181</v>
      </c>
      <c r="C80" s="1" t="s">
        <v>2947</v>
      </c>
      <c r="D80" s="1" t="s">
        <v>187</v>
      </c>
      <c r="E80" s="1">
        <v>15400000</v>
      </c>
    </row>
    <row r="81" spans="1:5" ht="14.4" x14ac:dyDescent="0.3">
      <c r="A81" s="20">
        <v>46017.333553240744</v>
      </c>
      <c r="B81" s="1" t="s">
        <v>93</v>
      </c>
      <c r="C81" s="1" t="s">
        <v>118</v>
      </c>
      <c r="D81" s="1" t="s">
        <v>120</v>
      </c>
      <c r="E81" s="1">
        <v>29800000</v>
      </c>
    </row>
    <row r="82" spans="1:5" ht="14.4" x14ac:dyDescent="0.3">
      <c r="A82" s="20">
        <v>46017.333969907406</v>
      </c>
      <c r="B82" s="1" t="s">
        <v>264</v>
      </c>
      <c r="C82" s="1">
        <v>3008</v>
      </c>
      <c r="D82" s="1" t="s">
        <v>824</v>
      </c>
      <c r="E82" s="1">
        <v>17100000</v>
      </c>
    </row>
    <row r="83" spans="1:5" ht="14.4" x14ac:dyDescent="0.3">
      <c r="A83" s="20">
        <v>46017.335775462961</v>
      </c>
      <c r="B83" s="1" t="s">
        <v>93</v>
      </c>
      <c r="C83" s="1" t="s">
        <v>143</v>
      </c>
      <c r="D83" s="1" t="s">
        <v>2948</v>
      </c>
      <c r="E83" s="1">
        <v>13100000</v>
      </c>
    </row>
    <row r="84" spans="1:5" ht="14.4" x14ac:dyDescent="0.3">
      <c r="A84" s="20">
        <v>46017.335868055554</v>
      </c>
      <c r="B84" s="1" t="s">
        <v>264</v>
      </c>
      <c r="C84" s="1" t="s">
        <v>2896</v>
      </c>
      <c r="D84" s="1" t="s">
        <v>760</v>
      </c>
      <c r="E84" s="1">
        <v>18800000</v>
      </c>
    </row>
    <row r="85" spans="1:5" ht="14.4" x14ac:dyDescent="0.3">
      <c r="A85" s="20">
        <v>46017.34946759259</v>
      </c>
      <c r="B85" s="1" t="s">
        <v>2910</v>
      </c>
      <c r="C85" s="1" t="s">
        <v>209</v>
      </c>
      <c r="D85" s="1" t="s">
        <v>1039</v>
      </c>
      <c r="E85" s="1">
        <v>30400000</v>
      </c>
    </row>
    <row r="86" spans="1:5" ht="14.4" x14ac:dyDescent="0.3">
      <c r="A86" s="20">
        <v>46017.352094907408</v>
      </c>
      <c r="B86" s="1" t="s">
        <v>317</v>
      </c>
      <c r="C86" s="1" t="s">
        <v>2949</v>
      </c>
      <c r="D86" s="1" t="s">
        <v>320</v>
      </c>
      <c r="E86" s="1">
        <v>12100000</v>
      </c>
    </row>
    <row r="87" spans="1:5" ht="14.4" x14ac:dyDescent="0.3">
      <c r="A87" s="20">
        <v>46017.352777777778</v>
      </c>
      <c r="B87" s="1" t="s">
        <v>264</v>
      </c>
      <c r="C87" s="1" t="s">
        <v>2899</v>
      </c>
      <c r="D87" s="1" t="s">
        <v>2950</v>
      </c>
      <c r="E87" s="1">
        <v>19200000</v>
      </c>
    </row>
    <row r="88" spans="1:5" ht="14.4" x14ac:dyDescent="0.3">
      <c r="A88" s="20">
        <v>46017.357800925929</v>
      </c>
      <c r="B88" s="1" t="s">
        <v>167</v>
      </c>
      <c r="C88" s="1" t="s">
        <v>2951</v>
      </c>
      <c r="D88" s="1" t="s">
        <v>175</v>
      </c>
      <c r="E88" s="1">
        <v>32100000</v>
      </c>
    </row>
    <row r="89" spans="1:5" ht="14.4" x14ac:dyDescent="0.3">
      <c r="A89" s="20">
        <v>46017.359178240738</v>
      </c>
      <c r="B89" s="1" t="s">
        <v>264</v>
      </c>
      <c r="C89" s="1" t="s">
        <v>2913</v>
      </c>
      <c r="D89" s="1" t="s">
        <v>650</v>
      </c>
      <c r="E89" s="1">
        <v>22000000</v>
      </c>
    </row>
    <row r="90" spans="1:5" ht="14.4" x14ac:dyDescent="0.3">
      <c r="A90" s="20">
        <v>46017.362743055557</v>
      </c>
      <c r="B90" s="1" t="s">
        <v>93</v>
      </c>
      <c r="C90" s="1" t="s">
        <v>131</v>
      </c>
      <c r="D90" s="1" t="s">
        <v>565</v>
      </c>
      <c r="E90" s="1">
        <v>18700000</v>
      </c>
    </row>
    <row r="91" spans="1:5" ht="14.4" x14ac:dyDescent="0.3">
      <c r="A91" s="20">
        <v>46017.366782407407</v>
      </c>
      <c r="B91" s="1" t="s">
        <v>48</v>
      </c>
      <c r="C91" s="1" t="s">
        <v>2952</v>
      </c>
      <c r="D91" s="1" t="s">
        <v>534</v>
      </c>
      <c r="E91" s="1">
        <v>9900000</v>
      </c>
    </row>
    <row r="92" spans="1:5" ht="14.4" x14ac:dyDescent="0.3">
      <c r="A92" s="20">
        <v>46017.367800925924</v>
      </c>
      <c r="B92" s="1" t="s">
        <v>93</v>
      </c>
      <c r="C92" s="1" t="s">
        <v>2919</v>
      </c>
      <c r="D92" s="1" t="s">
        <v>133</v>
      </c>
      <c r="E92" s="1">
        <v>36200000</v>
      </c>
    </row>
    <row r="93" spans="1:5" ht="14.4" x14ac:dyDescent="0.3">
      <c r="A93" s="20">
        <v>46017.368657407409</v>
      </c>
      <c r="B93" s="1" t="s">
        <v>327</v>
      </c>
      <c r="C93" s="1" t="s">
        <v>2953</v>
      </c>
      <c r="D93" s="1" t="s">
        <v>2954</v>
      </c>
      <c r="E93" s="1">
        <v>9800000</v>
      </c>
    </row>
    <row r="94" spans="1:5" ht="14.4" x14ac:dyDescent="0.3">
      <c r="A94" s="20">
        <v>46017.371064814812</v>
      </c>
      <c r="B94" s="1" t="s">
        <v>2933</v>
      </c>
      <c r="C94" s="1" t="s">
        <v>2955</v>
      </c>
      <c r="D94" s="1" t="s">
        <v>539</v>
      </c>
      <c r="E94" s="1">
        <v>11500000</v>
      </c>
    </row>
    <row r="95" spans="1:5" ht="14.4" x14ac:dyDescent="0.3">
      <c r="A95" s="20">
        <v>46017.372662037036</v>
      </c>
      <c r="B95" s="1" t="s">
        <v>226</v>
      </c>
      <c r="C95" s="1" t="s">
        <v>2956</v>
      </c>
      <c r="D95" s="1" t="s">
        <v>629</v>
      </c>
      <c r="E95" s="1">
        <v>6640000</v>
      </c>
    </row>
    <row r="96" spans="1:5" ht="14.4" x14ac:dyDescent="0.3">
      <c r="A96" s="20">
        <v>46017.379155092596</v>
      </c>
      <c r="B96" s="1" t="s">
        <v>2957</v>
      </c>
      <c r="C96" s="1" t="s">
        <v>2958</v>
      </c>
      <c r="D96" s="1" t="s">
        <v>530</v>
      </c>
      <c r="E96" s="1">
        <v>16800000</v>
      </c>
    </row>
    <row r="97" spans="1:5" ht="14.4" x14ac:dyDescent="0.3">
      <c r="A97" s="20">
        <v>46017.385949074072</v>
      </c>
      <c r="B97" s="1" t="s">
        <v>30</v>
      </c>
      <c r="C97" s="1" t="s">
        <v>2959</v>
      </c>
      <c r="D97" s="1" t="s">
        <v>2960</v>
      </c>
      <c r="E97" s="1">
        <v>9100000</v>
      </c>
    </row>
    <row r="98" spans="1:5" ht="14.4" x14ac:dyDescent="0.3">
      <c r="A98" s="20">
        <v>46017.386863425927</v>
      </c>
      <c r="B98" s="1" t="s">
        <v>229</v>
      </c>
      <c r="C98" s="1" t="s">
        <v>233</v>
      </c>
      <c r="D98" s="1" t="s">
        <v>235</v>
      </c>
      <c r="E98" s="1">
        <v>40700000</v>
      </c>
    </row>
    <row r="99" spans="1:5" ht="14.4" x14ac:dyDescent="0.3">
      <c r="A99" s="20">
        <v>46017.388368055559</v>
      </c>
      <c r="B99" s="1" t="s">
        <v>2961</v>
      </c>
      <c r="C99" s="1" t="s">
        <v>2962</v>
      </c>
      <c r="D99" s="1" t="s">
        <v>1182</v>
      </c>
      <c r="E99" s="1">
        <v>17400000</v>
      </c>
    </row>
    <row r="100" spans="1:5" ht="14.4" x14ac:dyDescent="0.3">
      <c r="A100" s="20">
        <v>46017.390046296299</v>
      </c>
      <c r="B100" s="1" t="s">
        <v>72</v>
      </c>
      <c r="C100" s="1">
        <v>560</v>
      </c>
      <c r="D100" s="1" t="s">
        <v>734</v>
      </c>
      <c r="E100" s="1">
        <v>8900000</v>
      </c>
    </row>
    <row r="101" spans="1:5" ht="14.4" x14ac:dyDescent="0.3">
      <c r="A101" s="20">
        <v>46017.39203703704</v>
      </c>
      <c r="B101" s="1" t="s">
        <v>242</v>
      </c>
      <c r="C101" s="1" t="s">
        <v>246</v>
      </c>
      <c r="D101" s="1" t="s">
        <v>250</v>
      </c>
      <c r="E101" s="1">
        <v>17300000</v>
      </c>
    </row>
    <row r="102" spans="1:5" ht="14.4" x14ac:dyDescent="0.3">
      <c r="A102" s="20">
        <v>46017.394004629627</v>
      </c>
      <c r="B102" s="1" t="s">
        <v>242</v>
      </c>
      <c r="C102" s="1" t="s">
        <v>246</v>
      </c>
      <c r="D102" s="1" t="s">
        <v>249</v>
      </c>
      <c r="E102" s="1">
        <v>17400000</v>
      </c>
    </row>
    <row r="103" spans="1:5" ht="14.4" x14ac:dyDescent="0.3">
      <c r="A103" s="20">
        <v>46017.396979166668</v>
      </c>
      <c r="B103" s="1" t="s">
        <v>195</v>
      </c>
      <c r="C103" s="1" t="s">
        <v>196</v>
      </c>
      <c r="D103" s="1" t="s">
        <v>197</v>
      </c>
      <c r="E103" s="1">
        <v>24400000</v>
      </c>
    </row>
    <row r="104" spans="1:5" ht="14.4" x14ac:dyDescent="0.3">
      <c r="A104" s="20">
        <v>46017.398599537039</v>
      </c>
      <c r="B104" s="1" t="s">
        <v>93</v>
      </c>
      <c r="C104" s="1" t="s">
        <v>2919</v>
      </c>
      <c r="D104" s="1" t="s">
        <v>510</v>
      </c>
      <c r="E104" s="1">
        <v>49500000</v>
      </c>
    </row>
    <row r="105" spans="1:5" ht="14.4" x14ac:dyDescent="0.3">
      <c r="A105" s="20">
        <v>46017.405752314815</v>
      </c>
      <c r="B105" s="1" t="s">
        <v>242</v>
      </c>
      <c r="C105" s="1" t="s">
        <v>246</v>
      </c>
      <c r="D105" s="1" t="s">
        <v>1477</v>
      </c>
      <c r="E105" s="1">
        <v>22700000</v>
      </c>
    </row>
    <row r="106" spans="1:5" ht="14.4" x14ac:dyDescent="0.3">
      <c r="A106" s="20">
        <v>46017.411261574074</v>
      </c>
      <c r="B106" s="1" t="s">
        <v>242</v>
      </c>
      <c r="C106" s="1" t="s">
        <v>2904</v>
      </c>
      <c r="D106" s="1" t="s">
        <v>965</v>
      </c>
      <c r="E106" s="1">
        <v>27600000</v>
      </c>
    </row>
    <row r="107" spans="1:5" ht="14.4" x14ac:dyDescent="0.3">
      <c r="A107" s="20">
        <v>46017.411840277775</v>
      </c>
      <c r="B107" s="1" t="s">
        <v>93</v>
      </c>
      <c r="C107" s="1" t="s">
        <v>143</v>
      </c>
      <c r="D107" s="1" t="s">
        <v>2963</v>
      </c>
      <c r="E107" s="1">
        <v>12400000</v>
      </c>
    </row>
    <row r="108" spans="1:5" ht="14.4" x14ac:dyDescent="0.3">
      <c r="A108" s="20">
        <v>46017.419027777774</v>
      </c>
      <c r="B108" s="1" t="s">
        <v>334</v>
      </c>
      <c r="C108" s="1" t="s">
        <v>335</v>
      </c>
      <c r="D108" s="1" t="s">
        <v>336</v>
      </c>
      <c r="E108" s="1">
        <v>19000000</v>
      </c>
    </row>
    <row r="109" spans="1:5" ht="14.4" x14ac:dyDescent="0.3">
      <c r="A109" s="20">
        <v>46017.428414351853</v>
      </c>
      <c r="B109" s="1" t="s">
        <v>334</v>
      </c>
      <c r="C109" s="1" t="s">
        <v>2903</v>
      </c>
      <c r="D109" s="1" t="s">
        <v>2964</v>
      </c>
      <c r="E109" s="1">
        <v>21900000</v>
      </c>
    </row>
    <row r="110" spans="1:5" ht="14.4" x14ac:dyDescent="0.3">
      <c r="A110" s="20">
        <v>46017.45585648148</v>
      </c>
      <c r="B110" s="1" t="s">
        <v>264</v>
      </c>
      <c r="C110" s="1" t="s">
        <v>2896</v>
      </c>
      <c r="D110" s="1" t="s">
        <v>2965</v>
      </c>
      <c r="E110" s="1">
        <v>13400000</v>
      </c>
    </row>
    <row r="111" spans="1:5" ht="14.4" x14ac:dyDescent="0.3">
      <c r="A111" s="20">
        <v>46017.461562500001</v>
      </c>
      <c r="B111" s="1" t="s">
        <v>264</v>
      </c>
      <c r="C111" s="1" t="s">
        <v>2897</v>
      </c>
      <c r="D111" s="1" t="s">
        <v>2966</v>
      </c>
      <c r="E111" s="1">
        <v>12400000</v>
      </c>
    </row>
    <row r="112" spans="1:5" ht="14.4" x14ac:dyDescent="0.3">
      <c r="A112" s="20">
        <v>46017.518113425926</v>
      </c>
      <c r="B112" s="1" t="s">
        <v>48</v>
      </c>
      <c r="C112" s="1" t="s">
        <v>2967</v>
      </c>
      <c r="D112" s="1" t="s">
        <v>511</v>
      </c>
      <c r="E112" s="1">
        <v>24600000</v>
      </c>
    </row>
    <row r="113" spans="1:5" ht="14.4" x14ac:dyDescent="0.3">
      <c r="A113" s="20">
        <v>46017.527291666665</v>
      </c>
      <c r="B113" s="1" t="s">
        <v>264</v>
      </c>
      <c r="C113" s="1" t="s">
        <v>2897</v>
      </c>
      <c r="D113" s="1" t="s">
        <v>2966</v>
      </c>
      <c r="E113" s="1">
        <v>11800000</v>
      </c>
    </row>
    <row r="114" spans="1:5" ht="14.4" x14ac:dyDescent="0.3">
      <c r="A114" s="20">
        <v>46017.538171296299</v>
      </c>
      <c r="B114" s="1" t="s">
        <v>264</v>
      </c>
      <c r="C114" s="1">
        <v>3008</v>
      </c>
      <c r="D114" s="1" t="s">
        <v>1768</v>
      </c>
      <c r="E114" s="1">
        <v>13200000</v>
      </c>
    </row>
    <row r="115" spans="1:5" ht="14.4" x14ac:dyDescent="0.3">
      <c r="A115" s="20">
        <v>46017.540497685186</v>
      </c>
      <c r="B115" s="1" t="s">
        <v>93</v>
      </c>
      <c r="C115" s="1" t="s">
        <v>2968</v>
      </c>
      <c r="D115" s="1" t="s">
        <v>104</v>
      </c>
      <c r="E115" s="1">
        <v>19200000</v>
      </c>
    </row>
    <row r="116" spans="1:5" ht="14.4" x14ac:dyDescent="0.3">
      <c r="A116" s="20">
        <v>46017.542870370373</v>
      </c>
      <c r="B116" s="1" t="s">
        <v>93</v>
      </c>
      <c r="C116" s="1" t="s">
        <v>143</v>
      </c>
      <c r="D116" s="1" t="s">
        <v>145</v>
      </c>
      <c r="E116" s="1">
        <v>13200000</v>
      </c>
    </row>
    <row r="117" spans="1:5" ht="14.4" x14ac:dyDescent="0.3">
      <c r="A117" s="20">
        <v>46017.544004629628</v>
      </c>
      <c r="B117" s="1" t="s">
        <v>93</v>
      </c>
      <c r="C117" s="1" t="s">
        <v>110</v>
      </c>
      <c r="D117" s="1" t="s">
        <v>112</v>
      </c>
      <c r="E117" s="1">
        <v>16300000</v>
      </c>
    </row>
    <row r="118" spans="1:5" ht="14.4" x14ac:dyDescent="0.3">
      <c r="A118" s="20">
        <v>46017.544479166667</v>
      </c>
      <c r="B118" s="1" t="s">
        <v>314</v>
      </c>
      <c r="C118" s="1" t="s">
        <v>2969</v>
      </c>
      <c r="D118" s="1" t="s">
        <v>2970</v>
      </c>
      <c r="E118" s="1">
        <v>8600000</v>
      </c>
    </row>
    <row r="119" spans="1:5" ht="14.4" x14ac:dyDescent="0.3">
      <c r="A119" s="20">
        <v>46017.545648148145</v>
      </c>
      <c r="B119" s="1" t="s">
        <v>317</v>
      </c>
      <c r="C119" s="1" t="s">
        <v>321</v>
      </c>
      <c r="D119" s="1" t="s">
        <v>323</v>
      </c>
      <c r="E119" s="1">
        <v>8300000</v>
      </c>
    </row>
    <row r="120" spans="1:5" ht="14.4" x14ac:dyDescent="0.3">
      <c r="A120" s="20">
        <v>46017.547673611109</v>
      </c>
      <c r="B120" s="1" t="s">
        <v>64</v>
      </c>
      <c r="C120" s="1" t="s">
        <v>2971</v>
      </c>
      <c r="D120" s="1" t="s">
        <v>68</v>
      </c>
      <c r="E120" s="1">
        <v>10700000</v>
      </c>
    </row>
    <row r="121" spans="1:5" ht="14.4" x14ac:dyDescent="0.3">
      <c r="A121" s="20">
        <v>46017.550416666665</v>
      </c>
      <c r="B121" s="1" t="s">
        <v>48</v>
      </c>
      <c r="C121" s="1" t="s">
        <v>2892</v>
      </c>
      <c r="D121" s="1" t="s">
        <v>587</v>
      </c>
      <c r="E121" s="1">
        <v>11800000</v>
      </c>
    </row>
    <row r="122" spans="1:5" ht="14.4" x14ac:dyDescent="0.3">
      <c r="A122" s="20">
        <v>46017.552418981482</v>
      </c>
      <c r="B122" s="1" t="s">
        <v>264</v>
      </c>
      <c r="C122" s="1" t="s">
        <v>2899</v>
      </c>
      <c r="D122" s="1" t="s">
        <v>1270</v>
      </c>
      <c r="E122" s="1">
        <v>13800000</v>
      </c>
    </row>
    <row r="123" spans="1:5" ht="14.4" x14ac:dyDescent="0.3">
      <c r="A123" s="20">
        <v>46017.554988425924</v>
      </c>
      <c r="B123" s="1" t="s">
        <v>236</v>
      </c>
      <c r="C123" s="1" t="s">
        <v>2972</v>
      </c>
      <c r="D123" s="1" t="s">
        <v>2420</v>
      </c>
      <c r="E123" s="1">
        <v>11700000</v>
      </c>
    </row>
    <row r="124" spans="1:5" ht="14.4" x14ac:dyDescent="0.3">
      <c r="A124" s="20">
        <v>46017.604571759257</v>
      </c>
      <c r="B124" s="1" t="s">
        <v>2945</v>
      </c>
      <c r="C124" s="1" t="s">
        <v>2973</v>
      </c>
      <c r="D124" s="1" t="s">
        <v>2974</v>
      </c>
      <c r="E124" s="1">
        <v>6600000</v>
      </c>
    </row>
    <row r="125" spans="1:5" ht="14.4" x14ac:dyDescent="0.3">
      <c r="A125" s="20">
        <v>46017.718043981484</v>
      </c>
      <c r="B125" s="1" t="s">
        <v>93</v>
      </c>
      <c r="C125" s="1" t="s">
        <v>131</v>
      </c>
      <c r="D125" s="1" t="s">
        <v>507</v>
      </c>
      <c r="E125" s="1">
        <v>28500000</v>
      </c>
    </row>
    <row r="126" spans="1:5" ht="14.4" x14ac:dyDescent="0.3">
      <c r="A126" s="20">
        <v>46018.333831018521</v>
      </c>
      <c r="B126" s="1" t="s">
        <v>2910</v>
      </c>
      <c r="C126" s="1" t="s">
        <v>2975</v>
      </c>
      <c r="D126" s="1" t="s">
        <v>516</v>
      </c>
      <c r="E126" s="1">
        <v>14100000</v>
      </c>
    </row>
    <row r="127" spans="1:5" ht="14.4" x14ac:dyDescent="0.3">
      <c r="A127" s="20">
        <v>46018.356666666667</v>
      </c>
      <c r="B127" s="1" t="s">
        <v>334</v>
      </c>
      <c r="C127" s="1" t="s">
        <v>2976</v>
      </c>
      <c r="D127" s="1" t="s">
        <v>514</v>
      </c>
      <c r="E127" s="1">
        <v>11200000</v>
      </c>
    </row>
    <row r="128" spans="1:5" ht="14.4" x14ac:dyDescent="0.3">
      <c r="A128" s="20">
        <v>46018.372800925928</v>
      </c>
      <c r="B128" s="1" t="s">
        <v>314</v>
      </c>
      <c r="C128" s="1" t="s">
        <v>2977</v>
      </c>
      <c r="D128" s="1" t="s">
        <v>2978</v>
      </c>
      <c r="E128" s="1">
        <v>9400000</v>
      </c>
    </row>
    <row r="129" spans="1:5" ht="14.4" x14ac:dyDescent="0.3">
      <c r="A129" s="20">
        <v>46020.276770833334</v>
      </c>
      <c r="B129" s="1" t="s">
        <v>236</v>
      </c>
      <c r="C129" s="1" t="s">
        <v>2979</v>
      </c>
      <c r="D129" s="1" t="s">
        <v>812</v>
      </c>
      <c r="E129" s="1">
        <v>15000000</v>
      </c>
    </row>
    <row r="130" spans="1:5" ht="14.4" x14ac:dyDescent="0.3">
      <c r="A130" s="20">
        <v>46020.278900462959</v>
      </c>
      <c r="B130" s="1" t="s">
        <v>93</v>
      </c>
      <c r="C130" s="1" t="s">
        <v>2919</v>
      </c>
      <c r="D130" s="1" t="s">
        <v>138</v>
      </c>
      <c r="E130" s="1">
        <v>44800000</v>
      </c>
    </row>
    <row r="131" spans="1:5" ht="14.4" x14ac:dyDescent="0.3">
      <c r="A131" s="20">
        <v>46020.302534722221</v>
      </c>
      <c r="B131" s="1" t="s">
        <v>72</v>
      </c>
      <c r="C131" s="1" t="s">
        <v>2980</v>
      </c>
      <c r="D131" s="1" t="s">
        <v>698</v>
      </c>
      <c r="E131" s="1">
        <v>7280000</v>
      </c>
    </row>
    <row r="132" spans="1:5" ht="14.4" x14ac:dyDescent="0.3">
      <c r="A132" s="20">
        <v>46020.306921296295</v>
      </c>
      <c r="B132" s="1" t="s">
        <v>242</v>
      </c>
      <c r="C132" s="1" t="s">
        <v>2981</v>
      </c>
      <c r="D132" s="1" t="s">
        <v>548</v>
      </c>
      <c r="E132" s="1">
        <v>9200000</v>
      </c>
    </row>
    <row r="133" spans="1:5" ht="14.4" x14ac:dyDescent="0.3">
      <c r="A133" s="20">
        <v>46020.310393518521</v>
      </c>
      <c r="B133" s="1" t="s">
        <v>229</v>
      </c>
      <c r="C133" s="1" t="s">
        <v>2982</v>
      </c>
      <c r="D133" s="1" t="s">
        <v>728</v>
      </c>
      <c r="E133" s="1">
        <v>29500000</v>
      </c>
    </row>
    <row r="134" spans="1:5" ht="14.4" x14ac:dyDescent="0.3">
      <c r="A134" s="20">
        <v>46020.313807870371</v>
      </c>
      <c r="B134" s="1" t="s">
        <v>264</v>
      </c>
      <c r="C134" s="1">
        <v>308</v>
      </c>
      <c r="D134" s="1" t="s">
        <v>1267</v>
      </c>
      <c r="E134" s="1">
        <v>11100000</v>
      </c>
    </row>
    <row r="135" spans="1:5" ht="14.4" x14ac:dyDescent="0.3">
      <c r="A135" s="20">
        <v>46020.316446759258</v>
      </c>
      <c r="B135" s="1" t="s">
        <v>242</v>
      </c>
      <c r="C135" s="1" t="s">
        <v>254</v>
      </c>
      <c r="D135" s="1" t="s">
        <v>578</v>
      </c>
      <c r="E135" s="1">
        <v>11800000</v>
      </c>
    </row>
    <row r="136" spans="1:5" ht="14.4" x14ac:dyDescent="0.3">
      <c r="A136" s="20">
        <v>46020.319861111115</v>
      </c>
      <c r="B136" s="1" t="s">
        <v>264</v>
      </c>
      <c r="C136" s="1" t="s">
        <v>2913</v>
      </c>
      <c r="D136" s="1" t="s">
        <v>981</v>
      </c>
      <c r="E136" s="1">
        <v>23100000</v>
      </c>
    </row>
    <row r="137" spans="1:5" ht="14.4" x14ac:dyDescent="0.3">
      <c r="A137" s="20">
        <v>46020.321377314816</v>
      </c>
      <c r="B137" s="1" t="s">
        <v>93</v>
      </c>
      <c r="C137" s="1" t="s">
        <v>113</v>
      </c>
      <c r="D137" s="1" t="s">
        <v>115</v>
      </c>
      <c r="E137" s="1">
        <v>29800000</v>
      </c>
    </row>
    <row r="138" spans="1:5" ht="14.4" x14ac:dyDescent="0.3">
      <c r="A138" s="20">
        <v>46020.322962962964</v>
      </c>
      <c r="B138" s="1" t="s">
        <v>242</v>
      </c>
      <c r="C138" s="1" t="s">
        <v>246</v>
      </c>
      <c r="D138" s="1" t="s">
        <v>960</v>
      </c>
      <c r="E138" s="1">
        <v>22000000</v>
      </c>
    </row>
    <row r="139" spans="1:5" ht="14.4" x14ac:dyDescent="0.3">
      <c r="A139" s="20">
        <v>46020.323993055557</v>
      </c>
      <c r="B139" s="1" t="s">
        <v>72</v>
      </c>
      <c r="C139" s="1">
        <v>580</v>
      </c>
      <c r="D139" s="1" t="s">
        <v>678</v>
      </c>
      <c r="E139" s="1">
        <v>9700000</v>
      </c>
    </row>
    <row r="140" spans="1:5" ht="14.4" x14ac:dyDescent="0.3">
      <c r="A140" s="20">
        <v>46020.325590277775</v>
      </c>
      <c r="B140" s="1" t="s">
        <v>339</v>
      </c>
      <c r="C140" s="1" t="s">
        <v>340</v>
      </c>
      <c r="D140" s="1" t="s">
        <v>342</v>
      </c>
      <c r="E140" s="1">
        <v>31500000</v>
      </c>
    </row>
    <row r="141" spans="1:5" ht="14.4" x14ac:dyDescent="0.3">
      <c r="A141" s="20">
        <v>46020.330405092594</v>
      </c>
      <c r="B141" s="1" t="s">
        <v>30</v>
      </c>
      <c r="C141" s="1" t="s">
        <v>2908</v>
      </c>
      <c r="D141" s="1" t="s">
        <v>559</v>
      </c>
      <c r="E141" s="1">
        <v>7800000</v>
      </c>
    </row>
    <row r="142" spans="1:5" ht="14.4" x14ac:dyDescent="0.3">
      <c r="A142" s="20">
        <v>46020.332233796296</v>
      </c>
      <c r="B142" s="1" t="s">
        <v>167</v>
      </c>
      <c r="C142" s="1" t="s">
        <v>178</v>
      </c>
      <c r="D142" s="1" t="s">
        <v>180</v>
      </c>
      <c r="E142" s="1">
        <v>23900000</v>
      </c>
    </row>
    <row r="143" spans="1:5" ht="14.4" x14ac:dyDescent="0.3">
      <c r="A143" s="20">
        <v>46020.345127314817</v>
      </c>
      <c r="B143" s="1" t="s">
        <v>264</v>
      </c>
      <c r="C143" s="1">
        <v>3008</v>
      </c>
      <c r="D143" s="1" t="s">
        <v>269</v>
      </c>
      <c r="E143" s="1">
        <v>12000000</v>
      </c>
    </row>
    <row r="144" spans="1:5" ht="14.4" x14ac:dyDescent="0.3">
      <c r="A144" s="20">
        <v>46020.347511574073</v>
      </c>
      <c r="B144" s="1" t="s">
        <v>93</v>
      </c>
      <c r="C144" s="1" t="s">
        <v>143</v>
      </c>
      <c r="D144" s="1" t="s">
        <v>595</v>
      </c>
      <c r="E144" s="1">
        <v>13000000</v>
      </c>
    </row>
    <row r="145" spans="1:5" ht="14.4" x14ac:dyDescent="0.3">
      <c r="A145" s="20">
        <v>46020.352893518517</v>
      </c>
      <c r="B145" s="1" t="s">
        <v>2910</v>
      </c>
      <c r="C145" s="1" t="s">
        <v>206</v>
      </c>
      <c r="D145" s="1" t="s">
        <v>498</v>
      </c>
      <c r="E145" s="1">
        <v>7830000</v>
      </c>
    </row>
    <row r="146" spans="1:5" ht="14.4" x14ac:dyDescent="0.3">
      <c r="A146" s="20">
        <v>46020.358854166669</v>
      </c>
      <c r="B146" s="1" t="s">
        <v>2945</v>
      </c>
      <c r="C146" s="1" t="s">
        <v>2983</v>
      </c>
      <c r="D146" s="1" t="s">
        <v>499</v>
      </c>
      <c r="E146" s="1">
        <v>8400000</v>
      </c>
    </row>
    <row r="147" spans="1:5" ht="14.4" x14ac:dyDescent="0.3">
      <c r="A147" s="20">
        <v>46020.379826388889</v>
      </c>
      <c r="B147" s="1" t="s">
        <v>264</v>
      </c>
      <c r="C147" s="1" t="s">
        <v>2890</v>
      </c>
      <c r="D147" s="1" t="s">
        <v>1263</v>
      </c>
      <c r="E147" s="1">
        <v>15300000</v>
      </c>
    </row>
    <row r="148" spans="1:5" ht="14.4" x14ac:dyDescent="0.3">
      <c r="A148" s="20">
        <v>46020.381030092591</v>
      </c>
      <c r="B148" s="1" t="s">
        <v>30</v>
      </c>
      <c r="C148" s="1" t="s">
        <v>41</v>
      </c>
      <c r="D148" s="1" t="s">
        <v>570</v>
      </c>
      <c r="E148" s="1">
        <v>13900000</v>
      </c>
    </row>
    <row r="149" spans="1:5" ht="14.4" x14ac:dyDescent="0.3">
      <c r="A149" s="20">
        <v>46020.381620370368</v>
      </c>
      <c r="B149" s="1" t="s">
        <v>264</v>
      </c>
      <c r="C149" s="1" t="s">
        <v>2899</v>
      </c>
      <c r="D149" s="1" t="s">
        <v>279</v>
      </c>
      <c r="E149" s="1">
        <v>14500000</v>
      </c>
    </row>
    <row r="150" spans="1:5" ht="14.4" x14ac:dyDescent="0.3">
      <c r="A150" s="20">
        <v>46020.382534722223</v>
      </c>
      <c r="B150" s="1" t="s">
        <v>30</v>
      </c>
      <c r="C150" s="1" t="s">
        <v>2908</v>
      </c>
      <c r="D150" s="1" t="s">
        <v>542</v>
      </c>
      <c r="E150" s="1">
        <v>7050000</v>
      </c>
    </row>
    <row r="151" spans="1:5" ht="14.4" x14ac:dyDescent="0.3">
      <c r="A151" s="20">
        <v>46020.383530092593</v>
      </c>
      <c r="B151" s="1" t="s">
        <v>2945</v>
      </c>
      <c r="C151" s="1" t="s">
        <v>2983</v>
      </c>
      <c r="D151" s="1" t="s">
        <v>545</v>
      </c>
      <c r="E151" s="1">
        <v>8300000</v>
      </c>
    </row>
    <row r="152" spans="1:5" ht="14.4" x14ac:dyDescent="0.3">
      <c r="A152" s="20">
        <v>46020.383958333332</v>
      </c>
      <c r="B152" s="1" t="s">
        <v>264</v>
      </c>
      <c r="C152" s="1">
        <v>3008</v>
      </c>
      <c r="D152" s="1" t="s">
        <v>280</v>
      </c>
      <c r="E152" s="1">
        <v>16500000</v>
      </c>
    </row>
    <row r="153" spans="1:5" ht="14.4" x14ac:dyDescent="0.3">
      <c r="A153" s="20">
        <v>46020.384502314817</v>
      </c>
      <c r="B153" s="1" t="s">
        <v>167</v>
      </c>
      <c r="C153" s="1" t="s">
        <v>2984</v>
      </c>
      <c r="D153" s="1" t="s">
        <v>2985</v>
      </c>
      <c r="E153" s="1">
        <v>12400000</v>
      </c>
    </row>
    <row r="154" spans="1:5" ht="14.4" x14ac:dyDescent="0.3">
      <c r="A154" s="20">
        <v>46020.384837962964</v>
      </c>
      <c r="B154" s="1" t="s">
        <v>2905</v>
      </c>
      <c r="C154" s="1" t="s">
        <v>2986</v>
      </c>
      <c r="D154" s="1" t="s">
        <v>639</v>
      </c>
      <c r="E154" s="1">
        <v>19300000</v>
      </c>
    </row>
    <row r="155" spans="1:5" ht="14.4" x14ac:dyDescent="0.3">
      <c r="A155" s="20">
        <v>46020.38554398148</v>
      </c>
      <c r="B155" s="1" t="s">
        <v>30</v>
      </c>
      <c r="C155" s="1" t="s">
        <v>2987</v>
      </c>
      <c r="D155" s="1" t="s">
        <v>556</v>
      </c>
      <c r="E155" s="1">
        <v>9000000</v>
      </c>
    </row>
    <row r="156" spans="1:5" ht="14.4" x14ac:dyDescent="0.3">
      <c r="A156" s="20">
        <v>46020.386597222219</v>
      </c>
      <c r="B156" s="1" t="s">
        <v>242</v>
      </c>
      <c r="C156" s="1" t="s">
        <v>2988</v>
      </c>
      <c r="D156" s="1" t="s">
        <v>987</v>
      </c>
      <c r="E156" s="1">
        <v>24200000</v>
      </c>
    </row>
    <row r="157" spans="1:5" ht="14.4" x14ac:dyDescent="0.3">
      <c r="A157" s="20">
        <v>46020.38958333333</v>
      </c>
      <c r="B157" s="1" t="s">
        <v>2957</v>
      </c>
      <c r="C157" s="1" t="s">
        <v>2958</v>
      </c>
      <c r="D157" s="1" t="s">
        <v>515</v>
      </c>
      <c r="E157" s="1">
        <v>18300000</v>
      </c>
    </row>
    <row r="158" spans="1:5" ht="14.4" x14ac:dyDescent="0.3">
      <c r="A158" s="20">
        <v>46020.402766203704</v>
      </c>
      <c r="B158" s="1" t="s">
        <v>72</v>
      </c>
      <c r="C158" s="1">
        <v>500</v>
      </c>
      <c r="D158" s="1" t="s">
        <v>356</v>
      </c>
      <c r="E158" s="1">
        <v>11300000</v>
      </c>
    </row>
    <row r="159" spans="1:5" ht="14.4" x14ac:dyDescent="0.3">
      <c r="A159" s="20">
        <v>46020.406180555554</v>
      </c>
      <c r="B159" s="1" t="s">
        <v>242</v>
      </c>
      <c r="C159" s="1" t="s">
        <v>2989</v>
      </c>
      <c r="D159" s="1" t="s">
        <v>2990</v>
      </c>
      <c r="E159" s="1">
        <v>12100000</v>
      </c>
    </row>
    <row r="160" spans="1:5" ht="14.4" x14ac:dyDescent="0.3">
      <c r="A160" s="20">
        <v>46020.416365740741</v>
      </c>
      <c r="B160" s="1" t="s">
        <v>2910</v>
      </c>
      <c r="C160" s="1" t="s">
        <v>206</v>
      </c>
      <c r="D160" s="1" t="s">
        <v>506</v>
      </c>
      <c r="E160" s="1">
        <v>8200000</v>
      </c>
    </row>
    <row r="161" spans="1:5" ht="14.4" x14ac:dyDescent="0.3">
      <c r="A161" s="20">
        <v>46020.419062499997</v>
      </c>
      <c r="B161" s="1" t="s">
        <v>236</v>
      </c>
      <c r="C161" s="1" t="s">
        <v>237</v>
      </c>
      <c r="D161" s="1" t="s">
        <v>2991</v>
      </c>
      <c r="E161" s="1">
        <v>8200000</v>
      </c>
    </row>
    <row r="162" spans="1:5" ht="14.4" x14ac:dyDescent="0.3">
      <c r="A162" s="20">
        <v>46020.425138888888</v>
      </c>
      <c r="B162" s="1" t="s">
        <v>93</v>
      </c>
      <c r="C162" s="1" t="s">
        <v>131</v>
      </c>
      <c r="D162" s="1" t="s">
        <v>507</v>
      </c>
      <c r="E162" s="1">
        <v>28500000</v>
      </c>
    </row>
    <row r="163" spans="1:5" ht="14.4" x14ac:dyDescent="0.3">
      <c r="A163" s="20">
        <v>46020.426412037035</v>
      </c>
      <c r="B163" s="1" t="s">
        <v>339</v>
      </c>
      <c r="C163" s="1" t="s">
        <v>2992</v>
      </c>
      <c r="D163" s="1" t="s">
        <v>592</v>
      </c>
      <c r="E163" s="1">
        <v>10600000</v>
      </c>
    </row>
    <row r="164" spans="1:5" ht="14.4" x14ac:dyDescent="0.3">
      <c r="A164" s="20">
        <v>46020.427314814813</v>
      </c>
      <c r="B164" s="1" t="s">
        <v>264</v>
      </c>
      <c r="C164" s="1" t="s">
        <v>2897</v>
      </c>
      <c r="D164" s="1" t="s">
        <v>536</v>
      </c>
      <c r="E164" s="1">
        <v>9400000</v>
      </c>
    </row>
    <row r="165" spans="1:5" ht="14.4" x14ac:dyDescent="0.3">
      <c r="A165" s="20">
        <v>46020.427719907406</v>
      </c>
      <c r="B165" s="1" t="s">
        <v>93</v>
      </c>
      <c r="C165" s="1" t="s">
        <v>2919</v>
      </c>
      <c r="D165" s="1" t="s">
        <v>1082</v>
      </c>
      <c r="E165" s="1">
        <v>36400000</v>
      </c>
    </row>
    <row r="166" spans="1:5" ht="14.4" x14ac:dyDescent="0.3">
      <c r="A166" s="20">
        <v>46020.428171296298</v>
      </c>
      <c r="B166" s="1" t="s">
        <v>188</v>
      </c>
      <c r="C166" s="1">
        <v>7</v>
      </c>
      <c r="D166" s="1" t="s">
        <v>569</v>
      </c>
      <c r="E166" s="1">
        <v>17800000</v>
      </c>
    </row>
    <row r="167" spans="1:5" ht="14.4" x14ac:dyDescent="0.3">
      <c r="A167" s="20">
        <v>46020.42895833333</v>
      </c>
      <c r="B167" s="1" t="s">
        <v>30</v>
      </c>
      <c r="C167" s="1" t="s">
        <v>2987</v>
      </c>
      <c r="D167" s="1" t="s">
        <v>1788</v>
      </c>
      <c r="E167" s="1">
        <v>8500000</v>
      </c>
    </row>
    <row r="168" spans="1:5" ht="14.4" x14ac:dyDescent="0.3">
      <c r="A168" s="20">
        <v>46020.429699074077</v>
      </c>
      <c r="B168" s="1" t="s">
        <v>264</v>
      </c>
      <c r="C168" s="1" t="s">
        <v>2899</v>
      </c>
      <c r="D168" s="1" t="s">
        <v>791</v>
      </c>
      <c r="E168" s="1">
        <v>17800000</v>
      </c>
    </row>
    <row r="169" spans="1:5" ht="14.4" x14ac:dyDescent="0.3">
      <c r="A169" s="20">
        <v>46020.430289351854</v>
      </c>
      <c r="B169" s="1" t="s">
        <v>195</v>
      </c>
      <c r="C169" s="1" t="s">
        <v>198</v>
      </c>
      <c r="D169" s="1" t="s">
        <v>200</v>
      </c>
      <c r="E169" s="1">
        <v>11200000</v>
      </c>
    </row>
    <row r="170" spans="1:5" ht="14.4" x14ac:dyDescent="0.3">
      <c r="A170" s="20">
        <v>46020.431203703702</v>
      </c>
      <c r="B170" s="1" t="s">
        <v>93</v>
      </c>
      <c r="C170" s="1" t="s">
        <v>97</v>
      </c>
      <c r="D170" s="1" t="s">
        <v>663</v>
      </c>
      <c r="E170" s="1">
        <v>9500000</v>
      </c>
    </row>
    <row r="171" spans="1:5" ht="14.4" x14ac:dyDescent="0.3">
      <c r="A171" s="20">
        <v>46020.431655092594</v>
      </c>
      <c r="B171" s="1" t="s">
        <v>264</v>
      </c>
      <c r="C171" s="1" t="s">
        <v>2917</v>
      </c>
      <c r="D171" s="1" t="s">
        <v>702</v>
      </c>
      <c r="E171" s="1">
        <v>29100000</v>
      </c>
    </row>
    <row r="172" spans="1:5" ht="14.4" x14ac:dyDescent="0.3">
      <c r="A172" s="20">
        <v>46020.432476851849</v>
      </c>
      <c r="B172" s="1" t="s">
        <v>264</v>
      </c>
      <c r="C172" s="1" t="s">
        <v>2899</v>
      </c>
      <c r="D172" s="1" t="s">
        <v>283</v>
      </c>
      <c r="E172" s="1">
        <v>18200000</v>
      </c>
    </row>
    <row r="173" spans="1:5" ht="14.4" x14ac:dyDescent="0.3">
      <c r="A173" s="20">
        <v>46020.432766203703</v>
      </c>
      <c r="B173" s="1" t="s">
        <v>64</v>
      </c>
      <c r="C173" s="1" t="s">
        <v>2932</v>
      </c>
      <c r="D173" s="1" t="s">
        <v>513</v>
      </c>
      <c r="E173" s="1">
        <v>18800000</v>
      </c>
    </row>
    <row r="174" spans="1:5" ht="14.4" x14ac:dyDescent="0.3">
      <c r="A174" s="20">
        <v>46020.433541666665</v>
      </c>
      <c r="B174" s="1" t="s">
        <v>48</v>
      </c>
      <c r="C174" s="1" t="s">
        <v>2993</v>
      </c>
      <c r="D174" s="1" t="s">
        <v>51</v>
      </c>
      <c r="E174" s="1">
        <v>9300000</v>
      </c>
    </row>
    <row r="175" spans="1:5" ht="14.4" x14ac:dyDescent="0.3">
      <c r="A175" s="20">
        <v>46020.435173611113</v>
      </c>
      <c r="B175" s="1" t="s">
        <v>2945</v>
      </c>
      <c r="C175" s="1" t="s">
        <v>2994</v>
      </c>
      <c r="D175" s="1" t="s">
        <v>622</v>
      </c>
      <c r="E175" s="1">
        <v>6960000</v>
      </c>
    </row>
    <row r="176" spans="1:5" ht="14.4" x14ac:dyDescent="0.3">
      <c r="A176" s="20">
        <v>46020.447754629633</v>
      </c>
      <c r="B176" s="1" t="s">
        <v>339</v>
      </c>
      <c r="C176" s="1" t="s">
        <v>343</v>
      </c>
      <c r="D176" s="1" t="s">
        <v>2995</v>
      </c>
      <c r="E176" s="1">
        <v>8300000</v>
      </c>
    </row>
    <row r="177" spans="1:5" ht="14.4" x14ac:dyDescent="0.3">
      <c r="A177" s="20">
        <v>46020.526689814818</v>
      </c>
      <c r="B177" s="1" t="s">
        <v>264</v>
      </c>
      <c r="C177" s="1" t="s">
        <v>2896</v>
      </c>
      <c r="D177" s="1" t="s">
        <v>1172</v>
      </c>
      <c r="E177" s="1">
        <v>13800000</v>
      </c>
    </row>
    <row r="178" spans="1:5" ht="14.4" x14ac:dyDescent="0.3">
      <c r="A178" s="20">
        <v>46020.535775462966</v>
      </c>
      <c r="B178" s="1" t="s">
        <v>93</v>
      </c>
      <c r="C178" s="1" t="s">
        <v>2888</v>
      </c>
      <c r="D178" s="1" t="s">
        <v>1348</v>
      </c>
      <c r="E178" s="1">
        <v>34200000</v>
      </c>
    </row>
    <row r="179" spans="1:5" ht="14.4" x14ac:dyDescent="0.3">
      <c r="A179" s="20">
        <v>46020.538217592592</v>
      </c>
      <c r="B179" s="1" t="s">
        <v>2910</v>
      </c>
      <c r="C179" s="1" t="s">
        <v>215</v>
      </c>
      <c r="D179" s="1" t="s">
        <v>550</v>
      </c>
      <c r="E179" s="1">
        <v>18300000</v>
      </c>
    </row>
    <row r="180" spans="1:5" ht="14.4" x14ac:dyDescent="0.3">
      <c r="A180" s="20">
        <v>46020.543958333335</v>
      </c>
      <c r="B180" s="1" t="s">
        <v>264</v>
      </c>
      <c r="C180" s="1">
        <v>3008</v>
      </c>
      <c r="D180" s="1" t="s">
        <v>273</v>
      </c>
      <c r="E180" s="1">
        <v>12200000</v>
      </c>
    </row>
    <row r="181" spans="1:5" ht="14.4" x14ac:dyDescent="0.3">
      <c r="A181" s="20">
        <v>46020.546064814815</v>
      </c>
      <c r="B181" s="1" t="s">
        <v>30</v>
      </c>
      <c r="C181" s="1" t="s">
        <v>41</v>
      </c>
      <c r="D181" s="1" t="s">
        <v>608</v>
      </c>
      <c r="E181" s="1">
        <v>11600000</v>
      </c>
    </row>
    <row r="182" spans="1:5" ht="14.4" x14ac:dyDescent="0.3">
      <c r="A182" s="20">
        <v>46020.546539351853</v>
      </c>
      <c r="B182" s="1" t="s">
        <v>93</v>
      </c>
      <c r="C182" s="1" t="s">
        <v>2888</v>
      </c>
      <c r="D182" s="1" t="s">
        <v>577</v>
      </c>
      <c r="E182" s="1">
        <v>30300000</v>
      </c>
    </row>
    <row r="183" spans="1:5" ht="14.4" x14ac:dyDescent="0.3">
      <c r="A183" s="20">
        <v>46020.548877314817</v>
      </c>
      <c r="B183" s="1" t="s">
        <v>264</v>
      </c>
      <c r="C183" s="1" t="s">
        <v>2996</v>
      </c>
      <c r="D183" s="1" t="s">
        <v>2997</v>
      </c>
      <c r="E183" s="1">
        <v>18300000</v>
      </c>
    </row>
    <row r="184" spans="1:5" ht="14.4" x14ac:dyDescent="0.3">
      <c r="A184" s="20">
        <v>46020.549907407411</v>
      </c>
      <c r="B184" s="1" t="s">
        <v>2910</v>
      </c>
      <c r="C184" s="1" t="s">
        <v>2911</v>
      </c>
      <c r="D184" s="1" t="s">
        <v>2998</v>
      </c>
      <c r="E184" s="1">
        <v>10700000</v>
      </c>
    </row>
    <row r="185" spans="1:5" ht="14.4" x14ac:dyDescent="0.3">
      <c r="A185" s="20">
        <v>46020.553206018521</v>
      </c>
      <c r="B185" s="1" t="s">
        <v>2910</v>
      </c>
      <c r="C185" s="1" t="s">
        <v>2999</v>
      </c>
      <c r="D185" s="1" t="s">
        <v>3000</v>
      </c>
      <c r="E185" s="1">
        <v>20000000</v>
      </c>
    </row>
    <row r="186" spans="1:5" ht="14.4" x14ac:dyDescent="0.3">
      <c r="A186" s="20">
        <v>46020.553680555553</v>
      </c>
      <c r="B186" s="1" t="s">
        <v>264</v>
      </c>
      <c r="C186" s="1" t="s">
        <v>2899</v>
      </c>
      <c r="D186" s="1" t="s">
        <v>3001</v>
      </c>
      <c r="E186" s="1">
        <v>15100000</v>
      </c>
    </row>
    <row r="187" spans="1:5" ht="14.4" x14ac:dyDescent="0.3">
      <c r="A187" s="20">
        <v>46020.554293981484</v>
      </c>
      <c r="B187" s="1" t="s">
        <v>264</v>
      </c>
      <c r="C187" s="1">
        <v>3008</v>
      </c>
      <c r="D187" s="1" t="s">
        <v>3002</v>
      </c>
      <c r="E187" s="1">
        <v>18000000</v>
      </c>
    </row>
    <row r="188" spans="1:5" ht="14.4" x14ac:dyDescent="0.3">
      <c r="A188" s="20">
        <v>46020.554803240739</v>
      </c>
      <c r="B188" s="1" t="s">
        <v>264</v>
      </c>
      <c r="C188" s="1" t="s">
        <v>293</v>
      </c>
      <c r="D188" s="1" t="s">
        <v>3003</v>
      </c>
      <c r="E188" s="1">
        <v>25900000</v>
      </c>
    </row>
    <row r="189" spans="1:5" ht="14.4" x14ac:dyDescent="0.3">
      <c r="A189" s="20">
        <v>46020.55537037037</v>
      </c>
      <c r="B189" s="1" t="s">
        <v>264</v>
      </c>
      <c r="C189" s="1" t="s">
        <v>293</v>
      </c>
      <c r="D189" s="1" t="s">
        <v>3004</v>
      </c>
      <c r="E189" s="1">
        <v>22700000</v>
      </c>
    </row>
    <row r="190" spans="1:5" ht="14.4" x14ac:dyDescent="0.3">
      <c r="A190" s="20">
        <v>46020.556041666663</v>
      </c>
      <c r="B190" s="1" t="s">
        <v>264</v>
      </c>
      <c r="C190" s="1" t="s">
        <v>3005</v>
      </c>
      <c r="D190" s="1" t="s">
        <v>3006</v>
      </c>
      <c r="E190" s="1">
        <v>17200000</v>
      </c>
    </row>
    <row r="191" spans="1:5" ht="14.4" x14ac:dyDescent="0.3">
      <c r="A191" s="20">
        <v>46020.560416666667</v>
      </c>
      <c r="B191" s="1" t="s">
        <v>167</v>
      </c>
      <c r="C191" s="1" t="s">
        <v>2951</v>
      </c>
      <c r="D191" s="1" t="s">
        <v>173</v>
      </c>
      <c r="E191" s="1">
        <v>28400000</v>
      </c>
    </row>
    <row r="192" spans="1:5" ht="14.4" x14ac:dyDescent="0.3">
      <c r="A192" s="20">
        <v>46020.562847222223</v>
      </c>
      <c r="B192" s="1" t="s">
        <v>167</v>
      </c>
      <c r="C192" s="1" t="s">
        <v>3007</v>
      </c>
      <c r="D192" s="1" t="s">
        <v>503</v>
      </c>
      <c r="E192" s="1">
        <v>6900000</v>
      </c>
    </row>
    <row r="193" spans="1:5" ht="14.4" x14ac:dyDescent="0.3">
      <c r="A193" s="20">
        <v>46020.567604166667</v>
      </c>
      <c r="B193" s="1" t="s">
        <v>334</v>
      </c>
      <c r="C193" s="1" t="s">
        <v>3008</v>
      </c>
      <c r="D193" s="1" t="s">
        <v>3009</v>
      </c>
      <c r="E193" s="1">
        <v>10700000</v>
      </c>
    </row>
    <row r="194" spans="1:5" ht="14.4" x14ac:dyDescent="0.3">
      <c r="A194" s="20">
        <v>46020.590162037035</v>
      </c>
      <c r="B194" s="1" t="s">
        <v>30</v>
      </c>
      <c r="C194" s="1" t="s">
        <v>2987</v>
      </c>
      <c r="D194" s="1" t="s">
        <v>3010</v>
      </c>
      <c r="E194" s="1">
        <v>9200000</v>
      </c>
    </row>
    <row r="195" spans="1:5" ht="14.4" x14ac:dyDescent="0.3">
      <c r="A195" s="20">
        <v>46020.597488425927</v>
      </c>
      <c r="B195" s="1" t="s">
        <v>303</v>
      </c>
      <c r="C195" s="1">
        <v>700</v>
      </c>
      <c r="D195" s="1" t="s">
        <v>512</v>
      </c>
      <c r="E195" s="1">
        <v>12800000</v>
      </c>
    </row>
    <row r="196" spans="1:5" ht="14.4" x14ac:dyDescent="0.3">
      <c r="A196" s="20">
        <v>46020.602777777778</v>
      </c>
      <c r="B196" s="1" t="s">
        <v>2945</v>
      </c>
      <c r="C196" s="1" t="s">
        <v>3011</v>
      </c>
      <c r="D196" s="1" t="s">
        <v>3012</v>
      </c>
      <c r="E196" s="1">
        <v>9300000</v>
      </c>
    </row>
    <row r="197" spans="1:5" ht="14.4" x14ac:dyDescent="0.3">
      <c r="A197" s="20">
        <v>46020.61241898148</v>
      </c>
      <c r="B197" s="1" t="s">
        <v>264</v>
      </c>
      <c r="C197" s="1" t="s">
        <v>2996</v>
      </c>
      <c r="D197" s="1" t="s">
        <v>3013</v>
      </c>
      <c r="E197" s="1">
        <v>24400000</v>
      </c>
    </row>
    <row r="198" spans="1:5" ht="14.4" x14ac:dyDescent="0.3">
      <c r="A198" s="20">
        <v>46020.62263888889</v>
      </c>
      <c r="B198" s="1" t="s">
        <v>2910</v>
      </c>
      <c r="C198" s="1" t="s">
        <v>206</v>
      </c>
      <c r="D198" s="1" t="s">
        <v>3014</v>
      </c>
      <c r="E198" s="1">
        <v>4670000</v>
      </c>
    </row>
    <row r="199" spans="1:5" ht="14.4" x14ac:dyDescent="0.3">
      <c r="A199" s="20">
        <v>46020.673888888887</v>
      </c>
      <c r="B199" s="1" t="s">
        <v>229</v>
      </c>
      <c r="C199" s="1" t="s">
        <v>3015</v>
      </c>
      <c r="D199" s="1" t="s">
        <v>3016</v>
      </c>
      <c r="E199" s="1">
        <v>16600000</v>
      </c>
    </row>
    <row r="200" spans="1:5" ht="14.4" x14ac:dyDescent="0.3">
      <c r="A200" s="20">
        <v>46020.886331018519</v>
      </c>
      <c r="B200" s="1" t="s">
        <v>226</v>
      </c>
      <c r="C200" s="1" t="s">
        <v>2956</v>
      </c>
      <c r="D200" s="1" t="s">
        <v>228</v>
      </c>
      <c r="E200" s="1">
        <v>6480000</v>
      </c>
    </row>
    <row r="201" spans="1:5" ht="14.4" x14ac:dyDescent="0.3">
      <c r="A201" s="20">
        <v>46021.266550925924</v>
      </c>
      <c r="B201" s="1" t="s">
        <v>264</v>
      </c>
      <c r="C201" s="1">
        <v>3008</v>
      </c>
      <c r="D201" s="1" t="s">
        <v>3017</v>
      </c>
      <c r="E201" s="1">
        <v>17800000</v>
      </c>
    </row>
    <row r="202" spans="1:5" ht="14.4" x14ac:dyDescent="0.3">
      <c r="A202" s="20">
        <v>46021.266851851855</v>
      </c>
      <c r="B202" s="1" t="s">
        <v>2945</v>
      </c>
      <c r="C202" s="1" t="s">
        <v>3018</v>
      </c>
      <c r="D202" s="1" t="s">
        <v>3019</v>
      </c>
      <c r="E202" s="1">
        <v>7780000</v>
      </c>
    </row>
    <row r="203" spans="1:5" ht="14.4" x14ac:dyDescent="0.3">
      <c r="A203" s="20">
        <v>46021.449363425927</v>
      </c>
      <c r="B203" s="1" t="s">
        <v>93</v>
      </c>
      <c r="C203" s="1" t="s">
        <v>2919</v>
      </c>
      <c r="D203" s="1" t="s">
        <v>138</v>
      </c>
      <c r="E203" s="1">
        <v>44700000</v>
      </c>
    </row>
    <row r="204" spans="1:5" ht="14.4" x14ac:dyDescent="0.3">
      <c r="A204" s="20">
        <v>46021.457233796296</v>
      </c>
      <c r="B204" s="1" t="s">
        <v>2945</v>
      </c>
      <c r="C204" s="1" t="s">
        <v>3018</v>
      </c>
      <c r="D204" s="1" t="s">
        <v>3019</v>
      </c>
      <c r="E204" s="1">
        <v>7740000</v>
      </c>
    </row>
    <row r="205" spans="1:5" ht="14.4" x14ac:dyDescent="0.3">
      <c r="A205" s="20">
        <v>46021.463738425926</v>
      </c>
      <c r="B205" s="1" t="s">
        <v>3020</v>
      </c>
      <c r="C205" s="1" t="s">
        <v>3021</v>
      </c>
      <c r="D205" s="1" t="s">
        <v>3022</v>
      </c>
      <c r="E205" s="1">
        <v>40000000</v>
      </c>
    </row>
    <row r="206" spans="1:5" ht="14.4" x14ac:dyDescent="0.3">
      <c r="A206" s="20">
        <v>46021.46607638889</v>
      </c>
      <c r="B206" s="1" t="s">
        <v>93</v>
      </c>
      <c r="C206" s="1" t="s">
        <v>2919</v>
      </c>
      <c r="D206" s="1" t="s">
        <v>481</v>
      </c>
      <c r="E206" s="1">
        <v>34800000</v>
      </c>
    </row>
    <row r="207" spans="1:5" ht="14.4" x14ac:dyDescent="0.3">
      <c r="A207" s="20">
        <v>46021.508888888886</v>
      </c>
      <c r="B207" s="1" t="s">
        <v>93</v>
      </c>
      <c r="C207" s="1" t="s">
        <v>100</v>
      </c>
      <c r="D207" s="1" t="s">
        <v>3023</v>
      </c>
      <c r="E207" s="1">
        <v>28200000</v>
      </c>
    </row>
    <row r="208" spans="1:5" ht="14.4" x14ac:dyDescent="0.3">
      <c r="A208" s="20">
        <v>46021.559594907405</v>
      </c>
      <c r="B208" s="1" t="s">
        <v>2961</v>
      </c>
      <c r="C208" s="1" t="s">
        <v>2962</v>
      </c>
      <c r="D208" s="1" t="s">
        <v>3024</v>
      </c>
      <c r="E208" s="1">
        <v>19000000</v>
      </c>
    </row>
    <row r="209" spans="1:5" ht="14.4" x14ac:dyDescent="0.3">
      <c r="A209" s="20">
        <v>46021.56040509259</v>
      </c>
      <c r="B209" s="1" t="s">
        <v>264</v>
      </c>
      <c r="C209" s="1" t="s">
        <v>2890</v>
      </c>
      <c r="D209" s="1" t="s">
        <v>3025</v>
      </c>
      <c r="E209" s="1">
        <v>16000000</v>
      </c>
    </row>
    <row r="210" spans="1:5" ht="14.4" x14ac:dyDescent="0.3">
      <c r="A210" s="20">
        <v>46021.560868055552</v>
      </c>
      <c r="B210" s="1" t="s">
        <v>264</v>
      </c>
      <c r="C210" s="1" t="s">
        <v>293</v>
      </c>
      <c r="D210" s="1" t="s">
        <v>3026</v>
      </c>
      <c r="E210" s="1">
        <v>25900000</v>
      </c>
    </row>
    <row r="211" spans="1:5" ht="14.4" x14ac:dyDescent="0.3">
      <c r="A211" s="20">
        <v>46021.561921296299</v>
      </c>
      <c r="B211" s="1" t="s">
        <v>264</v>
      </c>
      <c r="C211" s="1">
        <v>3008</v>
      </c>
      <c r="D211" s="1" t="s">
        <v>3027</v>
      </c>
      <c r="E211" s="1">
        <v>24200000</v>
      </c>
    </row>
    <row r="212" spans="1:5" ht="14.4" x14ac:dyDescent="0.3">
      <c r="A212" s="20">
        <v>46021.562997685185</v>
      </c>
      <c r="B212" s="1" t="s">
        <v>264</v>
      </c>
      <c r="C212" s="1">
        <v>2008</v>
      </c>
      <c r="D212" s="1" t="s">
        <v>3028</v>
      </c>
      <c r="E212" s="1">
        <v>14800000</v>
      </c>
    </row>
    <row r="213" spans="1:5" ht="14.4" x14ac:dyDescent="0.3">
      <c r="A213" s="20">
        <v>46021.563518518517</v>
      </c>
      <c r="B213" s="1" t="s">
        <v>264</v>
      </c>
      <c r="C213" s="1">
        <v>3008</v>
      </c>
      <c r="D213" s="1" t="s">
        <v>3029</v>
      </c>
      <c r="E213" s="1">
        <v>29600000</v>
      </c>
    </row>
    <row r="214" spans="1:5" ht="14.4" x14ac:dyDescent="0.3">
      <c r="A214" s="20">
        <v>46021.567407407405</v>
      </c>
      <c r="B214" s="1" t="s">
        <v>264</v>
      </c>
      <c r="C214" s="1" t="s">
        <v>293</v>
      </c>
      <c r="D214" s="1" t="s">
        <v>3030</v>
      </c>
      <c r="E214" s="1">
        <v>20800000</v>
      </c>
    </row>
    <row r="215" spans="1:5" ht="14.4" x14ac:dyDescent="0.3">
      <c r="A215" s="20">
        <v>46021.571203703701</v>
      </c>
      <c r="B215" s="1" t="s">
        <v>264</v>
      </c>
      <c r="C215" s="1">
        <v>3008</v>
      </c>
      <c r="D215" s="1" t="s">
        <v>3031</v>
      </c>
      <c r="E215" s="1">
        <v>17900000</v>
      </c>
    </row>
    <row r="216" spans="1:5" ht="14.4" x14ac:dyDescent="0.3">
      <c r="A216" s="20">
        <v>46021.571956018517</v>
      </c>
      <c r="B216" s="1" t="s">
        <v>242</v>
      </c>
      <c r="C216" s="1" t="s">
        <v>246</v>
      </c>
      <c r="D216" s="1" t="s">
        <v>3032</v>
      </c>
      <c r="E216" s="1">
        <v>19900000</v>
      </c>
    </row>
    <row r="217" spans="1:5" ht="14.4" x14ac:dyDescent="0.3">
      <c r="A217" s="20">
        <v>46021.574282407404</v>
      </c>
      <c r="B217" s="1" t="s">
        <v>264</v>
      </c>
      <c r="C217" s="1" t="s">
        <v>3033</v>
      </c>
      <c r="D217" s="1" t="s">
        <v>3034</v>
      </c>
      <c r="E217" s="1">
        <v>22700000</v>
      </c>
    </row>
    <row r="218" spans="1:5" ht="14.4" x14ac:dyDescent="0.3">
      <c r="A218" s="20">
        <v>46021.574826388889</v>
      </c>
      <c r="B218" s="1" t="s">
        <v>264</v>
      </c>
      <c r="C218" s="1" t="s">
        <v>293</v>
      </c>
      <c r="D218" s="1" t="s">
        <v>3035</v>
      </c>
      <c r="E218" s="1">
        <v>25900000</v>
      </c>
    </row>
    <row r="219" spans="1:5" ht="14.4" x14ac:dyDescent="0.3">
      <c r="A219" s="20">
        <v>46021.575624999998</v>
      </c>
      <c r="B219" s="1" t="s">
        <v>264</v>
      </c>
      <c r="C219" s="1">
        <v>2008</v>
      </c>
      <c r="D219" s="1" t="s">
        <v>3036</v>
      </c>
      <c r="E219" s="1">
        <v>16200000</v>
      </c>
    </row>
    <row r="220" spans="1:5" ht="14.4" x14ac:dyDescent="0.3">
      <c r="A220" s="20">
        <v>46021.576249999998</v>
      </c>
      <c r="B220" s="1" t="s">
        <v>264</v>
      </c>
      <c r="C220" s="1" t="s">
        <v>2890</v>
      </c>
      <c r="D220" s="1" t="s">
        <v>3037</v>
      </c>
      <c r="E220" s="1">
        <v>16500000</v>
      </c>
    </row>
    <row r="221" spans="1:5" ht="14.4" x14ac:dyDescent="0.3">
      <c r="A221" s="20">
        <v>46021.577465277776</v>
      </c>
      <c r="B221" s="1" t="s">
        <v>264</v>
      </c>
      <c r="C221" s="1">
        <v>2008</v>
      </c>
      <c r="D221" s="1" t="s">
        <v>3038</v>
      </c>
      <c r="E221" s="1">
        <v>14800000</v>
      </c>
    </row>
    <row r="222" spans="1:5" ht="14.4" x14ac:dyDescent="0.3">
      <c r="A222" s="20">
        <v>46021.5778125</v>
      </c>
      <c r="B222" s="1" t="s">
        <v>236</v>
      </c>
      <c r="C222" s="1" t="s">
        <v>3039</v>
      </c>
      <c r="D222" s="1" t="s">
        <v>3040</v>
      </c>
      <c r="E222" s="1">
        <v>22400000</v>
      </c>
    </row>
    <row r="223" spans="1:5" ht="14.4" x14ac:dyDescent="0.3">
      <c r="A223" s="20">
        <v>46021.57917824074</v>
      </c>
      <c r="B223" s="1" t="s">
        <v>264</v>
      </c>
      <c r="C223" s="1" t="s">
        <v>293</v>
      </c>
      <c r="D223" s="1" t="s">
        <v>3041</v>
      </c>
      <c r="E223" s="1">
        <v>25900000</v>
      </c>
    </row>
    <row r="224" spans="1:5" ht="14.4" x14ac:dyDescent="0.3">
      <c r="A224" s="20">
        <v>46021.579965277779</v>
      </c>
      <c r="B224" s="1" t="s">
        <v>264</v>
      </c>
      <c r="C224" s="1" t="s">
        <v>3042</v>
      </c>
      <c r="D224" s="1" t="s">
        <v>3043</v>
      </c>
      <c r="E224" s="1">
        <v>18600000</v>
      </c>
    </row>
    <row r="225" spans="1:5" ht="14.4" x14ac:dyDescent="0.3">
      <c r="A225" s="20">
        <v>46021.580625000002</v>
      </c>
      <c r="B225" s="1" t="s">
        <v>264</v>
      </c>
      <c r="C225" s="1">
        <v>208</v>
      </c>
      <c r="D225" s="1" t="s">
        <v>3044</v>
      </c>
      <c r="E225" s="1">
        <v>14400000</v>
      </c>
    </row>
    <row r="226" spans="1:5" ht="14.4" x14ac:dyDescent="0.3">
      <c r="A226" s="20">
        <v>46021.582337962966</v>
      </c>
      <c r="B226" s="1" t="s">
        <v>264</v>
      </c>
      <c r="C226" s="1" t="s">
        <v>2890</v>
      </c>
      <c r="D226" s="1" t="s">
        <v>3045</v>
      </c>
      <c r="E226" s="1">
        <v>16500000</v>
      </c>
    </row>
    <row r="227" spans="1:5" ht="14.4" x14ac:dyDescent="0.3">
      <c r="A227" s="20">
        <v>46021.583182870374</v>
      </c>
      <c r="B227" s="1" t="s">
        <v>2910</v>
      </c>
      <c r="C227" s="1" t="s">
        <v>2999</v>
      </c>
      <c r="D227" s="1" t="s">
        <v>3046</v>
      </c>
      <c r="E227" s="1">
        <v>20100000</v>
      </c>
    </row>
    <row r="228" spans="1:5" ht="14.4" x14ac:dyDescent="0.3">
      <c r="A228" s="20">
        <v>46021.584803240738</v>
      </c>
      <c r="B228" s="1" t="s">
        <v>264</v>
      </c>
      <c r="C228" s="1">
        <v>3008</v>
      </c>
      <c r="D228" s="1" t="s">
        <v>3047</v>
      </c>
      <c r="E228" s="1">
        <v>17900000</v>
      </c>
    </row>
    <row r="229" spans="1:5" ht="14.4" x14ac:dyDescent="0.3">
      <c r="A229" s="20">
        <v>46021.585879629631</v>
      </c>
      <c r="B229" s="1" t="s">
        <v>264</v>
      </c>
      <c r="C229" s="1" t="s">
        <v>2996</v>
      </c>
      <c r="D229" s="1" t="s">
        <v>3048</v>
      </c>
      <c r="E229" s="1">
        <v>17000000</v>
      </c>
    </row>
    <row r="230" spans="1:5" ht="14.4" x14ac:dyDescent="0.3">
      <c r="A230" s="20">
        <v>46021.589456018519</v>
      </c>
      <c r="B230" s="1" t="s">
        <v>264</v>
      </c>
      <c r="C230" s="1">
        <v>308</v>
      </c>
      <c r="D230" s="1" t="s">
        <v>3049</v>
      </c>
      <c r="E230" s="1">
        <v>18100000</v>
      </c>
    </row>
    <row r="231" spans="1:5" ht="14.4" x14ac:dyDescent="0.3">
      <c r="A231" s="20">
        <v>46021.59070601852</v>
      </c>
      <c r="B231" s="1" t="s">
        <v>264</v>
      </c>
      <c r="C231" s="1" t="s">
        <v>2897</v>
      </c>
      <c r="D231" s="1" t="s">
        <v>3050</v>
      </c>
      <c r="E231" s="1">
        <v>13900000</v>
      </c>
    </row>
    <row r="232" spans="1:5" ht="14.4" x14ac:dyDescent="0.3">
      <c r="A232" s="20">
        <v>46021.591226851851</v>
      </c>
      <c r="B232" s="1" t="s">
        <v>264</v>
      </c>
      <c r="C232" s="1" t="s">
        <v>293</v>
      </c>
      <c r="D232" s="1" t="s">
        <v>3051</v>
      </c>
      <c r="E232" s="1">
        <v>25900000</v>
      </c>
    </row>
    <row r="233" spans="1:5" ht="14.4" x14ac:dyDescent="0.3">
      <c r="A233" s="20">
        <v>46021.591990740744</v>
      </c>
      <c r="B233" s="1" t="s">
        <v>188</v>
      </c>
      <c r="C233" s="1">
        <v>7</v>
      </c>
      <c r="D233" s="1" t="s">
        <v>3052</v>
      </c>
      <c r="E233" s="1">
        <v>17700000</v>
      </c>
    </row>
    <row r="234" spans="1:5" ht="14.4" x14ac:dyDescent="0.3">
      <c r="A234" s="20">
        <v>46021.592800925922</v>
      </c>
      <c r="B234" s="1" t="s">
        <v>19</v>
      </c>
      <c r="C234" s="1" t="s">
        <v>3053</v>
      </c>
      <c r="D234" s="1" t="s">
        <v>3054</v>
      </c>
      <c r="E234" s="1">
        <v>24700000</v>
      </c>
    </row>
    <row r="235" spans="1:5" ht="14.4" x14ac:dyDescent="0.3">
      <c r="A235" s="20">
        <v>46021.593564814815</v>
      </c>
      <c r="B235" s="1" t="s">
        <v>2905</v>
      </c>
      <c r="C235" s="1" t="s">
        <v>90</v>
      </c>
      <c r="D235" s="1" t="s">
        <v>3055</v>
      </c>
      <c r="E235" s="1">
        <v>15100000</v>
      </c>
    </row>
    <row r="236" spans="1:5" ht="14.4" x14ac:dyDescent="0.3">
      <c r="A236" s="20">
        <v>46021.594143518516</v>
      </c>
      <c r="B236" s="1" t="s">
        <v>181</v>
      </c>
      <c r="C236" s="1" t="s">
        <v>3056</v>
      </c>
      <c r="D236" s="1" t="s">
        <v>3057</v>
      </c>
      <c r="E236" s="1">
        <v>31900000</v>
      </c>
    </row>
    <row r="237" spans="1:5" ht="14.4" x14ac:dyDescent="0.3">
      <c r="A237" s="20">
        <v>46021.594537037039</v>
      </c>
      <c r="B237" s="1" t="s">
        <v>188</v>
      </c>
      <c r="C237" s="1">
        <v>7</v>
      </c>
      <c r="D237" s="1" t="s">
        <v>3058</v>
      </c>
      <c r="E237" s="1">
        <v>15700000</v>
      </c>
    </row>
    <row r="238" spans="1:5" ht="14.4" x14ac:dyDescent="0.3">
      <c r="A238" s="20">
        <v>46021.594907407409</v>
      </c>
      <c r="B238" s="1" t="s">
        <v>264</v>
      </c>
      <c r="C238" s="1">
        <v>3008</v>
      </c>
      <c r="D238" s="1" t="s">
        <v>3059</v>
      </c>
      <c r="E238" s="1">
        <v>17000000</v>
      </c>
    </row>
    <row r="239" spans="1:5" ht="14.4" x14ac:dyDescent="0.3">
      <c r="A239" s="20">
        <v>46021.595462962963</v>
      </c>
      <c r="B239" s="1" t="s">
        <v>264</v>
      </c>
      <c r="C239" s="1">
        <v>2008</v>
      </c>
      <c r="D239" s="1" t="s">
        <v>3060</v>
      </c>
      <c r="E239" s="1">
        <v>13700000</v>
      </c>
    </row>
    <row r="240" spans="1:5" ht="14.4" x14ac:dyDescent="0.3">
      <c r="A240" s="20">
        <v>46021.596145833333</v>
      </c>
      <c r="B240" s="1" t="s">
        <v>264</v>
      </c>
      <c r="C240" s="1">
        <v>208</v>
      </c>
      <c r="D240" s="1" t="s">
        <v>3061</v>
      </c>
      <c r="E240" s="1">
        <v>14400000</v>
      </c>
    </row>
    <row r="241" spans="1:5" ht="14.4" x14ac:dyDescent="0.3">
      <c r="A241" s="20">
        <v>46021.596770833334</v>
      </c>
      <c r="B241" s="1" t="s">
        <v>264</v>
      </c>
      <c r="C241" s="1" t="s">
        <v>293</v>
      </c>
      <c r="D241" s="1" t="s">
        <v>3062</v>
      </c>
      <c r="E241" s="1">
        <v>20900000</v>
      </c>
    </row>
    <row r="242" spans="1:5" ht="14.4" x14ac:dyDescent="0.3">
      <c r="A242" s="20">
        <v>46021.597187500003</v>
      </c>
      <c r="B242" s="1" t="s">
        <v>2957</v>
      </c>
      <c r="C242" s="1" t="s">
        <v>3063</v>
      </c>
      <c r="D242" s="1" t="s">
        <v>2889</v>
      </c>
      <c r="E242" s="1">
        <v>24800000</v>
      </c>
    </row>
    <row r="243" spans="1:5" ht="14.4" x14ac:dyDescent="0.3">
      <c r="A243" s="20">
        <v>46021.623472222222</v>
      </c>
      <c r="B243" s="1" t="s">
        <v>72</v>
      </c>
      <c r="C243" s="1">
        <v>580</v>
      </c>
      <c r="D243" s="1" t="s">
        <v>3064</v>
      </c>
      <c r="E243" s="1">
        <v>9000000</v>
      </c>
    </row>
    <row r="244" spans="1:5" ht="14.4" x14ac:dyDescent="0.3">
      <c r="A244" s="20">
        <v>46021.627418981479</v>
      </c>
      <c r="B244" s="1" t="s">
        <v>327</v>
      </c>
      <c r="C244" s="1" t="s">
        <v>3065</v>
      </c>
      <c r="D244" s="1" t="s">
        <v>3066</v>
      </c>
      <c r="E244" s="1">
        <v>8400000</v>
      </c>
    </row>
    <row r="245" spans="1:5" ht="14.4" x14ac:dyDescent="0.3">
      <c r="A245" s="20">
        <v>46022.274328703701</v>
      </c>
      <c r="B245" s="1" t="s">
        <v>30</v>
      </c>
      <c r="C245" s="1" t="s">
        <v>2987</v>
      </c>
      <c r="D245" s="1" t="s">
        <v>720</v>
      </c>
      <c r="E245" s="1">
        <v>9400000</v>
      </c>
    </row>
    <row r="246" spans="1:5" ht="14.4" x14ac:dyDescent="0.3">
      <c r="A246" s="20">
        <v>46022.306180555555</v>
      </c>
      <c r="B246" s="1" t="s">
        <v>2961</v>
      </c>
      <c r="C246" s="1" t="s">
        <v>3067</v>
      </c>
      <c r="D246" s="1" t="s">
        <v>3068</v>
      </c>
      <c r="E246" s="1">
        <v>16500000</v>
      </c>
    </row>
    <row r="247" spans="1:5" ht="14.4" x14ac:dyDescent="0.3">
      <c r="A247" s="20">
        <v>46022.355902777781</v>
      </c>
      <c r="B247" s="1" t="s">
        <v>30</v>
      </c>
      <c r="C247" s="1" t="s">
        <v>45</v>
      </c>
      <c r="D247" s="1" t="s">
        <v>502</v>
      </c>
      <c r="E247" s="1">
        <v>13900000</v>
      </c>
    </row>
    <row r="248" spans="1:5" ht="14.4" x14ac:dyDescent="0.3">
      <c r="A248" s="20">
        <v>46022.356932870367</v>
      </c>
      <c r="B248" s="1" t="s">
        <v>30</v>
      </c>
      <c r="C248" s="1" t="s">
        <v>41</v>
      </c>
      <c r="D248" s="1" t="s">
        <v>44</v>
      </c>
      <c r="E248" s="1">
        <v>11900000</v>
      </c>
    </row>
    <row r="249" spans="1:5" ht="14.4" x14ac:dyDescent="0.3">
      <c r="A249" s="20">
        <v>46022.368935185186</v>
      </c>
      <c r="B249" s="1" t="s">
        <v>195</v>
      </c>
      <c r="C249" s="1" t="s">
        <v>198</v>
      </c>
      <c r="D249" s="1" t="s">
        <v>3069</v>
      </c>
      <c r="E249" s="1">
        <v>30300000</v>
      </c>
    </row>
    <row r="250" spans="1:5" ht="14.4" x14ac:dyDescent="0.3">
      <c r="A250" s="20">
        <v>46022.378287037034</v>
      </c>
      <c r="B250" s="1" t="s">
        <v>167</v>
      </c>
      <c r="C250" s="1" t="s">
        <v>3070</v>
      </c>
      <c r="D250" s="1" t="s">
        <v>3071</v>
      </c>
      <c r="E250" s="1">
        <v>18000000</v>
      </c>
    </row>
    <row r="251" spans="1:5" ht="14.4" x14ac:dyDescent="0.3">
      <c r="A251" s="20">
        <v>46022.415590277778</v>
      </c>
      <c r="B251" s="1" t="s">
        <v>72</v>
      </c>
      <c r="C251" s="1">
        <v>580</v>
      </c>
      <c r="D251" s="1" t="s">
        <v>357</v>
      </c>
      <c r="E251" s="1">
        <v>10700000</v>
      </c>
    </row>
    <row r="252" spans="1:5" ht="14.4" x14ac:dyDescent="0.3">
      <c r="A252" s="20">
        <v>46022.454502314817</v>
      </c>
      <c r="B252" s="1" t="s">
        <v>264</v>
      </c>
      <c r="C252" s="1">
        <v>3008</v>
      </c>
      <c r="D252" s="1" t="s">
        <v>3072</v>
      </c>
      <c r="E252" s="1">
        <v>15000000</v>
      </c>
    </row>
    <row r="253" spans="1:5" ht="14.4" x14ac:dyDescent="0.3">
      <c r="A253" s="20">
        <v>46022.461655092593</v>
      </c>
      <c r="B253" s="1" t="s">
        <v>2945</v>
      </c>
      <c r="C253" s="1" t="s">
        <v>2994</v>
      </c>
      <c r="D253" s="1" t="s">
        <v>509</v>
      </c>
      <c r="E253" s="1">
        <v>8200000</v>
      </c>
    </row>
    <row r="254" spans="1:5" ht="14.4" x14ac:dyDescent="0.3">
      <c r="A254" s="20">
        <v>46022.46634259259</v>
      </c>
      <c r="B254" s="1" t="s">
        <v>48</v>
      </c>
      <c r="C254" s="1" t="s">
        <v>3073</v>
      </c>
      <c r="D254" s="1" t="s">
        <v>496</v>
      </c>
      <c r="E254" s="1">
        <v>10100000</v>
      </c>
    </row>
    <row r="255" spans="1:5" ht="14.4" x14ac:dyDescent="0.3">
      <c r="A255" s="20" t="s">
        <v>6674</v>
      </c>
      <c r="B255" s="1" t="s">
        <v>195</v>
      </c>
      <c r="C255" s="1" t="s">
        <v>3074</v>
      </c>
      <c r="D255" s="1" t="s">
        <v>501</v>
      </c>
      <c r="E255" s="1">
        <v>11900000</v>
      </c>
    </row>
    <row r="256" spans="1:5" ht="14.4" x14ac:dyDescent="0.3">
      <c r="A256" s="20" t="s">
        <v>6675</v>
      </c>
      <c r="B256" s="1" t="s">
        <v>2910</v>
      </c>
      <c r="C256" s="1" t="s">
        <v>3075</v>
      </c>
      <c r="D256" s="1" t="s">
        <v>497</v>
      </c>
      <c r="E256" s="1">
        <v>7710000</v>
      </c>
    </row>
    <row r="257" spans="1:5" ht="14.4" x14ac:dyDescent="0.3">
      <c r="A257" s="20" t="s">
        <v>6676</v>
      </c>
      <c r="B257" s="1" t="s">
        <v>317</v>
      </c>
      <c r="C257" s="1" t="s">
        <v>324</v>
      </c>
      <c r="D257" s="1" t="s">
        <v>326</v>
      </c>
      <c r="E257" s="1">
        <v>19300000</v>
      </c>
    </row>
    <row r="258" spans="1:5" ht="14.4" x14ac:dyDescent="0.3">
      <c r="A258" s="20" t="s">
        <v>6677</v>
      </c>
      <c r="B258" s="1" t="s">
        <v>2910</v>
      </c>
      <c r="C258" s="1" t="s">
        <v>3076</v>
      </c>
      <c r="D258" s="1" t="s">
        <v>488</v>
      </c>
      <c r="E258" s="1">
        <v>12100000</v>
      </c>
    </row>
    <row r="259" spans="1:5" ht="14.4" x14ac:dyDescent="0.3">
      <c r="A259" s="20" t="s">
        <v>6678</v>
      </c>
      <c r="B259" s="1" t="s">
        <v>3077</v>
      </c>
      <c r="C259" s="1" t="s">
        <v>3078</v>
      </c>
      <c r="D259" s="1" t="s">
        <v>3079</v>
      </c>
      <c r="E259" s="1">
        <v>24500000</v>
      </c>
    </row>
    <row r="260" spans="1:5" ht="14.4" x14ac:dyDescent="0.3">
      <c r="A260" s="20" t="s">
        <v>6679</v>
      </c>
      <c r="B260" s="1" t="s">
        <v>30</v>
      </c>
      <c r="C260" s="1" t="s">
        <v>2908</v>
      </c>
      <c r="D260" s="1" t="s">
        <v>407</v>
      </c>
      <c r="E260" s="1">
        <v>8500000</v>
      </c>
    </row>
    <row r="261" spans="1:5" ht="14.4" x14ac:dyDescent="0.3">
      <c r="A261" s="20" t="s">
        <v>6680</v>
      </c>
      <c r="B261" s="1" t="s">
        <v>93</v>
      </c>
      <c r="C261" s="1" t="s">
        <v>113</v>
      </c>
      <c r="D261" s="1" t="s">
        <v>3080</v>
      </c>
      <c r="E261" s="1">
        <v>17400000</v>
      </c>
    </row>
    <row r="262" spans="1:5" ht="14.4" x14ac:dyDescent="0.3">
      <c r="A262" s="20" t="s">
        <v>6681</v>
      </c>
      <c r="B262" s="1" t="s">
        <v>30</v>
      </c>
      <c r="C262" s="1" t="s">
        <v>2908</v>
      </c>
      <c r="D262" s="1" t="s">
        <v>3081</v>
      </c>
      <c r="E262" s="1">
        <v>7490000</v>
      </c>
    </row>
    <row r="263" spans="1:5" ht="14.4" x14ac:dyDescent="0.3">
      <c r="A263" s="20" t="s">
        <v>6682</v>
      </c>
      <c r="B263" s="1" t="s">
        <v>30</v>
      </c>
      <c r="C263" s="1" t="s">
        <v>3082</v>
      </c>
      <c r="D263" s="1" t="s">
        <v>3083</v>
      </c>
      <c r="E263" s="1">
        <v>10400000</v>
      </c>
    </row>
    <row r="264" spans="1:5" ht="14.4" x14ac:dyDescent="0.3">
      <c r="A264" s="20" t="s">
        <v>6683</v>
      </c>
      <c r="B264" s="1" t="s">
        <v>334</v>
      </c>
      <c r="C264" s="1" t="s">
        <v>2903</v>
      </c>
      <c r="D264" s="1" t="s">
        <v>3084</v>
      </c>
      <c r="E264" s="1">
        <v>19100000</v>
      </c>
    </row>
    <row r="265" spans="1:5" ht="14.4" x14ac:dyDescent="0.3">
      <c r="A265" s="20" t="s">
        <v>6684</v>
      </c>
      <c r="B265" s="1" t="s">
        <v>317</v>
      </c>
      <c r="C265" s="1" t="s">
        <v>2949</v>
      </c>
      <c r="D265" s="1" t="s">
        <v>490</v>
      </c>
      <c r="E265" s="1">
        <v>11500000</v>
      </c>
    </row>
    <row r="266" spans="1:5" ht="14.4" x14ac:dyDescent="0.3">
      <c r="A266" s="20" t="s">
        <v>6685</v>
      </c>
      <c r="B266" s="1" t="s">
        <v>195</v>
      </c>
      <c r="C266" s="1" t="s">
        <v>3085</v>
      </c>
      <c r="D266" s="1" t="s">
        <v>3086</v>
      </c>
      <c r="E266" s="1">
        <v>13500000</v>
      </c>
    </row>
    <row r="267" spans="1:5" ht="14.4" x14ac:dyDescent="0.3">
      <c r="A267" s="20" t="s">
        <v>6686</v>
      </c>
      <c r="B267" s="1" t="s">
        <v>236</v>
      </c>
      <c r="C267" s="1" t="s">
        <v>3087</v>
      </c>
      <c r="D267" s="1" t="s">
        <v>3088</v>
      </c>
      <c r="E267" s="1">
        <v>16600000</v>
      </c>
    </row>
    <row r="268" spans="1:5" ht="14.4" x14ac:dyDescent="0.3">
      <c r="A268" s="20" t="s">
        <v>6687</v>
      </c>
      <c r="B268" s="1" t="s">
        <v>2910</v>
      </c>
      <c r="C268" s="1" t="s">
        <v>218</v>
      </c>
      <c r="D268" s="1" t="s">
        <v>3089</v>
      </c>
      <c r="E268" s="1">
        <v>20900000</v>
      </c>
    </row>
    <row r="269" spans="1:5" ht="14.4" x14ac:dyDescent="0.3">
      <c r="A269" s="20" t="s">
        <v>6688</v>
      </c>
      <c r="B269" s="1" t="s">
        <v>30</v>
      </c>
      <c r="C269" s="1" t="s">
        <v>2902</v>
      </c>
      <c r="D269" s="1" t="s">
        <v>572</v>
      </c>
      <c r="E269" s="1">
        <v>13600000</v>
      </c>
    </row>
    <row r="270" spans="1:5" ht="14.4" x14ac:dyDescent="0.3">
      <c r="A270" s="20" t="s">
        <v>6689</v>
      </c>
      <c r="B270" s="1" t="s">
        <v>2910</v>
      </c>
      <c r="C270" s="1" t="s">
        <v>206</v>
      </c>
      <c r="D270" s="1" t="s">
        <v>3090</v>
      </c>
      <c r="E270" s="1">
        <v>10200000</v>
      </c>
    </row>
    <row r="271" spans="1:5" ht="14.4" x14ac:dyDescent="0.3">
      <c r="A271" s="20" t="s">
        <v>6690</v>
      </c>
      <c r="B271" s="1" t="s">
        <v>93</v>
      </c>
      <c r="C271" s="1" t="s">
        <v>143</v>
      </c>
      <c r="D271" s="1" t="s">
        <v>3091</v>
      </c>
      <c r="E271" s="1">
        <v>16100000</v>
      </c>
    </row>
    <row r="272" spans="1:5" ht="14.4" x14ac:dyDescent="0.3">
      <c r="A272" s="20" t="s">
        <v>6691</v>
      </c>
      <c r="B272" s="1" t="s">
        <v>242</v>
      </c>
      <c r="C272" s="1" t="s">
        <v>2988</v>
      </c>
      <c r="D272" s="1" t="s">
        <v>3092</v>
      </c>
      <c r="E272" s="1">
        <v>24100000</v>
      </c>
    </row>
    <row r="273" spans="1:5" ht="14.4" x14ac:dyDescent="0.3">
      <c r="A273" s="20" t="s">
        <v>6692</v>
      </c>
      <c r="B273" s="1" t="s">
        <v>264</v>
      </c>
      <c r="C273" s="1" t="s">
        <v>2996</v>
      </c>
      <c r="D273" s="1" t="s">
        <v>3093</v>
      </c>
      <c r="E273" s="1">
        <v>16200000</v>
      </c>
    </row>
    <row r="274" spans="1:5" ht="14.4" x14ac:dyDescent="0.3">
      <c r="A274" s="20" t="s">
        <v>6693</v>
      </c>
      <c r="B274" s="1" t="s">
        <v>242</v>
      </c>
      <c r="C274" s="1" t="s">
        <v>3094</v>
      </c>
      <c r="D274" s="1" t="s">
        <v>2889</v>
      </c>
      <c r="E274" s="1">
        <v>29500000</v>
      </c>
    </row>
    <row r="275" spans="1:5" ht="14.4" x14ac:dyDescent="0.3">
      <c r="A275" s="20" t="s">
        <v>6694</v>
      </c>
      <c r="B275" s="1" t="s">
        <v>264</v>
      </c>
      <c r="C275" s="1" t="s">
        <v>2899</v>
      </c>
      <c r="D275" s="1" t="s">
        <v>3095</v>
      </c>
      <c r="E275" s="1">
        <v>13300000</v>
      </c>
    </row>
    <row r="276" spans="1:5" ht="14.4" x14ac:dyDescent="0.3">
      <c r="A276" s="20" t="s">
        <v>6695</v>
      </c>
      <c r="B276" s="1" t="s">
        <v>236</v>
      </c>
      <c r="C276" s="1" t="s">
        <v>3087</v>
      </c>
      <c r="D276" s="1" t="s">
        <v>3096</v>
      </c>
      <c r="E276" s="1">
        <v>16400000</v>
      </c>
    </row>
    <row r="277" spans="1:5" ht="14.4" x14ac:dyDescent="0.3">
      <c r="A277" s="20" t="s">
        <v>6696</v>
      </c>
      <c r="B277" s="1" t="s">
        <v>2886</v>
      </c>
      <c r="C277" s="1" t="s">
        <v>3097</v>
      </c>
      <c r="D277" s="1" t="s">
        <v>3098</v>
      </c>
      <c r="E277" s="1">
        <v>12800000</v>
      </c>
    </row>
    <row r="278" spans="1:5" ht="14.4" x14ac:dyDescent="0.3">
      <c r="A278" s="20" t="s">
        <v>6697</v>
      </c>
      <c r="B278" s="1" t="s">
        <v>236</v>
      </c>
      <c r="C278" s="1" t="s">
        <v>3087</v>
      </c>
      <c r="D278" s="1" t="s">
        <v>3099</v>
      </c>
      <c r="E278" s="1">
        <v>19300000</v>
      </c>
    </row>
    <row r="279" spans="1:5" ht="14.4" x14ac:dyDescent="0.3">
      <c r="A279" s="20" t="s">
        <v>6698</v>
      </c>
      <c r="B279" s="1" t="s">
        <v>2929</v>
      </c>
      <c r="C279" s="1" t="s">
        <v>3100</v>
      </c>
      <c r="D279" s="1" t="s">
        <v>3101</v>
      </c>
      <c r="E279" s="1">
        <v>7490000</v>
      </c>
    </row>
    <row r="280" spans="1:5" ht="14.4" x14ac:dyDescent="0.3">
      <c r="A280" s="20" t="s">
        <v>6699</v>
      </c>
      <c r="B280" s="1" t="s">
        <v>339</v>
      </c>
      <c r="C280" s="1" t="s">
        <v>340</v>
      </c>
      <c r="D280" s="1" t="s">
        <v>342</v>
      </c>
      <c r="E280" s="1">
        <v>31400000</v>
      </c>
    </row>
    <row r="281" spans="1:5" ht="14.4" x14ac:dyDescent="0.3">
      <c r="A281" s="20" t="s">
        <v>6700</v>
      </c>
      <c r="B281" s="1" t="s">
        <v>64</v>
      </c>
      <c r="C281" s="1" t="s">
        <v>2971</v>
      </c>
      <c r="D281" s="1" t="s">
        <v>3102</v>
      </c>
      <c r="E281" s="1">
        <v>10600000</v>
      </c>
    </row>
    <row r="282" spans="1:5" ht="14.4" x14ac:dyDescent="0.3">
      <c r="A282" s="20" t="s">
        <v>6701</v>
      </c>
      <c r="B282" s="1" t="s">
        <v>93</v>
      </c>
      <c r="C282" s="1" t="s">
        <v>143</v>
      </c>
      <c r="D282" s="1" t="s">
        <v>3103</v>
      </c>
      <c r="E282" s="1">
        <v>12500000</v>
      </c>
    </row>
    <row r="283" spans="1:5" ht="14.4" x14ac:dyDescent="0.3">
      <c r="A283" s="20" t="s">
        <v>6702</v>
      </c>
      <c r="B283" s="1" t="s">
        <v>339</v>
      </c>
      <c r="C283" s="1" t="s">
        <v>3104</v>
      </c>
      <c r="D283" s="1" t="s">
        <v>3105</v>
      </c>
      <c r="E283" s="1">
        <v>7230000</v>
      </c>
    </row>
    <row r="284" spans="1:5" ht="14.4" x14ac:dyDescent="0.3">
      <c r="A284" s="20" t="s">
        <v>6703</v>
      </c>
      <c r="B284" s="1" t="s">
        <v>264</v>
      </c>
      <c r="C284" s="1" t="s">
        <v>2897</v>
      </c>
      <c r="D284" s="1" t="s">
        <v>494</v>
      </c>
      <c r="E284" s="1">
        <v>11200000</v>
      </c>
    </row>
    <row r="285" spans="1:5" ht="14.4" x14ac:dyDescent="0.3">
      <c r="A285" s="20" t="s">
        <v>6704</v>
      </c>
      <c r="B285" s="1" t="s">
        <v>2945</v>
      </c>
      <c r="C285" s="1" t="s">
        <v>3106</v>
      </c>
      <c r="D285" s="1" t="s">
        <v>3107</v>
      </c>
      <c r="E285" s="1">
        <v>9600000</v>
      </c>
    </row>
    <row r="286" spans="1:5" ht="14.4" x14ac:dyDescent="0.3">
      <c r="A286" s="20" t="s">
        <v>6705</v>
      </c>
      <c r="B286" s="1" t="s">
        <v>2910</v>
      </c>
      <c r="C286" s="1" t="s">
        <v>206</v>
      </c>
      <c r="D286" s="1" t="s">
        <v>491</v>
      </c>
      <c r="E286" s="1">
        <v>8100000</v>
      </c>
    </row>
    <row r="287" spans="1:5" ht="14.4" x14ac:dyDescent="0.3">
      <c r="A287" s="20" t="s">
        <v>6706</v>
      </c>
      <c r="B287" s="1" t="s">
        <v>2961</v>
      </c>
      <c r="C287" s="1" t="s">
        <v>3067</v>
      </c>
      <c r="D287" s="1" t="s">
        <v>3108</v>
      </c>
      <c r="E287" s="1">
        <v>12700000</v>
      </c>
    </row>
    <row r="288" spans="1:5" ht="14.4" x14ac:dyDescent="0.3">
      <c r="A288" s="20" t="s">
        <v>6707</v>
      </c>
      <c r="B288" s="1" t="s">
        <v>303</v>
      </c>
      <c r="C288" s="1" t="s">
        <v>2942</v>
      </c>
      <c r="D288" s="1" t="s">
        <v>3109</v>
      </c>
      <c r="E288" s="1">
        <v>44200000</v>
      </c>
    </row>
    <row r="289" spans="1:5" ht="14.4" x14ac:dyDescent="0.3">
      <c r="A289" s="20" t="s">
        <v>6708</v>
      </c>
      <c r="B289" s="1" t="s">
        <v>264</v>
      </c>
      <c r="C289" s="1" t="s">
        <v>2896</v>
      </c>
      <c r="D289" s="1" t="s">
        <v>487</v>
      </c>
      <c r="E289" s="1">
        <v>12900000</v>
      </c>
    </row>
    <row r="290" spans="1:5" ht="14.4" x14ac:dyDescent="0.3">
      <c r="A290" s="20" t="s">
        <v>6709</v>
      </c>
      <c r="B290" s="1" t="s">
        <v>2910</v>
      </c>
      <c r="C290" s="1" t="s">
        <v>218</v>
      </c>
      <c r="D290" s="1" t="s">
        <v>625</v>
      </c>
      <c r="E290" s="1">
        <v>19500000</v>
      </c>
    </row>
    <row r="291" spans="1:5" ht="14.4" x14ac:dyDescent="0.3">
      <c r="A291" s="20" t="s">
        <v>6710</v>
      </c>
      <c r="B291" s="1" t="s">
        <v>264</v>
      </c>
      <c r="C291" s="1" t="s">
        <v>2996</v>
      </c>
      <c r="D291" s="1" t="s">
        <v>3110</v>
      </c>
      <c r="E291" s="1">
        <v>16000000</v>
      </c>
    </row>
    <row r="292" spans="1:5" ht="14.4" x14ac:dyDescent="0.3">
      <c r="A292" s="20" t="s">
        <v>6711</v>
      </c>
      <c r="B292" s="1" t="s">
        <v>48</v>
      </c>
      <c r="C292" s="1" t="s">
        <v>2937</v>
      </c>
      <c r="D292" s="1" t="s">
        <v>3111</v>
      </c>
      <c r="E292" s="1">
        <v>24200000</v>
      </c>
    </row>
    <row r="293" spans="1:5" ht="14.4" x14ac:dyDescent="0.3">
      <c r="A293" s="20" t="s">
        <v>6712</v>
      </c>
      <c r="B293" s="1" t="s">
        <v>30</v>
      </c>
      <c r="C293" s="1" t="s">
        <v>2987</v>
      </c>
      <c r="D293" s="1" t="s">
        <v>3112</v>
      </c>
      <c r="E293" s="1">
        <v>7990000</v>
      </c>
    </row>
    <row r="294" spans="1:5" ht="14.4" x14ac:dyDescent="0.3">
      <c r="A294" s="20" t="s">
        <v>6713</v>
      </c>
      <c r="B294" s="1" t="s">
        <v>93</v>
      </c>
      <c r="C294" s="1" t="s">
        <v>131</v>
      </c>
      <c r="D294" s="1" t="s">
        <v>135</v>
      </c>
      <c r="E294" s="1">
        <v>33400000</v>
      </c>
    </row>
    <row r="295" spans="1:5" ht="14.4" x14ac:dyDescent="0.3">
      <c r="A295" s="20" t="s">
        <v>6714</v>
      </c>
      <c r="B295" s="1" t="s">
        <v>242</v>
      </c>
      <c r="C295" s="1" t="s">
        <v>246</v>
      </c>
      <c r="D295" s="1" t="s">
        <v>3113</v>
      </c>
      <c r="E295" s="1">
        <v>24300000</v>
      </c>
    </row>
    <row r="296" spans="1:5" ht="14.4" x14ac:dyDescent="0.3">
      <c r="A296" s="20" t="s">
        <v>6715</v>
      </c>
      <c r="B296" s="1" t="s">
        <v>264</v>
      </c>
      <c r="C296" s="1" t="s">
        <v>2899</v>
      </c>
      <c r="D296" s="1" t="s">
        <v>3114</v>
      </c>
      <c r="E296" s="1">
        <v>14100000</v>
      </c>
    </row>
    <row r="297" spans="1:5" ht="14.4" x14ac:dyDescent="0.3">
      <c r="A297" s="20" t="s">
        <v>6716</v>
      </c>
      <c r="B297" s="1" t="s">
        <v>72</v>
      </c>
      <c r="C297" s="1">
        <v>580</v>
      </c>
      <c r="D297" s="1" t="s">
        <v>3115</v>
      </c>
      <c r="E297" s="1">
        <v>9200000</v>
      </c>
    </row>
    <row r="298" spans="1:5" ht="14.4" x14ac:dyDescent="0.3">
      <c r="A298" s="20" t="s">
        <v>6717</v>
      </c>
      <c r="B298" s="1" t="s">
        <v>2933</v>
      </c>
      <c r="C298" s="1" t="s">
        <v>3116</v>
      </c>
      <c r="D298" s="1" t="s">
        <v>3117</v>
      </c>
      <c r="E298" s="1">
        <v>29200000</v>
      </c>
    </row>
    <row r="299" spans="1:5" ht="14.4" x14ac:dyDescent="0.3">
      <c r="A299" s="20" t="s">
        <v>6718</v>
      </c>
      <c r="B299" s="1" t="s">
        <v>242</v>
      </c>
      <c r="C299" s="1" t="s">
        <v>2981</v>
      </c>
      <c r="D299" s="1" t="s">
        <v>3118</v>
      </c>
      <c r="E299" s="1">
        <v>11000000</v>
      </c>
    </row>
    <row r="300" spans="1:5" ht="14.4" x14ac:dyDescent="0.3">
      <c r="A300" s="20" t="s">
        <v>6719</v>
      </c>
      <c r="B300" s="1" t="s">
        <v>167</v>
      </c>
      <c r="C300" s="1" t="s">
        <v>3119</v>
      </c>
      <c r="D300" s="1" t="s">
        <v>493</v>
      </c>
      <c r="E300" s="1">
        <v>9200000</v>
      </c>
    </row>
    <row r="301" spans="1:5" ht="14.4" x14ac:dyDescent="0.3">
      <c r="A301" s="20" t="s">
        <v>6720</v>
      </c>
      <c r="B301" s="1" t="s">
        <v>242</v>
      </c>
      <c r="C301" s="1" t="s">
        <v>3094</v>
      </c>
      <c r="D301" s="1" t="s">
        <v>3120</v>
      </c>
      <c r="E301" s="1">
        <v>14600000</v>
      </c>
    </row>
    <row r="302" spans="1:5" ht="14.4" x14ac:dyDescent="0.3">
      <c r="A302" s="20" t="s">
        <v>6721</v>
      </c>
      <c r="B302" s="1" t="s">
        <v>93</v>
      </c>
      <c r="C302" s="1" t="s">
        <v>131</v>
      </c>
      <c r="D302" s="1" t="s">
        <v>3121</v>
      </c>
      <c r="E302" s="1">
        <v>18700000</v>
      </c>
    </row>
    <row r="303" spans="1:5" ht="14.4" x14ac:dyDescent="0.3">
      <c r="A303" s="20" t="s">
        <v>6722</v>
      </c>
      <c r="B303" s="1" t="s">
        <v>2945</v>
      </c>
      <c r="C303" s="1" t="s">
        <v>2983</v>
      </c>
      <c r="D303" s="1" t="s">
        <v>3122</v>
      </c>
      <c r="E303" s="1">
        <v>8200000</v>
      </c>
    </row>
    <row r="304" spans="1:5" ht="14.4" x14ac:dyDescent="0.3">
      <c r="A304" s="20" t="s">
        <v>6723</v>
      </c>
      <c r="B304" s="1" t="s">
        <v>2945</v>
      </c>
      <c r="C304" s="1" t="s">
        <v>2994</v>
      </c>
      <c r="D304" s="1" t="s">
        <v>3123</v>
      </c>
      <c r="E304" s="1">
        <v>6180000</v>
      </c>
    </row>
    <row r="305" spans="1:5" ht="14.4" x14ac:dyDescent="0.3">
      <c r="A305" s="20" t="s">
        <v>6724</v>
      </c>
      <c r="B305" s="1" t="s">
        <v>264</v>
      </c>
      <c r="C305" s="1" t="s">
        <v>3042</v>
      </c>
      <c r="D305" s="1" t="s">
        <v>3124</v>
      </c>
      <c r="E305" s="1">
        <v>16800000</v>
      </c>
    </row>
    <row r="306" spans="1:5" ht="14.4" x14ac:dyDescent="0.3">
      <c r="A306" s="20" t="s">
        <v>6725</v>
      </c>
      <c r="B306" s="1" t="s">
        <v>93</v>
      </c>
      <c r="C306" s="1" t="s">
        <v>113</v>
      </c>
      <c r="D306" s="1" t="s">
        <v>1308</v>
      </c>
      <c r="E306" s="1">
        <v>25600000</v>
      </c>
    </row>
    <row r="307" spans="1:5" ht="14.4" x14ac:dyDescent="0.3">
      <c r="A307" s="20" t="s">
        <v>6726</v>
      </c>
      <c r="B307" s="1" t="s">
        <v>229</v>
      </c>
      <c r="C307" s="1" t="s">
        <v>2994</v>
      </c>
      <c r="D307" s="1" t="s">
        <v>492</v>
      </c>
      <c r="E307" s="1">
        <v>10000000</v>
      </c>
    </row>
    <row r="308" spans="1:5" ht="14.4" x14ac:dyDescent="0.3">
      <c r="A308" s="20" t="s">
        <v>6727</v>
      </c>
      <c r="B308" s="1" t="s">
        <v>167</v>
      </c>
      <c r="C308" s="1" t="s">
        <v>3125</v>
      </c>
      <c r="D308" s="1" t="s">
        <v>3126</v>
      </c>
      <c r="E308" s="1">
        <v>8000000</v>
      </c>
    </row>
    <row r="309" spans="1:5" ht="14.4" x14ac:dyDescent="0.3">
      <c r="A309" s="20" t="s">
        <v>6728</v>
      </c>
      <c r="B309" s="1" t="s">
        <v>2906</v>
      </c>
      <c r="C309" s="1" t="s">
        <v>2907</v>
      </c>
      <c r="D309" s="1" t="s">
        <v>3127</v>
      </c>
      <c r="E309" s="1">
        <v>6960000</v>
      </c>
    </row>
    <row r="310" spans="1:5" ht="14.4" x14ac:dyDescent="0.3">
      <c r="A310" s="20" t="s">
        <v>6729</v>
      </c>
      <c r="B310" s="1" t="s">
        <v>242</v>
      </c>
      <c r="C310" s="1" t="s">
        <v>3128</v>
      </c>
      <c r="D310" s="1" t="s">
        <v>3129</v>
      </c>
      <c r="E310" s="1">
        <v>15800000</v>
      </c>
    </row>
    <row r="311" spans="1:5" ht="14.4" x14ac:dyDescent="0.3">
      <c r="A311" s="20" t="s">
        <v>6730</v>
      </c>
      <c r="B311" s="1" t="s">
        <v>242</v>
      </c>
      <c r="C311" s="1" t="s">
        <v>2988</v>
      </c>
      <c r="D311" s="1" t="s">
        <v>3130</v>
      </c>
      <c r="E311" s="1">
        <v>23600000</v>
      </c>
    </row>
    <row r="312" spans="1:5" ht="14.4" x14ac:dyDescent="0.3">
      <c r="A312" s="20" t="s">
        <v>6731</v>
      </c>
      <c r="B312" s="1" t="s">
        <v>15</v>
      </c>
      <c r="C312" s="1" t="s">
        <v>2920</v>
      </c>
      <c r="D312" s="1" t="s">
        <v>3131</v>
      </c>
      <c r="E312" s="1">
        <v>8400000</v>
      </c>
    </row>
    <row r="313" spans="1:5" ht="14.4" x14ac:dyDescent="0.3">
      <c r="A313" s="20" t="s">
        <v>6732</v>
      </c>
      <c r="B313" s="1" t="s">
        <v>48</v>
      </c>
      <c r="C313" s="1" t="s">
        <v>3132</v>
      </c>
      <c r="D313" s="1" t="s">
        <v>3133</v>
      </c>
      <c r="E313" s="1">
        <v>15800000</v>
      </c>
    </row>
    <row r="314" spans="1:5" ht="14.4" x14ac:dyDescent="0.3">
      <c r="A314" s="20" t="s">
        <v>6733</v>
      </c>
      <c r="B314" s="1" t="s">
        <v>30</v>
      </c>
      <c r="C314" s="1" t="s">
        <v>2908</v>
      </c>
      <c r="D314" s="1" t="s">
        <v>485</v>
      </c>
      <c r="E314" s="1">
        <v>7760000</v>
      </c>
    </row>
    <row r="315" spans="1:5" ht="14.4" x14ac:dyDescent="0.3">
      <c r="A315" s="20" t="s">
        <v>6734</v>
      </c>
      <c r="B315" s="1" t="s">
        <v>327</v>
      </c>
      <c r="C315" s="1" t="s">
        <v>2953</v>
      </c>
      <c r="D315" s="1" t="s">
        <v>3134</v>
      </c>
      <c r="E315" s="1">
        <v>10900000</v>
      </c>
    </row>
    <row r="316" spans="1:5" ht="14.4" x14ac:dyDescent="0.3">
      <c r="A316" s="20" t="s">
        <v>6735</v>
      </c>
      <c r="B316" s="1" t="s">
        <v>264</v>
      </c>
      <c r="C316" s="1">
        <v>308</v>
      </c>
      <c r="D316" s="1" t="s">
        <v>3135</v>
      </c>
      <c r="E316" s="1">
        <v>19800000</v>
      </c>
    </row>
    <row r="317" spans="1:5" ht="14.4" x14ac:dyDescent="0.3">
      <c r="A317" s="20" t="s">
        <v>6736</v>
      </c>
      <c r="B317" s="1" t="s">
        <v>2910</v>
      </c>
      <c r="C317" s="1" t="s">
        <v>2975</v>
      </c>
      <c r="D317" s="1" t="s">
        <v>3136</v>
      </c>
      <c r="E317" s="1">
        <v>15700000</v>
      </c>
    </row>
    <row r="318" spans="1:5" ht="14.4" x14ac:dyDescent="0.3">
      <c r="A318" s="20" t="s">
        <v>6737</v>
      </c>
      <c r="B318" s="1" t="s">
        <v>264</v>
      </c>
      <c r="C318" s="1" t="s">
        <v>2897</v>
      </c>
      <c r="D318" s="1" t="s">
        <v>3137</v>
      </c>
      <c r="E318" s="1">
        <v>12300000</v>
      </c>
    </row>
    <row r="319" spans="1:5" ht="14.4" x14ac:dyDescent="0.3">
      <c r="A319" s="20" t="s">
        <v>6738</v>
      </c>
      <c r="B319" s="1" t="s">
        <v>264</v>
      </c>
      <c r="C319" s="1">
        <v>308</v>
      </c>
      <c r="D319" s="1" t="s">
        <v>3138</v>
      </c>
      <c r="E319" s="1">
        <v>21100000</v>
      </c>
    </row>
    <row r="320" spans="1:5" ht="14.4" x14ac:dyDescent="0.3">
      <c r="A320" s="20" t="s">
        <v>6739</v>
      </c>
      <c r="B320" s="1" t="s">
        <v>264</v>
      </c>
      <c r="C320" s="1">
        <v>308</v>
      </c>
      <c r="D320" s="1" t="s">
        <v>3138</v>
      </c>
      <c r="E320" s="1">
        <v>21100000</v>
      </c>
    </row>
    <row r="321" spans="1:5" ht="14.4" x14ac:dyDescent="0.3">
      <c r="A321" s="20" t="s">
        <v>6740</v>
      </c>
      <c r="B321" s="1" t="s">
        <v>242</v>
      </c>
      <c r="C321" s="1" t="s">
        <v>246</v>
      </c>
      <c r="D321" s="1" t="s">
        <v>3139</v>
      </c>
      <c r="E321" s="1">
        <v>12200000</v>
      </c>
    </row>
    <row r="322" spans="1:5" ht="14.4" x14ac:dyDescent="0.3">
      <c r="A322" s="20" t="s">
        <v>6741</v>
      </c>
      <c r="B322" s="1" t="s">
        <v>30</v>
      </c>
      <c r="C322" s="1" t="s">
        <v>2908</v>
      </c>
      <c r="D322" s="1" t="s">
        <v>3140</v>
      </c>
      <c r="E322" s="1">
        <v>8900000</v>
      </c>
    </row>
    <row r="323" spans="1:5" ht="14.4" x14ac:dyDescent="0.3">
      <c r="A323" s="20" t="s">
        <v>6742</v>
      </c>
      <c r="B323" s="1" t="s">
        <v>242</v>
      </c>
      <c r="C323" s="1" t="s">
        <v>3141</v>
      </c>
      <c r="D323" s="1" t="s">
        <v>480</v>
      </c>
      <c r="E323" s="1">
        <v>9700000</v>
      </c>
    </row>
    <row r="324" spans="1:5" ht="14.4" x14ac:dyDescent="0.3">
      <c r="A324" s="20" t="s">
        <v>6743</v>
      </c>
      <c r="B324" s="1" t="s">
        <v>229</v>
      </c>
      <c r="C324" s="1" t="s">
        <v>3142</v>
      </c>
      <c r="D324" s="1" t="s">
        <v>3143</v>
      </c>
      <c r="E324" s="1">
        <v>12600000</v>
      </c>
    </row>
    <row r="325" spans="1:5" ht="14.4" x14ac:dyDescent="0.3">
      <c r="A325" s="20" t="s">
        <v>6744</v>
      </c>
      <c r="B325" s="1" t="s">
        <v>93</v>
      </c>
      <c r="C325" s="1" t="s">
        <v>100</v>
      </c>
      <c r="D325" s="1" t="s">
        <v>3144</v>
      </c>
      <c r="E325" s="1">
        <v>21400000</v>
      </c>
    </row>
    <row r="326" spans="1:5" ht="14.4" x14ac:dyDescent="0.3">
      <c r="A326" s="20" t="s">
        <v>6745</v>
      </c>
      <c r="B326" s="1" t="s">
        <v>2957</v>
      </c>
      <c r="C326" s="1" t="s">
        <v>3145</v>
      </c>
      <c r="D326" s="1" t="s">
        <v>3146</v>
      </c>
      <c r="E326" s="1">
        <v>20400000</v>
      </c>
    </row>
    <row r="327" spans="1:5" ht="14.4" x14ac:dyDescent="0.3">
      <c r="A327" s="20" t="s">
        <v>6746</v>
      </c>
      <c r="B327" s="1" t="s">
        <v>93</v>
      </c>
      <c r="C327" s="1" t="s">
        <v>2919</v>
      </c>
      <c r="D327" s="1" t="s">
        <v>2889</v>
      </c>
      <c r="E327" s="1">
        <v>40200000</v>
      </c>
    </row>
    <row r="328" spans="1:5" ht="14.4" x14ac:dyDescent="0.3">
      <c r="A328" s="20" t="s">
        <v>6747</v>
      </c>
      <c r="B328" s="1" t="s">
        <v>327</v>
      </c>
      <c r="C328" s="1" t="s">
        <v>3147</v>
      </c>
      <c r="D328" s="1" t="s">
        <v>3148</v>
      </c>
      <c r="E328" s="1">
        <v>5280000</v>
      </c>
    </row>
    <row r="329" spans="1:5" ht="14.4" x14ac:dyDescent="0.3">
      <c r="A329" s="20" t="s">
        <v>6748</v>
      </c>
      <c r="B329" s="1" t="s">
        <v>264</v>
      </c>
      <c r="C329" s="1">
        <v>2008</v>
      </c>
      <c r="D329" s="1" t="s">
        <v>2927</v>
      </c>
      <c r="E329" s="1">
        <v>12300000</v>
      </c>
    </row>
    <row r="330" spans="1:5" ht="14.4" x14ac:dyDescent="0.3">
      <c r="A330" s="20" t="s">
        <v>6749</v>
      </c>
      <c r="B330" s="1" t="s">
        <v>2945</v>
      </c>
      <c r="C330" s="1" t="s">
        <v>2983</v>
      </c>
      <c r="D330" s="1" t="s">
        <v>3149</v>
      </c>
      <c r="E330" s="1">
        <v>7390000</v>
      </c>
    </row>
    <row r="331" spans="1:5" ht="14.4" x14ac:dyDescent="0.3">
      <c r="A331" s="20" t="s">
        <v>6750</v>
      </c>
      <c r="B331" s="1" t="s">
        <v>260</v>
      </c>
      <c r="C331" s="1" t="s">
        <v>69</v>
      </c>
      <c r="D331" s="1" t="s">
        <v>3150</v>
      </c>
      <c r="E331" s="1">
        <v>12200000</v>
      </c>
    </row>
    <row r="332" spans="1:5" ht="14.4" x14ac:dyDescent="0.3">
      <c r="A332" s="20" t="s">
        <v>6751</v>
      </c>
      <c r="B332" s="1" t="s">
        <v>48</v>
      </c>
      <c r="C332" s="1" t="s">
        <v>3073</v>
      </c>
      <c r="D332" s="1" t="s">
        <v>496</v>
      </c>
      <c r="E332" s="1">
        <v>10000000</v>
      </c>
    </row>
    <row r="333" spans="1:5" ht="14.4" x14ac:dyDescent="0.3">
      <c r="A333" s="20" t="s">
        <v>6752</v>
      </c>
      <c r="B333" s="1" t="s">
        <v>72</v>
      </c>
      <c r="C333" s="1">
        <v>500</v>
      </c>
      <c r="D333" s="1" t="s">
        <v>3151</v>
      </c>
      <c r="E333" s="1">
        <v>9500000</v>
      </c>
    </row>
    <row r="334" spans="1:5" ht="14.4" x14ac:dyDescent="0.3">
      <c r="A334" s="20" t="s">
        <v>6753</v>
      </c>
      <c r="B334" s="1" t="s">
        <v>167</v>
      </c>
      <c r="C334" s="1" t="s">
        <v>2891</v>
      </c>
      <c r="D334" s="1" t="s">
        <v>3152</v>
      </c>
      <c r="E334" s="1">
        <v>9200000</v>
      </c>
    </row>
    <row r="335" spans="1:5" ht="14.4" x14ac:dyDescent="0.3">
      <c r="A335" s="20" t="s">
        <v>6754</v>
      </c>
      <c r="B335" s="1" t="s">
        <v>264</v>
      </c>
      <c r="C335" s="1" t="s">
        <v>2917</v>
      </c>
      <c r="D335" s="1" t="s">
        <v>3153</v>
      </c>
      <c r="E335" s="1">
        <v>22800000</v>
      </c>
    </row>
    <row r="336" spans="1:5" ht="14.4" x14ac:dyDescent="0.3">
      <c r="A336" s="20" t="s">
        <v>6755</v>
      </c>
      <c r="B336" s="1" t="s">
        <v>236</v>
      </c>
      <c r="C336" s="1" t="s">
        <v>2893</v>
      </c>
      <c r="D336" s="1" t="s">
        <v>3154</v>
      </c>
      <c r="E336" s="1">
        <v>16300000</v>
      </c>
    </row>
    <row r="337" spans="1:5" ht="14.4" x14ac:dyDescent="0.3">
      <c r="A337" s="20" t="s">
        <v>6756</v>
      </c>
      <c r="B337" s="1" t="s">
        <v>264</v>
      </c>
      <c r="C337" s="1" t="s">
        <v>3042</v>
      </c>
      <c r="D337" s="1" t="s">
        <v>3155</v>
      </c>
      <c r="E337" s="1">
        <v>17700000</v>
      </c>
    </row>
    <row r="338" spans="1:5" ht="14.4" x14ac:dyDescent="0.3">
      <c r="A338" s="20" t="s">
        <v>6757</v>
      </c>
      <c r="B338" s="1" t="s">
        <v>30</v>
      </c>
      <c r="C338" s="1" t="s">
        <v>2987</v>
      </c>
      <c r="D338" s="1" t="s">
        <v>3156</v>
      </c>
      <c r="E338" s="1">
        <v>8000000</v>
      </c>
    </row>
    <row r="339" spans="1:5" ht="14.4" x14ac:dyDescent="0.3">
      <c r="A339" s="20" t="s">
        <v>6758</v>
      </c>
      <c r="B339" s="1" t="s">
        <v>242</v>
      </c>
      <c r="C339" s="1" t="s">
        <v>2921</v>
      </c>
      <c r="D339" s="1" t="s">
        <v>2004</v>
      </c>
      <c r="E339" s="1">
        <v>11600000</v>
      </c>
    </row>
    <row r="340" spans="1:5" ht="14.4" x14ac:dyDescent="0.3">
      <c r="A340" s="20" t="s">
        <v>6759</v>
      </c>
      <c r="B340" s="1" t="s">
        <v>19</v>
      </c>
      <c r="C340" s="1" t="s">
        <v>3053</v>
      </c>
      <c r="D340" s="1" t="s">
        <v>29</v>
      </c>
      <c r="E340" s="1">
        <v>22100000</v>
      </c>
    </row>
    <row r="341" spans="1:5" ht="14.4" x14ac:dyDescent="0.3">
      <c r="A341" s="20" t="s">
        <v>6760</v>
      </c>
      <c r="B341" s="1" t="s">
        <v>334</v>
      </c>
      <c r="C341" s="1" t="s">
        <v>2976</v>
      </c>
      <c r="D341" s="1" t="s">
        <v>3157</v>
      </c>
      <c r="E341" s="1">
        <v>13400000</v>
      </c>
    </row>
    <row r="342" spans="1:5" ht="14.4" x14ac:dyDescent="0.3">
      <c r="A342" s="20" t="s">
        <v>6761</v>
      </c>
      <c r="B342" s="1" t="s">
        <v>264</v>
      </c>
      <c r="C342" s="1" t="s">
        <v>2897</v>
      </c>
      <c r="D342" s="1" t="s">
        <v>2898</v>
      </c>
      <c r="E342" s="1">
        <v>17600000</v>
      </c>
    </row>
    <row r="343" spans="1:5" ht="14.4" x14ac:dyDescent="0.3">
      <c r="A343" s="20" t="s">
        <v>6762</v>
      </c>
      <c r="B343" s="1" t="s">
        <v>93</v>
      </c>
      <c r="C343" s="1" t="s">
        <v>131</v>
      </c>
      <c r="D343" s="1" t="s">
        <v>472</v>
      </c>
      <c r="E343" s="1">
        <v>32200000</v>
      </c>
    </row>
    <row r="344" spans="1:5" ht="14.4" x14ac:dyDescent="0.3">
      <c r="A344" s="20" t="s">
        <v>6763</v>
      </c>
      <c r="B344" s="1" t="s">
        <v>242</v>
      </c>
      <c r="C344" s="1" t="s">
        <v>254</v>
      </c>
      <c r="D344" s="1" t="s">
        <v>3158</v>
      </c>
      <c r="E344" s="1">
        <v>11200000</v>
      </c>
    </row>
    <row r="345" spans="1:5" ht="14.4" x14ac:dyDescent="0.3">
      <c r="A345" s="20" t="s">
        <v>6764</v>
      </c>
      <c r="B345" s="1" t="s">
        <v>93</v>
      </c>
      <c r="C345" s="1" t="s">
        <v>3159</v>
      </c>
      <c r="D345" s="1" t="s">
        <v>2300</v>
      </c>
      <c r="E345" s="1">
        <v>12300000</v>
      </c>
    </row>
    <row r="346" spans="1:5" ht="14.4" x14ac:dyDescent="0.3">
      <c r="A346" s="20" t="s">
        <v>6765</v>
      </c>
      <c r="B346" s="1" t="s">
        <v>2910</v>
      </c>
      <c r="C346" s="1" t="s">
        <v>2911</v>
      </c>
      <c r="D346" s="1" t="s">
        <v>495</v>
      </c>
      <c r="E346" s="1">
        <v>8400000</v>
      </c>
    </row>
    <row r="347" spans="1:5" ht="14.4" x14ac:dyDescent="0.3">
      <c r="A347" s="20" t="s">
        <v>6766</v>
      </c>
      <c r="B347" s="1" t="s">
        <v>30</v>
      </c>
      <c r="C347" s="1" t="s">
        <v>2987</v>
      </c>
      <c r="D347" s="1" t="s">
        <v>3160</v>
      </c>
      <c r="E347" s="1">
        <v>7870000</v>
      </c>
    </row>
    <row r="348" spans="1:5" ht="14.4" x14ac:dyDescent="0.3">
      <c r="A348" s="20" t="s">
        <v>6767</v>
      </c>
      <c r="B348" s="1" t="s">
        <v>2910</v>
      </c>
      <c r="C348" s="1" t="s">
        <v>3161</v>
      </c>
      <c r="D348" s="1" t="s">
        <v>3162</v>
      </c>
      <c r="E348" s="1">
        <v>10200000</v>
      </c>
    </row>
    <row r="349" spans="1:5" ht="14.4" x14ac:dyDescent="0.3">
      <c r="A349" s="20" t="s">
        <v>6768</v>
      </c>
      <c r="B349" s="1" t="s">
        <v>264</v>
      </c>
      <c r="C349" s="1" t="s">
        <v>2899</v>
      </c>
      <c r="D349" s="1" t="s">
        <v>3163</v>
      </c>
      <c r="E349" s="1">
        <v>13300000</v>
      </c>
    </row>
    <row r="350" spans="1:5" ht="14.4" x14ac:dyDescent="0.3">
      <c r="A350" s="20" t="s">
        <v>6769</v>
      </c>
      <c r="B350" s="1" t="s">
        <v>2910</v>
      </c>
      <c r="C350" s="1" t="s">
        <v>3076</v>
      </c>
      <c r="D350" s="1" t="s">
        <v>3164</v>
      </c>
      <c r="E350" s="1">
        <v>13400000</v>
      </c>
    </row>
    <row r="351" spans="1:5" ht="14.4" x14ac:dyDescent="0.3">
      <c r="A351" s="20" t="s">
        <v>6770</v>
      </c>
      <c r="B351" s="1" t="s">
        <v>181</v>
      </c>
      <c r="C351" s="1" t="s">
        <v>2941</v>
      </c>
      <c r="D351" s="1" t="s">
        <v>3165</v>
      </c>
      <c r="E351" s="1">
        <v>9800000</v>
      </c>
    </row>
    <row r="352" spans="1:5" ht="14.4" x14ac:dyDescent="0.3">
      <c r="A352" s="20" t="s">
        <v>6771</v>
      </c>
      <c r="B352" s="1" t="s">
        <v>2906</v>
      </c>
      <c r="C352" s="1" t="s">
        <v>2943</v>
      </c>
      <c r="D352" s="1" t="s">
        <v>3166</v>
      </c>
      <c r="E352" s="1">
        <v>10600000</v>
      </c>
    </row>
    <row r="353" spans="1:5" ht="14.4" x14ac:dyDescent="0.3">
      <c r="A353" s="20" t="s">
        <v>6772</v>
      </c>
      <c r="B353" s="1" t="s">
        <v>2945</v>
      </c>
      <c r="C353" s="1" t="s">
        <v>2983</v>
      </c>
      <c r="D353" s="1" t="s">
        <v>3167</v>
      </c>
      <c r="E353" s="1">
        <v>8000000</v>
      </c>
    </row>
    <row r="354" spans="1:5" ht="14.4" x14ac:dyDescent="0.3">
      <c r="A354" s="20" t="s">
        <v>6773</v>
      </c>
      <c r="B354" s="1" t="s">
        <v>2910</v>
      </c>
      <c r="C354" s="1" t="s">
        <v>218</v>
      </c>
      <c r="D354" s="1" t="s">
        <v>3168</v>
      </c>
      <c r="E354" s="1">
        <v>21200000</v>
      </c>
    </row>
    <row r="355" spans="1:5" ht="14.4" x14ac:dyDescent="0.3">
      <c r="A355" s="20" t="s">
        <v>6774</v>
      </c>
      <c r="B355" s="1" t="s">
        <v>303</v>
      </c>
      <c r="C355" s="1" t="s">
        <v>2942</v>
      </c>
      <c r="D355" s="1" t="s">
        <v>308</v>
      </c>
      <c r="E355" s="1">
        <v>34900000</v>
      </c>
    </row>
    <row r="356" spans="1:5" ht="14.4" x14ac:dyDescent="0.3">
      <c r="A356" s="20" t="s">
        <v>6775</v>
      </c>
      <c r="B356" s="1" t="s">
        <v>181</v>
      </c>
      <c r="C356" s="1" t="s">
        <v>2941</v>
      </c>
      <c r="D356" s="1" t="s">
        <v>3169</v>
      </c>
      <c r="E356" s="1">
        <v>8200000</v>
      </c>
    </row>
    <row r="357" spans="1:5" ht="14.4" x14ac:dyDescent="0.3">
      <c r="A357" s="20" t="s">
        <v>6776</v>
      </c>
      <c r="B357" s="1" t="s">
        <v>260</v>
      </c>
      <c r="C357" s="1" t="s">
        <v>69</v>
      </c>
      <c r="D357" s="1" t="s">
        <v>3170</v>
      </c>
      <c r="E357" s="1">
        <v>15100000</v>
      </c>
    </row>
    <row r="358" spans="1:5" ht="14.4" x14ac:dyDescent="0.3">
      <c r="A358" s="20" t="s">
        <v>6777</v>
      </c>
      <c r="B358" s="1" t="s">
        <v>19</v>
      </c>
      <c r="C358" s="1" t="s">
        <v>3171</v>
      </c>
      <c r="D358" s="1" t="s">
        <v>2889</v>
      </c>
      <c r="E358" s="1">
        <v>27900000</v>
      </c>
    </row>
    <row r="359" spans="1:5" ht="14.4" x14ac:dyDescent="0.3">
      <c r="A359" s="20" t="s">
        <v>6778</v>
      </c>
      <c r="B359" s="1" t="s">
        <v>72</v>
      </c>
      <c r="C359" s="1">
        <v>560</v>
      </c>
      <c r="D359" s="1" t="s">
        <v>3172</v>
      </c>
      <c r="E359" s="1">
        <v>9100000</v>
      </c>
    </row>
    <row r="360" spans="1:5" ht="14.4" x14ac:dyDescent="0.3">
      <c r="A360" s="20" t="s">
        <v>6779</v>
      </c>
      <c r="B360" s="1" t="s">
        <v>242</v>
      </c>
      <c r="C360" s="1" t="s">
        <v>3094</v>
      </c>
      <c r="D360" s="1" t="s">
        <v>3173</v>
      </c>
      <c r="E360" s="1">
        <v>24400000</v>
      </c>
    </row>
    <row r="361" spans="1:5" ht="14.4" x14ac:dyDescent="0.3">
      <c r="A361" s="20" t="s">
        <v>6780</v>
      </c>
      <c r="B361" s="1" t="s">
        <v>242</v>
      </c>
      <c r="C361" s="1" t="s">
        <v>3174</v>
      </c>
      <c r="D361" s="1" t="s">
        <v>3175</v>
      </c>
      <c r="E361" s="1">
        <v>14000000</v>
      </c>
    </row>
    <row r="362" spans="1:5" ht="14.4" x14ac:dyDescent="0.3">
      <c r="A362" s="20" t="s">
        <v>6781</v>
      </c>
      <c r="B362" s="1" t="s">
        <v>48</v>
      </c>
      <c r="C362" s="1" t="s">
        <v>3176</v>
      </c>
      <c r="D362" s="1" t="s">
        <v>3177</v>
      </c>
      <c r="E362" s="1">
        <v>10600000</v>
      </c>
    </row>
    <row r="363" spans="1:5" ht="14.4" x14ac:dyDescent="0.3">
      <c r="A363" s="20" t="s">
        <v>6782</v>
      </c>
      <c r="B363" s="1" t="s">
        <v>2923</v>
      </c>
      <c r="C363" s="1" t="s">
        <v>3178</v>
      </c>
      <c r="D363" s="1" t="s">
        <v>489</v>
      </c>
      <c r="E363" s="1">
        <v>12500000</v>
      </c>
    </row>
    <row r="364" spans="1:5" ht="14.4" x14ac:dyDescent="0.3">
      <c r="A364" s="20" t="s">
        <v>6783</v>
      </c>
      <c r="B364" s="1" t="s">
        <v>260</v>
      </c>
      <c r="C364" s="1" t="s">
        <v>69</v>
      </c>
      <c r="D364" s="1" t="s">
        <v>2889</v>
      </c>
      <c r="E364" s="1">
        <v>15800000</v>
      </c>
    </row>
    <row r="365" spans="1:5" ht="14.4" x14ac:dyDescent="0.3">
      <c r="A365" s="20" t="s">
        <v>6784</v>
      </c>
      <c r="B365" s="1" t="s">
        <v>264</v>
      </c>
      <c r="C365" s="1" t="s">
        <v>2913</v>
      </c>
      <c r="D365" s="1" t="s">
        <v>287</v>
      </c>
      <c r="E365" s="1">
        <v>17800000</v>
      </c>
    </row>
    <row r="366" spans="1:5" ht="14.4" x14ac:dyDescent="0.3">
      <c r="A366" s="20" t="s">
        <v>6785</v>
      </c>
      <c r="B366" s="1" t="s">
        <v>93</v>
      </c>
      <c r="C366" s="1" t="s">
        <v>2919</v>
      </c>
      <c r="D366" s="1" t="s">
        <v>483</v>
      </c>
      <c r="E366" s="1">
        <v>40200000</v>
      </c>
    </row>
    <row r="367" spans="1:5" ht="14.4" x14ac:dyDescent="0.3">
      <c r="A367" s="20" t="s">
        <v>6786</v>
      </c>
      <c r="B367" s="1" t="s">
        <v>195</v>
      </c>
      <c r="C367" s="1" t="s">
        <v>3074</v>
      </c>
      <c r="D367" s="1" t="s">
        <v>3179</v>
      </c>
      <c r="E367" s="1">
        <v>11400000</v>
      </c>
    </row>
    <row r="368" spans="1:5" ht="14.4" x14ac:dyDescent="0.3">
      <c r="A368" s="20" t="s">
        <v>6787</v>
      </c>
      <c r="B368" s="1" t="s">
        <v>151</v>
      </c>
      <c r="C368" s="1" t="s">
        <v>3180</v>
      </c>
      <c r="D368" s="1" t="s">
        <v>473</v>
      </c>
      <c r="E368" s="1">
        <v>12800000</v>
      </c>
    </row>
    <row r="369" spans="1:5" ht="14.4" x14ac:dyDescent="0.3">
      <c r="A369" s="20" t="s">
        <v>6788</v>
      </c>
      <c r="B369" s="1" t="s">
        <v>242</v>
      </c>
      <c r="C369" s="1" t="s">
        <v>3174</v>
      </c>
      <c r="D369" s="1" t="s">
        <v>3181</v>
      </c>
      <c r="E369" s="1">
        <v>17500000</v>
      </c>
    </row>
    <row r="370" spans="1:5" ht="14.4" x14ac:dyDescent="0.3">
      <c r="A370" s="20" t="s">
        <v>6789</v>
      </c>
      <c r="B370" s="1" t="s">
        <v>2957</v>
      </c>
      <c r="C370" s="1" t="s">
        <v>3182</v>
      </c>
      <c r="D370" s="1" t="s">
        <v>3183</v>
      </c>
      <c r="E370" s="1">
        <v>11500000</v>
      </c>
    </row>
    <row r="371" spans="1:5" ht="14.4" x14ac:dyDescent="0.3">
      <c r="A371" s="20" t="s">
        <v>6790</v>
      </c>
      <c r="B371" s="1" t="s">
        <v>30</v>
      </c>
      <c r="C371" s="1" t="s">
        <v>45</v>
      </c>
      <c r="D371" s="1" t="s">
        <v>3184</v>
      </c>
      <c r="E371" s="1">
        <v>11200000</v>
      </c>
    </row>
    <row r="372" spans="1:5" ht="14.4" x14ac:dyDescent="0.3">
      <c r="A372" s="20" t="s">
        <v>6791</v>
      </c>
      <c r="B372" s="1" t="s">
        <v>264</v>
      </c>
      <c r="C372" s="1" t="s">
        <v>293</v>
      </c>
      <c r="D372" s="1" t="s">
        <v>3062</v>
      </c>
      <c r="E372" s="1">
        <v>21000000</v>
      </c>
    </row>
    <row r="373" spans="1:5" ht="14.4" x14ac:dyDescent="0.3">
      <c r="A373" s="20" t="s">
        <v>6792</v>
      </c>
      <c r="B373" s="1" t="s">
        <v>264</v>
      </c>
      <c r="C373" s="1">
        <v>208</v>
      </c>
      <c r="D373" s="1" t="s">
        <v>3061</v>
      </c>
      <c r="E373" s="1">
        <v>14400000</v>
      </c>
    </row>
    <row r="374" spans="1:5" ht="14.4" x14ac:dyDescent="0.3">
      <c r="A374" s="20" t="s">
        <v>6793</v>
      </c>
      <c r="B374" s="1" t="s">
        <v>264</v>
      </c>
      <c r="C374" s="1">
        <v>2008</v>
      </c>
      <c r="D374" s="1" t="s">
        <v>3060</v>
      </c>
      <c r="E374" s="1">
        <v>13200000</v>
      </c>
    </row>
    <row r="375" spans="1:5" ht="14.4" x14ac:dyDescent="0.3">
      <c r="A375" s="20" t="s">
        <v>6794</v>
      </c>
      <c r="B375" s="1" t="s">
        <v>264</v>
      </c>
      <c r="C375" s="1">
        <v>3008</v>
      </c>
      <c r="D375" s="1" t="s">
        <v>3059</v>
      </c>
      <c r="E375" s="1">
        <v>17000000</v>
      </c>
    </row>
    <row r="376" spans="1:5" ht="14.4" x14ac:dyDescent="0.3">
      <c r="A376" s="20" t="s">
        <v>6795</v>
      </c>
      <c r="B376" s="1" t="s">
        <v>188</v>
      </c>
      <c r="C376" s="1">
        <v>7</v>
      </c>
      <c r="D376" s="1" t="s">
        <v>3058</v>
      </c>
      <c r="E376" s="1">
        <v>15700000</v>
      </c>
    </row>
    <row r="377" spans="1:5" ht="14.4" x14ac:dyDescent="0.3">
      <c r="A377" s="20" t="s">
        <v>6796</v>
      </c>
      <c r="B377" s="1" t="s">
        <v>181</v>
      </c>
      <c r="C377" s="1" t="s">
        <v>3056</v>
      </c>
      <c r="D377" s="1" t="s">
        <v>3057</v>
      </c>
      <c r="E377" s="1">
        <v>31800000</v>
      </c>
    </row>
    <row r="378" spans="1:5" ht="14.4" x14ac:dyDescent="0.3">
      <c r="A378" s="20" t="s">
        <v>6797</v>
      </c>
      <c r="B378" s="1" t="s">
        <v>2905</v>
      </c>
      <c r="C378" s="1" t="s">
        <v>90</v>
      </c>
      <c r="D378" s="1" t="s">
        <v>3055</v>
      </c>
      <c r="E378" s="1">
        <v>15100000</v>
      </c>
    </row>
    <row r="379" spans="1:5" ht="14.4" x14ac:dyDescent="0.3">
      <c r="A379" s="20" t="s">
        <v>6798</v>
      </c>
      <c r="B379" s="1" t="s">
        <v>2945</v>
      </c>
      <c r="C379" s="1" t="s">
        <v>3018</v>
      </c>
      <c r="D379" s="1" t="s">
        <v>3185</v>
      </c>
      <c r="E379" s="1">
        <v>10900000</v>
      </c>
    </row>
    <row r="380" spans="1:5" ht="14.4" x14ac:dyDescent="0.3">
      <c r="A380" s="20" t="s">
        <v>6799</v>
      </c>
      <c r="B380" s="1" t="s">
        <v>19</v>
      </c>
      <c r="C380" s="1" t="s">
        <v>3053</v>
      </c>
      <c r="D380" s="1" t="s">
        <v>3054</v>
      </c>
      <c r="E380" s="1">
        <v>23700000</v>
      </c>
    </row>
    <row r="381" spans="1:5" ht="14.4" x14ac:dyDescent="0.3">
      <c r="A381" s="20" t="s">
        <v>6800</v>
      </c>
      <c r="B381" s="1" t="s">
        <v>188</v>
      </c>
      <c r="C381" s="1">
        <v>7</v>
      </c>
      <c r="D381" s="1" t="s">
        <v>3052</v>
      </c>
      <c r="E381" s="1">
        <v>17600000</v>
      </c>
    </row>
    <row r="382" spans="1:5" ht="14.4" x14ac:dyDescent="0.3">
      <c r="A382" s="20" t="s">
        <v>6801</v>
      </c>
      <c r="B382" s="1" t="s">
        <v>264</v>
      </c>
      <c r="C382" s="1" t="s">
        <v>293</v>
      </c>
      <c r="D382" s="1" t="s">
        <v>3051</v>
      </c>
      <c r="E382" s="1">
        <v>25900000</v>
      </c>
    </row>
    <row r="383" spans="1:5" ht="14.4" x14ac:dyDescent="0.3">
      <c r="A383" s="20" t="s">
        <v>6802</v>
      </c>
      <c r="B383" s="1" t="s">
        <v>264</v>
      </c>
      <c r="C383" s="1" t="s">
        <v>2897</v>
      </c>
      <c r="D383" s="1" t="s">
        <v>3050</v>
      </c>
      <c r="E383" s="1">
        <v>13800000</v>
      </c>
    </row>
    <row r="384" spans="1:5" ht="14.4" x14ac:dyDescent="0.3">
      <c r="A384" s="20" t="s">
        <v>6803</v>
      </c>
      <c r="B384" s="1" t="s">
        <v>264</v>
      </c>
      <c r="C384" s="1">
        <v>308</v>
      </c>
      <c r="D384" s="1" t="s">
        <v>3049</v>
      </c>
      <c r="E384" s="1">
        <v>17700000</v>
      </c>
    </row>
    <row r="385" spans="1:5" ht="14.4" x14ac:dyDescent="0.3">
      <c r="A385" s="20" t="s">
        <v>6804</v>
      </c>
      <c r="B385" s="1" t="s">
        <v>264</v>
      </c>
      <c r="C385" s="1" t="s">
        <v>2896</v>
      </c>
      <c r="D385" s="1" t="s">
        <v>3186</v>
      </c>
      <c r="E385" s="1">
        <v>16000000</v>
      </c>
    </row>
    <row r="386" spans="1:5" ht="14.4" x14ac:dyDescent="0.3">
      <c r="A386" s="20" t="s">
        <v>6805</v>
      </c>
      <c r="B386" s="1" t="s">
        <v>264</v>
      </c>
      <c r="C386" s="1" t="s">
        <v>2996</v>
      </c>
      <c r="D386" s="1" t="s">
        <v>3048</v>
      </c>
      <c r="E386" s="1">
        <v>17100000</v>
      </c>
    </row>
    <row r="387" spans="1:5" ht="14.4" x14ac:dyDescent="0.3">
      <c r="A387" s="20" t="s">
        <v>6806</v>
      </c>
      <c r="B387" s="1" t="s">
        <v>264</v>
      </c>
      <c r="C387" s="1">
        <v>3008</v>
      </c>
      <c r="D387" s="1" t="s">
        <v>3047</v>
      </c>
      <c r="E387" s="1">
        <v>17900000</v>
      </c>
    </row>
    <row r="388" spans="1:5" ht="14.4" x14ac:dyDescent="0.3">
      <c r="A388" s="20" t="s">
        <v>6807</v>
      </c>
      <c r="B388" s="1" t="s">
        <v>2910</v>
      </c>
      <c r="C388" s="1" t="s">
        <v>2999</v>
      </c>
      <c r="D388" s="1" t="s">
        <v>3046</v>
      </c>
      <c r="E388" s="1">
        <v>20100000</v>
      </c>
    </row>
    <row r="389" spans="1:5" ht="14.4" x14ac:dyDescent="0.3">
      <c r="A389" s="20" t="s">
        <v>6808</v>
      </c>
      <c r="B389" s="1" t="s">
        <v>264</v>
      </c>
      <c r="C389" s="1" t="s">
        <v>2890</v>
      </c>
      <c r="D389" s="1" t="s">
        <v>3045</v>
      </c>
      <c r="E389" s="1">
        <v>16400000</v>
      </c>
    </row>
    <row r="390" spans="1:5" ht="14.4" x14ac:dyDescent="0.3">
      <c r="A390" s="20" t="s">
        <v>6809</v>
      </c>
      <c r="B390" s="1" t="s">
        <v>264</v>
      </c>
      <c r="C390" s="1">
        <v>208</v>
      </c>
      <c r="D390" s="1" t="s">
        <v>3044</v>
      </c>
      <c r="E390" s="1">
        <v>14400000</v>
      </c>
    </row>
    <row r="391" spans="1:5" ht="14.4" x14ac:dyDescent="0.3">
      <c r="A391" s="20" t="s">
        <v>6810</v>
      </c>
      <c r="B391" s="1" t="s">
        <v>260</v>
      </c>
      <c r="C391" s="1" t="s">
        <v>69</v>
      </c>
      <c r="D391" s="1" t="s">
        <v>3187</v>
      </c>
      <c r="E391" s="1">
        <v>14700000</v>
      </c>
    </row>
    <row r="392" spans="1:5" ht="14.4" x14ac:dyDescent="0.3">
      <c r="A392" s="20" t="s">
        <v>6811</v>
      </c>
      <c r="B392" s="1" t="s">
        <v>264</v>
      </c>
      <c r="C392" s="1" t="s">
        <v>3042</v>
      </c>
      <c r="D392" s="1" t="s">
        <v>3043</v>
      </c>
      <c r="E392" s="1">
        <v>18800000</v>
      </c>
    </row>
    <row r="393" spans="1:5" ht="14.4" x14ac:dyDescent="0.3">
      <c r="A393" s="20" t="s">
        <v>6812</v>
      </c>
      <c r="B393" s="1" t="s">
        <v>15</v>
      </c>
      <c r="C393" s="1" t="s">
        <v>2920</v>
      </c>
      <c r="D393" s="1" t="s">
        <v>469</v>
      </c>
      <c r="E393" s="1">
        <v>8700000</v>
      </c>
    </row>
    <row r="394" spans="1:5" ht="14.4" x14ac:dyDescent="0.3">
      <c r="A394" s="20" t="s">
        <v>6813</v>
      </c>
      <c r="B394" s="1" t="s">
        <v>264</v>
      </c>
      <c r="C394" s="1" t="s">
        <v>293</v>
      </c>
      <c r="D394" s="1" t="s">
        <v>3041</v>
      </c>
      <c r="E394" s="1">
        <v>25900000</v>
      </c>
    </row>
    <row r="395" spans="1:5" ht="14.4" x14ac:dyDescent="0.3">
      <c r="A395" s="20" t="s">
        <v>6814</v>
      </c>
      <c r="B395" s="1" t="s">
        <v>236</v>
      </c>
      <c r="C395" s="1" t="s">
        <v>3039</v>
      </c>
      <c r="D395" s="1" t="s">
        <v>3040</v>
      </c>
      <c r="E395" s="1">
        <v>22500000</v>
      </c>
    </row>
    <row r="396" spans="1:5" ht="14.4" x14ac:dyDescent="0.3">
      <c r="A396" s="20" t="s">
        <v>6815</v>
      </c>
      <c r="B396" s="1" t="s">
        <v>30</v>
      </c>
      <c r="C396" s="1" t="s">
        <v>2908</v>
      </c>
      <c r="D396" s="1" t="s">
        <v>3188</v>
      </c>
      <c r="E396" s="1">
        <v>7420000</v>
      </c>
    </row>
    <row r="397" spans="1:5" ht="14.4" x14ac:dyDescent="0.3">
      <c r="A397" s="20" t="s">
        <v>6816</v>
      </c>
      <c r="B397" s="1" t="s">
        <v>2910</v>
      </c>
      <c r="C397" s="1" t="s">
        <v>206</v>
      </c>
      <c r="D397" s="1" t="s">
        <v>3189</v>
      </c>
      <c r="E397" s="1">
        <v>8900000</v>
      </c>
    </row>
    <row r="398" spans="1:5" ht="14.4" x14ac:dyDescent="0.3">
      <c r="A398" s="20" t="s">
        <v>6817</v>
      </c>
      <c r="B398" s="1" t="s">
        <v>195</v>
      </c>
      <c r="C398" s="1" t="s">
        <v>198</v>
      </c>
      <c r="D398" s="1" t="s">
        <v>2894</v>
      </c>
      <c r="E398" s="1">
        <v>43500000</v>
      </c>
    </row>
    <row r="399" spans="1:5" ht="14.4" x14ac:dyDescent="0.3">
      <c r="A399" s="20" t="s">
        <v>6818</v>
      </c>
      <c r="B399" s="1" t="s">
        <v>264</v>
      </c>
      <c r="C399" s="1" t="s">
        <v>2899</v>
      </c>
      <c r="D399" s="1" t="s">
        <v>3190</v>
      </c>
      <c r="E399" s="1">
        <v>14400000</v>
      </c>
    </row>
    <row r="400" spans="1:5" ht="14.4" x14ac:dyDescent="0.3">
      <c r="A400" s="20" t="s">
        <v>6819</v>
      </c>
      <c r="B400" s="1" t="s">
        <v>264</v>
      </c>
      <c r="C400" s="1" t="s">
        <v>2996</v>
      </c>
      <c r="D400" s="1" t="s">
        <v>3038</v>
      </c>
      <c r="E400" s="1">
        <v>15800000</v>
      </c>
    </row>
    <row r="401" spans="1:5" ht="14.4" x14ac:dyDescent="0.3">
      <c r="A401" s="20" t="s">
        <v>6820</v>
      </c>
      <c r="B401" s="1" t="s">
        <v>2906</v>
      </c>
      <c r="C401" s="1" t="s">
        <v>3191</v>
      </c>
      <c r="D401" s="1" t="s">
        <v>3192</v>
      </c>
      <c r="E401" s="1">
        <v>16200000</v>
      </c>
    </row>
    <row r="402" spans="1:5" ht="14.4" x14ac:dyDescent="0.3">
      <c r="A402" s="20" t="s">
        <v>6821</v>
      </c>
      <c r="B402" s="1" t="s">
        <v>264</v>
      </c>
      <c r="C402" s="1" t="s">
        <v>2896</v>
      </c>
      <c r="D402" s="1" t="s">
        <v>267</v>
      </c>
      <c r="E402" s="1">
        <v>11200000</v>
      </c>
    </row>
    <row r="403" spans="1:5" ht="14.4" x14ac:dyDescent="0.3">
      <c r="A403" s="20" t="s">
        <v>6822</v>
      </c>
      <c r="B403" s="1" t="s">
        <v>264</v>
      </c>
      <c r="C403" s="1" t="s">
        <v>2996</v>
      </c>
      <c r="D403" s="1" t="s">
        <v>3193</v>
      </c>
      <c r="E403" s="1">
        <v>23800000</v>
      </c>
    </row>
    <row r="404" spans="1:5" ht="14.4" x14ac:dyDescent="0.3">
      <c r="A404" s="20" t="s">
        <v>6823</v>
      </c>
      <c r="B404" s="1" t="s">
        <v>264</v>
      </c>
      <c r="C404" s="1" t="s">
        <v>2890</v>
      </c>
      <c r="D404" s="1" t="s">
        <v>3194</v>
      </c>
      <c r="E404" s="1">
        <v>15900000</v>
      </c>
    </row>
    <row r="405" spans="1:5" ht="14.4" x14ac:dyDescent="0.3">
      <c r="A405" s="20" t="s">
        <v>6824</v>
      </c>
      <c r="B405" s="1" t="s">
        <v>30</v>
      </c>
      <c r="C405" s="1" t="s">
        <v>45</v>
      </c>
      <c r="D405" s="1" t="s">
        <v>3195</v>
      </c>
      <c r="E405" s="1">
        <v>13600000</v>
      </c>
    </row>
    <row r="406" spans="1:5" ht="14.4" x14ac:dyDescent="0.3">
      <c r="A406" s="20" t="s">
        <v>6825</v>
      </c>
      <c r="B406" s="1" t="s">
        <v>264</v>
      </c>
      <c r="C406" s="1" t="s">
        <v>2890</v>
      </c>
      <c r="D406" s="1" t="s">
        <v>3196</v>
      </c>
      <c r="E406" s="1">
        <v>16900000</v>
      </c>
    </row>
    <row r="407" spans="1:5" ht="14.4" x14ac:dyDescent="0.3">
      <c r="A407" s="20" t="s">
        <v>6826</v>
      </c>
      <c r="B407" s="1" t="s">
        <v>229</v>
      </c>
      <c r="C407" s="1" t="s">
        <v>230</v>
      </c>
      <c r="D407" s="1" t="s">
        <v>477</v>
      </c>
      <c r="E407" s="1">
        <v>21000000</v>
      </c>
    </row>
    <row r="408" spans="1:5" ht="14.4" x14ac:dyDescent="0.3">
      <c r="A408" s="20" t="s">
        <v>6827</v>
      </c>
      <c r="B408" s="1" t="s">
        <v>303</v>
      </c>
      <c r="C408" s="1">
        <v>700</v>
      </c>
      <c r="D408" s="1" t="s">
        <v>3197</v>
      </c>
      <c r="E408" s="1">
        <v>11600000</v>
      </c>
    </row>
    <row r="409" spans="1:5" ht="14.4" x14ac:dyDescent="0.3">
      <c r="A409" s="20" t="s">
        <v>6828</v>
      </c>
      <c r="B409" s="1" t="s">
        <v>48</v>
      </c>
      <c r="C409" s="1" t="s">
        <v>2892</v>
      </c>
      <c r="D409" s="1" t="s">
        <v>465</v>
      </c>
      <c r="E409" s="1">
        <v>11000000</v>
      </c>
    </row>
    <row r="410" spans="1:5" ht="14.4" x14ac:dyDescent="0.3">
      <c r="A410" s="20" t="s">
        <v>6829</v>
      </c>
      <c r="B410" s="1" t="s">
        <v>242</v>
      </c>
      <c r="C410" s="1" t="s">
        <v>246</v>
      </c>
      <c r="D410" s="1" t="s">
        <v>960</v>
      </c>
      <c r="E410" s="1">
        <v>21400000</v>
      </c>
    </row>
    <row r="411" spans="1:5" ht="14.4" x14ac:dyDescent="0.3">
      <c r="A411" s="20" t="s">
        <v>6830</v>
      </c>
      <c r="B411" s="1" t="s">
        <v>93</v>
      </c>
      <c r="C411" s="1" t="s">
        <v>100</v>
      </c>
      <c r="D411" s="1" t="s">
        <v>102</v>
      </c>
      <c r="E411" s="1">
        <v>26700000</v>
      </c>
    </row>
    <row r="412" spans="1:5" ht="14.4" x14ac:dyDescent="0.3">
      <c r="A412" s="20" t="s">
        <v>6831</v>
      </c>
      <c r="B412" s="1" t="s">
        <v>242</v>
      </c>
      <c r="C412" s="1" t="s">
        <v>246</v>
      </c>
      <c r="D412" s="1" t="s">
        <v>250</v>
      </c>
      <c r="E412" s="1">
        <v>17600000</v>
      </c>
    </row>
    <row r="413" spans="1:5" ht="14.4" x14ac:dyDescent="0.3">
      <c r="A413" s="20" t="s">
        <v>6832</v>
      </c>
      <c r="B413" s="1" t="s">
        <v>188</v>
      </c>
      <c r="C413" s="1">
        <v>7</v>
      </c>
      <c r="D413" s="1" t="s">
        <v>569</v>
      </c>
      <c r="E413" s="1">
        <v>17700000</v>
      </c>
    </row>
    <row r="414" spans="1:5" ht="14.4" x14ac:dyDescent="0.3">
      <c r="A414" s="20" t="s">
        <v>6833</v>
      </c>
      <c r="B414" s="1" t="s">
        <v>264</v>
      </c>
      <c r="C414" s="1">
        <v>2008</v>
      </c>
      <c r="D414" s="1" t="s">
        <v>2927</v>
      </c>
      <c r="E414" s="1">
        <v>12800000</v>
      </c>
    </row>
    <row r="415" spans="1:5" ht="14.4" x14ac:dyDescent="0.3">
      <c r="A415" s="20" t="s">
        <v>6834</v>
      </c>
      <c r="B415" s="1" t="s">
        <v>264</v>
      </c>
      <c r="C415" s="1" t="s">
        <v>2897</v>
      </c>
      <c r="D415" s="1" t="s">
        <v>3050</v>
      </c>
      <c r="E415" s="1">
        <v>13800000</v>
      </c>
    </row>
    <row r="416" spans="1:5" ht="14.4" x14ac:dyDescent="0.3">
      <c r="A416" s="20" t="s">
        <v>6835</v>
      </c>
      <c r="B416" s="1" t="s">
        <v>242</v>
      </c>
      <c r="C416" s="1" t="s">
        <v>3198</v>
      </c>
      <c r="D416" s="1" t="s">
        <v>2053</v>
      </c>
      <c r="E416" s="1">
        <v>24400000</v>
      </c>
    </row>
    <row r="417" spans="1:5" ht="14.4" x14ac:dyDescent="0.3">
      <c r="A417" s="20" t="s">
        <v>6836</v>
      </c>
      <c r="B417" s="1" t="s">
        <v>93</v>
      </c>
      <c r="C417" s="1" t="s">
        <v>110</v>
      </c>
      <c r="D417" s="1" t="s">
        <v>112</v>
      </c>
      <c r="E417" s="1">
        <v>17700000</v>
      </c>
    </row>
    <row r="418" spans="1:5" ht="14.4" x14ac:dyDescent="0.3">
      <c r="A418" s="20" t="s">
        <v>6837</v>
      </c>
      <c r="B418" s="1" t="s">
        <v>264</v>
      </c>
      <c r="C418" s="1" t="s">
        <v>2890</v>
      </c>
      <c r="D418" s="1" t="s">
        <v>3037</v>
      </c>
      <c r="E418" s="1">
        <v>16400000</v>
      </c>
    </row>
    <row r="419" spans="1:5" ht="14.4" x14ac:dyDescent="0.3">
      <c r="A419" s="20" t="s">
        <v>6838</v>
      </c>
      <c r="B419" s="1" t="s">
        <v>264</v>
      </c>
      <c r="C419" s="1" t="s">
        <v>2996</v>
      </c>
      <c r="D419" s="1" t="s">
        <v>3038</v>
      </c>
      <c r="E419" s="1">
        <v>15800000</v>
      </c>
    </row>
    <row r="420" spans="1:5" ht="14.4" x14ac:dyDescent="0.3">
      <c r="A420" s="20" t="s">
        <v>6839</v>
      </c>
      <c r="B420" s="1" t="s">
        <v>264</v>
      </c>
      <c r="C420" s="1" t="s">
        <v>2890</v>
      </c>
      <c r="D420" s="1" t="s">
        <v>1596</v>
      </c>
      <c r="E420" s="1">
        <v>17300000</v>
      </c>
    </row>
    <row r="421" spans="1:5" ht="14.4" x14ac:dyDescent="0.3">
      <c r="A421" s="20" t="s">
        <v>6840</v>
      </c>
      <c r="B421" s="1" t="s">
        <v>242</v>
      </c>
      <c r="C421" s="1" t="s">
        <v>246</v>
      </c>
      <c r="D421" s="1" t="s">
        <v>1477</v>
      </c>
      <c r="E421" s="1">
        <v>22000000</v>
      </c>
    </row>
    <row r="422" spans="1:5" ht="14.4" x14ac:dyDescent="0.3">
      <c r="A422" s="20" t="s">
        <v>6841</v>
      </c>
      <c r="B422" s="1" t="s">
        <v>2905</v>
      </c>
      <c r="C422" s="1" t="s">
        <v>2986</v>
      </c>
      <c r="D422" s="1" t="s">
        <v>2889</v>
      </c>
      <c r="E422" s="1">
        <v>19800000</v>
      </c>
    </row>
    <row r="423" spans="1:5" ht="14.4" x14ac:dyDescent="0.3">
      <c r="A423" s="20" t="s">
        <v>6842</v>
      </c>
      <c r="B423" s="1" t="s">
        <v>48</v>
      </c>
      <c r="C423" s="1" t="s">
        <v>2937</v>
      </c>
      <c r="D423" s="1" t="s">
        <v>1426</v>
      </c>
      <c r="E423" s="1">
        <v>23700000</v>
      </c>
    </row>
    <row r="424" spans="1:5" ht="14.4" x14ac:dyDescent="0.3">
      <c r="A424" s="20" t="s">
        <v>6843</v>
      </c>
      <c r="B424" s="1" t="s">
        <v>264</v>
      </c>
      <c r="C424" s="1">
        <v>3008</v>
      </c>
      <c r="D424" s="1" t="s">
        <v>3059</v>
      </c>
      <c r="E424" s="1">
        <v>17000000</v>
      </c>
    </row>
    <row r="425" spans="1:5" ht="14.4" x14ac:dyDescent="0.3">
      <c r="A425" s="20" t="s">
        <v>6844</v>
      </c>
      <c r="B425" s="1" t="s">
        <v>334</v>
      </c>
      <c r="C425" s="1" t="s">
        <v>3199</v>
      </c>
      <c r="D425" s="1" t="s">
        <v>3200</v>
      </c>
      <c r="E425" s="1">
        <v>17100000</v>
      </c>
    </row>
    <row r="426" spans="1:5" ht="14.4" x14ac:dyDescent="0.3">
      <c r="A426" s="20" t="s">
        <v>6845</v>
      </c>
      <c r="B426" s="1" t="s">
        <v>242</v>
      </c>
      <c r="C426" s="1" t="s">
        <v>3094</v>
      </c>
      <c r="D426" s="1" t="s">
        <v>1399</v>
      </c>
      <c r="E426" s="1">
        <v>18500000</v>
      </c>
    </row>
    <row r="427" spans="1:5" ht="14.4" x14ac:dyDescent="0.3">
      <c r="A427" s="20" t="s">
        <v>6846</v>
      </c>
      <c r="B427" s="1" t="s">
        <v>167</v>
      </c>
      <c r="C427" s="1" t="s">
        <v>3201</v>
      </c>
      <c r="D427" s="1" t="s">
        <v>3202</v>
      </c>
      <c r="E427" s="1">
        <v>9100000</v>
      </c>
    </row>
    <row r="428" spans="1:5" ht="14.4" x14ac:dyDescent="0.3">
      <c r="A428" s="20" t="s">
        <v>6847</v>
      </c>
      <c r="B428" s="1" t="s">
        <v>264</v>
      </c>
      <c r="C428" s="1">
        <v>5008</v>
      </c>
      <c r="D428" s="1" t="s">
        <v>3203</v>
      </c>
      <c r="E428" s="1">
        <v>14200000</v>
      </c>
    </row>
    <row r="429" spans="1:5" ht="14.4" x14ac:dyDescent="0.3">
      <c r="A429" s="20" t="s">
        <v>6848</v>
      </c>
      <c r="B429" s="1" t="s">
        <v>2945</v>
      </c>
      <c r="C429" s="1" t="s">
        <v>2983</v>
      </c>
      <c r="D429" s="1" t="s">
        <v>3204</v>
      </c>
      <c r="E429" s="1">
        <v>9000000</v>
      </c>
    </row>
    <row r="430" spans="1:5" ht="14.4" x14ac:dyDescent="0.3">
      <c r="A430" s="20" t="s">
        <v>6849</v>
      </c>
      <c r="B430" s="1" t="s">
        <v>93</v>
      </c>
      <c r="C430" s="1" t="s">
        <v>3205</v>
      </c>
      <c r="D430" s="1" t="s">
        <v>3206</v>
      </c>
      <c r="E430" s="1">
        <v>16300000</v>
      </c>
    </row>
    <row r="431" spans="1:5" ht="14.4" x14ac:dyDescent="0.3">
      <c r="A431" s="20" t="s">
        <v>6850</v>
      </c>
      <c r="B431" s="1" t="s">
        <v>93</v>
      </c>
      <c r="C431" s="1" t="s">
        <v>131</v>
      </c>
      <c r="D431" s="1" t="s">
        <v>3207</v>
      </c>
      <c r="E431" s="1">
        <v>18000000</v>
      </c>
    </row>
    <row r="432" spans="1:5" ht="14.4" x14ac:dyDescent="0.3">
      <c r="A432" s="20" t="s">
        <v>6851</v>
      </c>
      <c r="B432" s="1" t="s">
        <v>3208</v>
      </c>
      <c r="C432" s="1" t="s">
        <v>3209</v>
      </c>
      <c r="D432" s="1" t="s">
        <v>3210</v>
      </c>
      <c r="E432" s="1">
        <v>20800000</v>
      </c>
    </row>
    <row r="433" spans="1:5" ht="14.4" x14ac:dyDescent="0.3">
      <c r="A433" s="20" t="s">
        <v>6852</v>
      </c>
      <c r="B433" s="1" t="s">
        <v>3208</v>
      </c>
      <c r="C433" s="1" t="s">
        <v>3209</v>
      </c>
      <c r="D433" s="1" t="s">
        <v>2889</v>
      </c>
      <c r="E433" s="1">
        <v>20800000</v>
      </c>
    </row>
    <row r="434" spans="1:5" ht="14.4" x14ac:dyDescent="0.3">
      <c r="A434" s="20" t="s">
        <v>6853</v>
      </c>
      <c r="B434" s="1" t="s">
        <v>93</v>
      </c>
      <c r="C434" s="1" t="s">
        <v>143</v>
      </c>
      <c r="D434" s="1" t="s">
        <v>3211</v>
      </c>
      <c r="E434" s="1">
        <v>13900000</v>
      </c>
    </row>
    <row r="435" spans="1:5" ht="14.4" x14ac:dyDescent="0.3">
      <c r="A435" s="20" t="s">
        <v>6854</v>
      </c>
      <c r="B435" s="1" t="s">
        <v>93</v>
      </c>
      <c r="C435" s="1" t="s">
        <v>143</v>
      </c>
      <c r="D435" s="1" t="s">
        <v>3212</v>
      </c>
      <c r="E435" s="1">
        <v>12600000</v>
      </c>
    </row>
    <row r="436" spans="1:5" ht="14.4" x14ac:dyDescent="0.3">
      <c r="A436" s="20" t="s">
        <v>6855</v>
      </c>
      <c r="B436" s="1" t="s">
        <v>93</v>
      </c>
      <c r="C436" s="1" t="s">
        <v>2968</v>
      </c>
      <c r="D436" s="1" t="s">
        <v>3213</v>
      </c>
      <c r="E436" s="1">
        <v>17800000</v>
      </c>
    </row>
    <row r="437" spans="1:5" ht="14.4" x14ac:dyDescent="0.3">
      <c r="A437" s="20" t="s">
        <v>6856</v>
      </c>
      <c r="B437" s="1" t="s">
        <v>2910</v>
      </c>
      <c r="C437" s="1" t="s">
        <v>218</v>
      </c>
      <c r="D437" s="1" t="s">
        <v>532</v>
      </c>
      <c r="E437" s="1">
        <v>18700000</v>
      </c>
    </row>
    <row r="438" spans="1:5" ht="14.4" x14ac:dyDescent="0.3">
      <c r="A438" s="20" t="s">
        <v>6857</v>
      </c>
      <c r="B438" s="1" t="s">
        <v>242</v>
      </c>
      <c r="C438" s="1" t="s">
        <v>3094</v>
      </c>
      <c r="D438" s="1" t="s">
        <v>526</v>
      </c>
      <c r="E438" s="1">
        <v>19900000</v>
      </c>
    </row>
    <row r="439" spans="1:5" ht="14.4" x14ac:dyDescent="0.3">
      <c r="A439" s="20" t="s">
        <v>6858</v>
      </c>
      <c r="B439" s="1" t="s">
        <v>93</v>
      </c>
      <c r="C439" s="1" t="s">
        <v>143</v>
      </c>
      <c r="D439" s="1" t="s">
        <v>3214</v>
      </c>
      <c r="E439" s="1">
        <v>13200000</v>
      </c>
    </row>
    <row r="440" spans="1:5" ht="14.4" x14ac:dyDescent="0.3">
      <c r="A440" s="20" t="s">
        <v>6859</v>
      </c>
      <c r="B440" s="1" t="s">
        <v>2910</v>
      </c>
      <c r="C440" s="1" t="s">
        <v>218</v>
      </c>
      <c r="D440" s="1" t="s">
        <v>3215</v>
      </c>
      <c r="E440" s="1">
        <v>23300000</v>
      </c>
    </row>
    <row r="441" spans="1:5" ht="14.4" x14ac:dyDescent="0.3">
      <c r="A441" s="20" t="s">
        <v>6860</v>
      </c>
      <c r="B441" s="1" t="s">
        <v>236</v>
      </c>
      <c r="C441" s="1" t="s">
        <v>3216</v>
      </c>
      <c r="D441" s="1" t="s">
        <v>3217</v>
      </c>
      <c r="E441" s="1">
        <v>29300000</v>
      </c>
    </row>
    <row r="442" spans="1:5" ht="14.4" x14ac:dyDescent="0.3">
      <c r="A442" s="20" t="s">
        <v>6861</v>
      </c>
      <c r="B442" s="1" t="s">
        <v>229</v>
      </c>
      <c r="C442" s="1" t="s">
        <v>3218</v>
      </c>
      <c r="D442" s="1" t="s">
        <v>3219</v>
      </c>
      <c r="E442" s="1">
        <v>18700000</v>
      </c>
    </row>
    <row r="443" spans="1:5" ht="14.4" x14ac:dyDescent="0.3">
      <c r="A443" s="20" t="s">
        <v>6862</v>
      </c>
      <c r="B443" s="1" t="s">
        <v>303</v>
      </c>
      <c r="C443" s="1" t="s">
        <v>2942</v>
      </c>
      <c r="D443" s="1" t="s">
        <v>452</v>
      </c>
      <c r="E443" s="1">
        <v>31600000</v>
      </c>
    </row>
    <row r="444" spans="1:5" ht="14.4" x14ac:dyDescent="0.3">
      <c r="A444" s="20" t="s">
        <v>6863</v>
      </c>
      <c r="B444" s="1" t="s">
        <v>2910</v>
      </c>
      <c r="C444" s="1" t="s">
        <v>3076</v>
      </c>
      <c r="D444" s="1" t="s">
        <v>538</v>
      </c>
      <c r="E444" s="1">
        <v>12800000</v>
      </c>
    </row>
    <row r="445" spans="1:5" ht="14.4" x14ac:dyDescent="0.3">
      <c r="A445" s="20" t="s">
        <v>6864</v>
      </c>
      <c r="B445" s="1" t="s">
        <v>2957</v>
      </c>
      <c r="C445" s="1" t="s">
        <v>3220</v>
      </c>
      <c r="D445" s="1" t="s">
        <v>3221</v>
      </c>
      <c r="E445" s="1">
        <v>19600000</v>
      </c>
    </row>
    <row r="446" spans="1:5" ht="14.4" x14ac:dyDescent="0.3">
      <c r="A446" s="20" t="s">
        <v>6865</v>
      </c>
      <c r="B446" s="1" t="s">
        <v>181</v>
      </c>
      <c r="C446" s="1" t="s">
        <v>182</v>
      </c>
      <c r="D446" s="1" t="s">
        <v>3222</v>
      </c>
      <c r="E446" s="1">
        <v>9200000</v>
      </c>
    </row>
    <row r="447" spans="1:5" ht="14.4" x14ac:dyDescent="0.3">
      <c r="A447" s="20" t="s">
        <v>6866</v>
      </c>
      <c r="B447" s="1" t="s">
        <v>2906</v>
      </c>
      <c r="C447" s="1" t="s">
        <v>3223</v>
      </c>
      <c r="D447" s="1" t="s">
        <v>479</v>
      </c>
      <c r="E447" s="1">
        <v>13200000</v>
      </c>
    </row>
    <row r="448" spans="1:5" ht="14.4" x14ac:dyDescent="0.3">
      <c r="A448" s="20" t="s">
        <v>6867</v>
      </c>
      <c r="B448" s="1" t="s">
        <v>30</v>
      </c>
      <c r="C448" s="1" t="s">
        <v>2908</v>
      </c>
      <c r="D448" s="1" t="s">
        <v>482</v>
      </c>
      <c r="E448" s="1">
        <v>9000000</v>
      </c>
    </row>
    <row r="449" spans="1:5" ht="14.4" x14ac:dyDescent="0.3">
      <c r="A449" s="20" t="s">
        <v>6868</v>
      </c>
      <c r="B449" s="1" t="s">
        <v>2945</v>
      </c>
      <c r="C449" s="1" t="s">
        <v>2994</v>
      </c>
      <c r="D449" s="1" t="s">
        <v>3224</v>
      </c>
      <c r="E449" s="1">
        <v>7080000</v>
      </c>
    </row>
    <row r="450" spans="1:5" ht="14.4" x14ac:dyDescent="0.3">
      <c r="A450" s="20" t="s">
        <v>6869</v>
      </c>
      <c r="B450" s="1" t="s">
        <v>181</v>
      </c>
      <c r="C450" s="1" t="s">
        <v>2941</v>
      </c>
      <c r="D450" s="1" t="s">
        <v>2889</v>
      </c>
      <c r="E450" s="1">
        <v>8200000</v>
      </c>
    </row>
    <row r="451" spans="1:5" ht="14.4" x14ac:dyDescent="0.3">
      <c r="A451" s="20" t="s">
        <v>6870</v>
      </c>
      <c r="B451" s="1" t="s">
        <v>264</v>
      </c>
      <c r="C451" s="1" t="s">
        <v>293</v>
      </c>
      <c r="D451" s="1" t="s">
        <v>2889</v>
      </c>
      <c r="E451" s="1">
        <v>25600000</v>
      </c>
    </row>
    <row r="452" spans="1:5" ht="14.4" x14ac:dyDescent="0.3">
      <c r="A452" s="20" t="s">
        <v>6871</v>
      </c>
      <c r="B452" s="1" t="s">
        <v>181</v>
      </c>
      <c r="C452" s="1" t="s">
        <v>2944</v>
      </c>
      <c r="D452" s="1" t="s">
        <v>2889</v>
      </c>
      <c r="E452" s="1">
        <v>16800000</v>
      </c>
    </row>
    <row r="453" spans="1:5" ht="14.4" x14ac:dyDescent="0.3">
      <c r="A453" s="20" t="s">
        <v>6872</v>
      </c>
      <c r="B453" s="1" t="s">
        <v>2933</v>
      </c>
      <c r="C453" s="1" t="s">
        <v>2934</v>
      </c>
      <c r="D453" s="1" t="s">
        <v>3225</v>
      </c>
      <c r="E453" s="1">
        <v>22200000</v>
      </c>
    </row>
    <row r="454" spans="1:5" ht="14.4" x14ac:dyDescent="0.3">
      <c r="A454" s="20" t="s">
        <v>6873</v>
      </c>
      <c r="B454" s="1" t="s">
        <v>167</v>
      </c>
      <c r="C454" s="1" t="s">
        <v>3125</v>
      </c>
      <c r="D454" s="1" t="s">
        <v>3226</v>
      </c>
      <c r="E454" s="1">
        <v>7970000</v>
      </c>
    </row>
    <row r="455" spans="1:5" ht="14.4" x14ac:dyDescent="0.3">
      <c r="A455" s="20" t="s">
        <v>6874</v>
      </c>
      <c r="B455" s="1" t="s">
        <v>48</v>
      </c>
      <c r="C455" s="1" t="s">
        <v>52</v>
      </c>
      <c r="D455" s="1" t="s">
        <v>3227</v>
      </c>
      <c r="E455" s="1">
        <v>33600000</v>
      </c>
    </row>
    <row r="456" spans="1:5" ht="14.4" x14ac:dyDescent="0.3">
      <c r="A456" s="20" t="s">
        <v>6875</v>
      </c>
      <c r="B456" s="1" t="s">
        <v>3228</v>
      </c>
      <c r="C456" s="1" t="s">
        <v>3229</v>
      </c>
      <c r="D456" s="1" t="s">
        <v>3230</v>
      </c>
      <c r="E456" s="1">
        <v>10000000</v>
      </c>
    </row>
    <row r="457" spans="1:5" ht="14.4" x14ac:dyDescent="0.3">
      <c r="A457" s="20" t="s">
        <v>6876</v>
      </c>
      <c r="B457" s="1" t="s">
        <v>264</v>
      </c>
      <c r="C457" s="1" t="s">
        <v>2890</v>
      </c>
      <c r="D457" s="1" t="s">
        <v>3037</v>
      </c>
      <c r="E457" s="1">
        <v>16200000</v>
      </c>
    </row>
    <row r="458" spans="1:5" ht="14.4" x14ac:dyDescent="0.3">
      <c r="A458" s="20" t="s">
        <v>6877</v>
      </c>
      <c r="B458" s="1" t="s">
        <v>264</v>
      </c>
      <c r="C458" s="1">
        <v>2008</v>
      </c>
      <c r="D458" s="1" t="s">
        <v>3036</v>
      </c>
      <c r="E458" s="1">
        <v>16100000</v>
      </c>
    </row>
    <row r="459" spans="1:5" ht="14.4" x14ac:dyDescent="0.3">
      <c r="A459" s="20" t="s">
        <v>6878</v>
      </c>
      <c r="B459" s="1" t="s">
        <v>264</v>
      </c>
      <c r="C459" s="1" t="s">
        <v>3033</v>
      </c>
      <c r="D459" s="1" t="s">
        <v>3034</v>
      </c>
      <c r="E459" s="1">
        <v>22700000</v>
      </c>
    </row>
    <row r="460" spans="1:5" ht="14.4" x14ac:dyDescent="0.3">
      <c r="A460" s="20" t="s">
        <v>6879</v>
      </c>
      <c r="B460" s="1" t="s">
        <v>264</v>
      </c>
      <c r="C460" s="1" t="s">
        <v>293</v>
      </c>
      <c r="D460" s="1" t="s">
        <v>3035</v>
      </c>
      <c r="E460" s="1">
        <v>25800000</v>
      </c>
    </row>
    <row r="461" spans="1:5" ht="14.4" x14ac:dyDescent="0.3">
      <c r="A461" s="20" t="s">
        <v>6880</v>
      </c>
      <c r="B461" s="1" t="s">
        <v>242</v>
      </c>
      <c r="C461" s="1" t="s">
        <v>246</v>
      </c>
      <c r="D461" s="1" t="s">
        <v>3032</v>
      </c>
      <c r="E461" s="1">
        <v>20400000</v>
      </c>
    </row>
    <row r="462" spans="1:5" ht="14.4" x14ac:dyDescent="0.3">
      <c r="A462" s="20" t="s">
        <v>6881</v>
      </c>
      <c r="B462" s="1" t="s">
        <v>264</v>
      </c>
      <c r="C462" s="1">
        <v>3008</v>
      </c>
      <c r="D462" s="1" t="s">
        <v>3031</v>
      </c>
      <c r="E462" s="1">
        <v>17600000</v>
      </c>
    </row>
    <row r="463" spans="1:5" ht="14.4" x14ac:dyDescent="0.3">
      <c r="A463" s="20" t="s">
        <v>6882</v>
      </c>
      <c r="B463" s="1" t="s">
        <v>334</v>
      </c>
      <c r="C463" s="1" t="s">
        <v>2903</v>
      </c>
      <c r="D463" s="1" t="s">
        <v>3231</v>
      </c>
      <c r="E463" s="1">
        <v>16100000</v>
      </c>
    </row>
    <row r="464" spans="1:5" ht="14.4" x14ac:dyDescent="0.3">
      <c r="A464" s="20" t="s">
        <v>6883</v>
      </c>
      <c r="B464" s="1" t="s">
        <v>264</v>
      </c>
      <c r="C464" s="1" t="s">
        <v>2996</v>
      </c>
      <c r="D464" s="1" t="s">
        <v>474</v>
      </c>
      <c r="E464" s="1">
        <v>14300000</v>
      </c>
    </row>
    <row r="465" spans="1:5" ht="14.4" x14ac:dyDescent="0.3">
      <c r="A465" s="20" t="s">
        <v>6884</v>
      </c>
      <c r="B465" s="1" t="s">
        <v>19</v>
      </c>
      <c r="C465" s="1" t="s">
        <v>3232</v>
      </c>
      <c r="D465" s="1" t="s">
        <v>3233</v>
      </c>
      <c r="E465" s="1">
        <v>20200000</v>
      </c>
    </row>
    <row r="466" spans="1:5" ht="14.4" x14ac:dyDescent="0.3">
      <c r="A466" s="20" t="s">
        <v>6885</v>
      </c>
      <c r="B466" s="1" t="s">
        <v>264</v>
      </c>
      <c r="C466" s="1">
        <v>3008</v>
      </c>
      <c r="D466" s="1" t="s">
        <v>3031</v>
      </c>
      <c r="E466" s="1">
        <v>17600000</v>
      </c>
    </row>
    <row r="467" spans="1:5" ht="14.4" x14ac:dyDescent="0.3">
      <c r="A467" s="20" t="s">
        <v>6886</v>
      </c>
      <c r="B467" s="1" t="s">
        <v>264</v>
      </c>
      <c r="C467" s="1" t="s">
        <v>293</v>
      </c>
      <c r="D467" s="1" t="s">
        <v>3030</v>
      </c>
      <c r="E467" s="1">
        <v>21100000</v>
      </c>
    </row>
    <row r="468" spans="1:5" ht="14.4" x14ac:dyDescent="0.3">
      <c r="A468" s="20" t="s">
        <v>6887</v>
      </c>
      <c r="B468" s="1" t="s">
        <v>264</v>
      </c>
      <c r="C468" s="1">
        <v>3008</v>
      </c>
      <c r="D468" s="1" t="s">
        <v>3029</v>
      </c>
      <c r="E468" s="1">
        <v>29500000</v>
      </c>
    </row>
    <row r="469" spans="1:5" ht="14.4" x14ac:dyDescent="0.3">
      <c r="A469" s="20" t="s">
        <v>6888</v>
      </c>
      <c r="B469" s="1" t="s">
        <v>264</v>
      </c>
      <c r="C469" s="1">
        <v>2008</v>
      </c>
      <c r="D469" s="1" t="s">
        <v>3028</v>
      </c>
      <c r="E469" s="1">
        <v>14900000</v>
      </c>
    </row>
    <row r="470" spans="1:5" ht="14.4" x14ac:dyDescent="0.3">
      <c r="A470" s="20" t="s">
        <v>6889</v>
      </c>
      <c r="B470" s="1" t="s">
        <v>264</v>
      </c>
      <c r="C470" s="1">
        <v>3008</v>
      </c>
      <c r="D470" s="1" t="s">
        <v>3027</v>
      </c>
      <c r="E470" s="1">
        <v>24500000</v>
      </c>
    </row>
    <row r="471" spans="1:5" ht="14.4" x14ac:dyDescent="0.3">
      <c r="A471" s="20" t="s">
        <v>6890</v>
      </c>
      <c r="B471" s="1" t="s">
        <v>264</v>
      </c>
      <c r="C471" s="1" t="s">
        <v>293</v>
      </c>
      <c r="D471" s="1" t="s">
        <v>3026</v>
      </c>
      <c r="E471" s="1">
        <v>25800000</v>
      </c>
    </row>
    <row r="472" spans="1:5" ht="14.4" x14ac:dyDescent="0.3">
      <c r="A472" s="20" t="s">
        <v>6891</v>
      </c>
      <c r="B472" s="1" t="s">
        <v>264</v>
      </c>
      <c r="C472" s="1" t="s">
        <v>2890</v>
      </c>
      <c r="D472" s="1" t="s">
        <v>3025</v>
      </c>
      <c r="E472" s="1">
        <v>15200000</v>
      </c>
    </row>
    <row r="473" spans="1:5" ht="14.4" x14ac:dyDescent="0.3">
      <c r="A473" s="20" t="s">
        <v>6892</v>
      </c>
      <c r="B473" s="1" t="s">
        <v>181</v>
      </c>
      <c r="C473" s="1" t="s">
        <v>2941</v>
      </c>
      <c r="D473" s="1" t="s">
        <v>484</v>
      </c>
      <c r="E473" s="1">
        <v>8200000</v>
      </c>
    </row>
    <row r="474" spans="1:5" ht="14.4" x14ac:dyDescent="0.3">
      <c r="A474" s="20" t="s">
        <v>6893</v>
      </c>
      <c r="B474" s="1" t="s">
        <v>48</v>
      </c>
      <c r="C474" s="1" t="s">
        <v>3234</v>
      </c>
      <c r="D474" s="1" t="s">
        <v>3235</v>
      </c>
      <c r="E474" s="1">
        <v>7730000</v>
      </c>
    </row>
    <row r="475" spans="1:5" ht="14.4" x14ac:dyDescent="0.3">
      <c r="A475" s="20" t="s">
        <v>6894</v>
      </c>
      <c r="B475" s="1" t="s">
        <v>2933</v>
      </c>
      <c r="C475" s="1" t="s">
        <v>2934</v>
      </c>
      <c r="D475" s="1" t="s">
        <v>457</v>
      </c>
      <c r="E475" s="1">
        <v>19300000</v>
      </c>
    </row>
    <row r="476" spans="1:5" ht="14.4" x14ac:dyDescent="0.3">
      <c r="A476" s="20" t="s">
        <v>6895</v>
      </c>
      <c r="B476" s="1" t="s">
        <v>264</v>
      </c>
      <c r="C476" s="1" t="s">
        <v>293</v>
      </c>
      <c r="D476" s="1" t="s">
        <v>2889</v>
      </c>
      <c r="E476" s="1">
        <v>25600000</v>
      </c>
    </row>
    <row r="477" spans="1:5" ht="14.4" x14ac:dyDescent="0.3">
      <c r="A477" s="20" t="s">
        <v>6896</v>
      </c>
      <c r="B477" s="1" t="s">
        <v>151</v>
      </c>
      <c r="C477" s="1" t="s">
        <v>3236</v>
      </c>
      <c r="D477" s="1" t="s">
        <v>453</v>
      </c>
      <c r="E477" s="1">
        <v>6970000</v>
      </c>
    </row>
    <row r="478" spans="1:5" ht="14.4" x14ac:dyDescent="0.3">
      <c r="A478" s="20" t="s">
        <v>6897</v>
      </c>
      <c r="B478" s="1" t="s">
        <v>48</v>
      </c>
      <c r="C478" s="1" t="s">
        <v>3237</v>
      </c>
      <c r="D478" s="1" t="s">
        <v>2889</v>
      </c>
      <c r="E478" s="1">
        <v>7890000</v>
      </c>
    </row>
    <row r="479" spans="1:5" ht="14.4" x14ac:dyDescent="0.3">
      <c r="A479" s="20" t="s">
        <v>6898</v>
      </c>
      <c r="B479" s="1" t="s">
        <v>93</v>
      </c>
      <c r="C479" s="1" t="s">
        <v>3238</v>
      </c>
      <c r="D479" s="1" t="s">
        <v>107</v>
      </c>
      <c r="E479" s="1">
        <v>22100000</v>
      </c>
    </row>
    <row r="480" spans="1:5" ht="14.4" x14ac:dyDescent="0.3">
      <c r="A480" s="20" t="s">
        <v>6899</v>
      </c>
      <c r="B480" s="1" t="s">
        <v>151</v>
      </c>
      <c r="C480" s="1" t="s">
        <v>154</v>
      </c>
      <c r="D480" s="1" t="s">
        <v>3239</v>
      </c>
      <c r="E480" s="1">
        <v>17100000</v>
      </c>
    </row>
    <row r="481" spans="1:5" ht="14.4" x14ac:dyDescent="0.3">
      <c r="A481" s="20" t="s">
        <v>6900</v>
      </c>
      <c r="B481" s="1" t="s">
        <v>242</v>
      </c>
      <c r="C481" s="1" t="s">
        <v>2981</v>
      </c>
      <c r="D481" s="1" t="s">
        <v>478</v>
      </c>
      <c r="E481" s="1">
        <v>10600000</v>
      </c>
    </row>
    <row r="482" spans="1:5" ht="14.4" x14ac:dyDescent="0.3">
      <c r="A482" s="20" t="s">
        <v>6901</v>
      </c>
      <c r="B482" s="1" t="s">
        <v>2910</v>
      </c>
      <c r="C482" s="1" t="s">
        <v>218</v>
      </c>
      <c r="D482" s="1" t="s">
        <v>3240</v>
      </c>
      <c r="E482" s="1">
        <v>19600000</v>
      </c>
    </row>
    <row r="483" spans="1:5" ht="14.4" x14ac:dyDescent="0.3">
      <c r="A483" s="20" t="s">
        <v>6902</v>
      </c>
      <c r="B483" s="1" t="s">
        <v>2910</v>
      </c>
      <c r="C483" s="1" t="s">
        <v>218</v>
      </c>
      <c r="D483" s="1" t="s">
        <v>3241</v>
      </c>
      <c r="E483" s="1">
        <v>20000000</v>
      </c>
    </row>
    <row r="484" spans="1:5" ht="14.4" x14ac:dyDescent="0.3">
      <c r="A484" s="20" t="s">
        <v>6903</v>
      </c>
      <c r="B484" s="1" t="s">
        <v>93</v>
      </c>
      <c r="C484" s="1" t="s">
        <v>2919</v>
      </c>
      <c r="D484" s="1" t="s">
        <v>2889</v>
      </c>
      <c r="E484" s="1">
        <v>35000000</v>
      </c>
    </row>
    <row r="485" spans="1:5" ht="14.4" x14ac:dyDescent="0.3">
      <c r="A485" s="20" t="s">
        <v>6904</v>
      </c>
      <c r="B485" s="1" t="s">
        <v>2910</v>
      </c>
      <c r="C485" s="1" t="s">
        <v>3242</v>
      </c>
      <c r="D485" s="1" t="s">
        <v>458</v>
      </c>
      <c r="E485" s="1">
        <v>15500000</v>
      </c>
    </row>
    <row r="486" spans="1:5" ht="14.4" x14ac:dyDescent="0.3">
      <c r="A486" s="20" t="s">
        <v>6905</v>
      </c>
      <c r="B486" s="1" t="s">
        <v>2933</v>
      </c>
      <c r="C486" s="1" t="s">
        <v>2955</v>
      </c>
      <c r="D486" s="1" t="s">
        <v>3243</v>
      </c>
      <c r="E486" s="1">
        <v>11300000</v>
      </c>
    </row>
    <row r="487" spans="1:5" ht="14.4" x14ac:dyDescent="0.3">
      <c r="A487" s="20" t="s">
        <v>6906</v>
      </c>
      <c r="B487" s="1" t="s">
        <v>2929</v>
      </c>
      <c r="C487" s="1" t="s">
        <v>3100</v>
      </c>
      <c r="D487" s="1" t="s">
        <v>3244</v>
      </c>
      <c r="E487" s="1">
        <v>8700000</v>
      </c>
    </row>
    <row r="488" spans="1:5" ht="14.4" x14ac:dyDescent="0.3">
      <c r="A488" s="20" t="s">
        <v>6907</v>
      </c>
      <c r="B488" s="1" t="s">
        <v>2910</v>
      </c>
      <c r="C488" s="1" t="s">
        <v>3245</v>
      </c>
      <c r="D488" s="1" t="s">
        <v>217</v>
      </c>
      <c r="E488" s="1">
        <v>34600000</v>
      </c>
    </row>
    <row r="489" spans="1:5" ht="14.4" x14ac:dyDescent="0.3">
      <c r="A489" s="20" t="s">
        <v>6908</v>
      </c>
      <c r="B489" s="1" t="s">
        <v>48</v>
      </c>
      <c r="C489" s="1" t="s">
        <v>49</v>
      </c>
      <c r="D489" s="1" t="s">
        <v>3246</v>
      </c>
      <c r="E489" s="1">
        <v>12400000</v>
      </c>
    </row>
    <row r="490" spans="1:5" ht="14.4" x14ac:dyDescent="0.3">
      <c r="A490" s="20" t="s">
        <v>6909</v>
      </c>
      <c r="B490" s="1" t="s">
        <v>314</v>
      </c>
      <c r="C490" s="1" t="s">
        <v>3247</v>
      </c>
      <c r="D490" s="1" t="s">
        <v>3248</v>
      </c>
      <c r="E490" s="1">
        <v>12400000</v>
      </c>
    </row>
    <row r="491" spans="1:5" ht="14.4" x14ac:dyDescent="0.3">
      <c r="A491" s="20" t="s">
        <v>6910</v>
      </c>
      <c r="B491" s="1" t="s">
        <v>2910</v>
      </c>
      <c r="C491" s="1" t="s">
        <v>212</v>
      </c>
      <c r="D491" s="1" t="s">
        <v>471</v>
      </c>
      <c r="E491" s="1">
        <v>12800000</v>
      </c>
    </row>
    <row r="492" spans="1:5" ht="14.4" x14ac:dyDescent="0.3">
      <c r="A492" s="20" t="s">
        <v>6911</v>
      </c>
      <c r="B492" s="1" t="s">
        <v>64</v>
      </c>
      <c r="C492" s="1" t="s">
        <v>3249</v>
      </c>
      <c r="D492" s="1" t="s">
        <v>476</v>
      </c>
      <c r="E492" s="1">
        <v>6150000</v>
      </c>
    </row>
    <row r="493" spans="1:5" ht="14.4" x14ac:dyDescent="0.3">
      <c r="A493" s="20" t="s">
        <v>6912</v>
      </c>
      <c r="B493" s="1" t="s">
        <v>93</v>
      </c>
      <c r="C493" s="1" t="s">
        <v>3238</v>
      </c>
      <c r="D493" s="1" t="s">
        <v>3250</v>
      </c>
      <c r="E493" s="1">
        <v>20800000</v>
      </c>
    </row>
    <row r="494" spans="1:5" ht="14.4" x14ac:dyDescent="0.3">
      <c r="A494" s="20" t="s">
        <v>6913</v>
      </c>
      <c r="B494" s="1" t="s">
        <v>93</v>
      </c>
      <c r="C494" s="1" t="s">
        <v>143</v>
      </c>
      <c r="D494" s="1" t="s">
        <v>3251</v>
      </c>
      <c r="E494" s="1">
        <v>13400000</v>
      </c>
    </row>
    <row r="495" spans="1:5" ht="14.4" x14ac:dyDescent="0.3">
      <c r="A495" s="20" t="s">
        <v>6914</v>
      </c>
      <c r="B495" s="1" t="s">
        <v>229</v>
      </c>
      <c r="C495" s="1" t="s">
        <v>3252</v>
      </c>
      <c r="D495" s="1" t="s">
        <v>3253</v>
      </c>
      <c r="E495" s="1">
        <v>14700000</v>
      </c>
    </row>
    <row r="496" spans="1:5" ht="14.4" x14ac:dyDescent="0.3">
      <c r="A496" s="20" t="s">
        <v>6915</v>
      </c>
      <c r="B496" s="1" t="s">
        <v>2910</v>
      </c>
      <c r="C496" s="1" t="s">
        <v>3245</v>
      </c>
      <c r="D496" s="1" t="s">
        <v>3254</v>
      </c>
      <c r="E496" s="1">
        <v>36000000</v>
      </c>
    </row>
    <row r="497" spans="1:5" ht="14.4" x14ac:dyDescent="0.3">
      <c r="A497" s="20" t="s">
        <v>6916</v>
      </c>
      <c r="B497" s="1" t="s">
        <v>229</v>
      </c>
      <c r="C497" s="1" t="s">
        <v>3255</v>
      </c>
      <c r="D497" s="1" t="s">
        <v>3256</v>
      </c>
      <c r="E497" s="1">
        <v>28300000</v>
      </c>
    </row>
    <row r="498" spans="1:5" ht="14.4" x14ac:dyDescent="0.3">
      <c r="A498" s="20" t="s">
        <v>6917</v>
      </c>
      <c r="B498" s="1" t="s">
        <v>157</v>
      </c>
      <c r="C498" s="1" t="s">
        <v>3257</v>
      </c>
      <c r="D498" s="1" t="s">
        <v>3258</v>
      </c>
      <c r="E498" s="1">
        <v>14500000</v>
      </c>
    </row>
    <row r="499" spans="1:5" ht="14.4" x14ac:dyDescent="0.3">
      <c r="A499" s="20" t="s">
        <v>6918</v>
      </c>
      <c r="B499" s="1" t="s">
        <v>303</v>
      </c>
      <c r="C499" s="1" t="s">
        <v>311</v>
      </c>
      <c r="D499" s="1" t="s">
        <v>310</v>
      </c>
      <c r="E499" s="1">
        <v>31700000</v>
      </c>
    </row>
    <row r="500" spans="1:5" ht="14.4" x14ac:dyDescent="0.3">
      <c r="A500" s="20" t="s">
        <v>6919</v>
      </c>
      <c r="B500" s="1" t="s">
        <v>167</v>
      </c>
      <c r="C500" s="1" t="s">
        <v>3007</v>
      </c>
      <c r="D500" s="1" t="s">
        <v>475</v>
      </c>
      <c r="E500" s="1">
        <v>7080000</v>
      </c>
    </row>
    <row r="501" spans="1:5" ht="14.4" x14ac:dyDescent="0.3">
      <c r="A501" s="20" t="s">
        <v>6920</v>
      </c>
      <c r="B501" s="1" t="s">
        <v>314</v>
      </c>
      <c r="C501" s="1" t="s">
        <v>3259</v>
      </c>
      <c r="D501" s="1" t="s">
        <v>3260</v>
      </c>
      <c r="E501" s="1">
        <v>7840000</v>
      </c>
    </row>
    <row r="502" spans="1:5" ht="14.4" x14ac:dyDescent="0.3">
      <c r="A502" s="20" t="s">
        <v>6921</v>
      </c>
      <c r="B502" s="1" t="s">
        <v>93</v>
      </c>
      <c r="C502" s="1" t="s">
        <v>118</v>
      </c>
      <c r="D502" s="1" t="s">
        <v>122</v>
      </c>
      <c r="E502" s="1">
        <v>32800000</v>
      </c>
    </row>
    <row r="503" spans="1:5" ht="14.4" x14ac:dyDescent="0.3">
      <c r="A503" s="20" t="s">
        <v>6922</v>
      </c>
      <c r="B503" s="1" t="s">
        <v>303</v>
      </c>
      <c r="C503" s="1" t="s">
        <v>2942</v>
      </c>
      <c r="D503" s="1" t="s">
        <v>452</v>
      </c>
      <c r="E503" s="1">
        <v>32500000</v>
      </c>
    </row>
    <row r="504" spans="1:5" ht="14.4" x14ac:dyDescent="0.3">
      <c r="A504" s="20" t="s">
        <v>6923</v>
      </c>
      <c r="B504" s="1" t="s">
        <v>242</v>
      </c>
      <c r="C504" s="1" t="s">
        <v>3174</v>
      </c>
      <c r="D504" s="1" t="s">
        <v>3261</v>
      </c>
      <c r="E504" s="1">
        <v>15500000</v>
      </c>
    </row>
    <row r="505" spans="1:5" ht="14.4" x14ac:dyDescent="0.3">
      <c r="A505" s="20" t="s">
        <v>6924</v>
      </c>
      <c r="B505" s="1" t="s">
        <v>264</v>
      </c>
      <c r="C505" s="1" t="s">
        <v>2896</v>
      </c>
      <c r="D505" s="1" t="s">
        <v>3262</v>
      </c>
      <c r="E505" s="1">
        <v>11600000</v>
      </c>
    </row>
    <row r="506" spans="1:5" ht="14.4" x14ac:dyDescent="0.3">
      <c r="A506" s="20" t="s">
        <v>6925</v>
      </c>
      <c r="B506" s="1" t="s">
        <v>264</v>
      </c>
      <c r="C506" s="1" t="s">
        <v>2896</v>
      </c>
      <c r="D506" s="1" t="s">
        <v>3262</v>
      </c>
      <c r="E506" s="1">
        <v>11600000</v>
      </c>
    </row>
    <row r="507" spans="1:5" ht="14.4" x14ac:dyDescent="0.3">
      <c r="A507" s="20" t="s">
        <v>6926</v>
      </c>
      <c r="B507" s="1" t="s">
        <v>264</v>
      </c>
      <c r="C507" s="1" t="s">
        <v>293</v>
      </c>
      <c r="D507" s="1" t="s">
        <v>769</v>
      </c>
      <c r="E507" s="1">
        <v>17600000</v>
      </c>
    </row>
    <row r="508" spans="1:5" ht="14.4" x14ac:dyDescent="0.3">
      <c r="A508" s="20" t="s">
        <v>6927</v>
      </c>
      <c r="B508" s="1" t="s">
        <v>2961</v>
      </c>
      <c r="C508" s="1" t="s">
        <v>2962</v>
      </c>
      <c r="D508" s="1" t="s">
        <v>3024</v>
      </c>
      <c r="E508" s="1">
        <v>19400000</v>
      </c>
    </row>
    <row r="509" spans="1:5" ht="14.4" x14ac:dyDescent="0.3">
      <c r="A509" s="20" t="s">
        <v>6928</v>
      </c>
      <c r="B509" s="1" t="s">
        <v>264</v>
      </c>
      <c r="C509" s="1">
        <v>3008</v>
      </c>
      <c r="D509" s="1" t="s">
        <v>3017</v>
      </c>
      <c r="E509" s="1">
        <v>17500000</v>
      </c>
    </row>
    <row r="510" spans="1:5" ht="14.4" x14ac:dyDescent="0.3">
      <c r="A510" s="20" t="s">
        <v>6929</v>
      </c>
      <c r="B510" s="1" t="s">
        <v>264</v>
      </c>
      <c r="C510" s="1" t="s">
        <v>300</v>
      </c>
      <c r="D510" s="1" t="s">
        <v>3006</v>
      </c>
      <c r="E510" s="1">
        <v>16300000</v>
      </c>
    </row>
    <row r="511" spans="1:5" ht="14.4" x14ac:dyDescent="0.3">
      <c r="A511" s="20" t="s">
        <v>6930</v>
      </c>
      <c r="B511" s="1" t="s">
        <v>2910</v>
      </c>
      <c r="C511" s="1" t="s">
        <v>215</v>
      </c>
      <c r="D511" s="1" t="s">
        <v>3263</v>
      </c>
      <c r="E511" s="1">
        <v>12700000</v>
      </c>
    </row>
    <row r="512" spans="1:5" ht="14.4" x14ac:dyDescent="0.3">
      <c r="A512" s="20" t="s">
        <v>6931</v>
      </c>
      <c r="B512" s="1" t="s">
        <v>2906</v>
      </c>
      <c r="C512" s="1" t="s">
        <v>2907</v>
      </c>
      <c r="D512" s="1" t="s">
        <v>451</v>
      </c>
      <c r="E512" s="1">
        <v>8100000</v>
      </c>
    </row>
    <row r="513" spans="1:5" ht="14.4" x14ac:dyDescent="0.3">
      <c r="A513" s="20" t="s">
        <v>6932</v>
      </c>
      <c r="B513" s="1" t="s">
        <v>242</v>
      </c>
      <c r="C513" s="1" t="s">
        <v>254</v>
      </c>
      <c r="D513" s="1" t="s">
        <v>3264</v>
      </c>
      <c r="E513" s="1">
        <v>10600000</v>
      </c>
    </row>
    <row r="514" spans="1:5" ht="14.4" x14ac:dyDescent="0.3">
      <c r="A514" s="20" t="s">
        <v>6933</v>
      </c>
      <c r="B514" s="1" t="s">
        <v>93</v>
      </c>
      <c r="C514" s="1" t="s">
        <v>143</v>
      </c>
      <c r="D514" s="1" t="s">
        <v>3265</v>
      </c>
      <c r="E514" s="1">
        <v>15500000</v>
      </c>
    </row>
    <row r="515" spans="1:5" ht="14.4" x14ac:dyDescent="0.3">
      <c r="A515" s="20" t="s">
        <v>6934</v>
      </c>
      <c r="B515" s="1" t="s">
        <v>64</v>
      </c>
      <c r="C515" s="1" t="s">
        <v>3266</v>
      </c>
      <c r="D515" s="1" t="s">
        <v>455</v>
      </c>
      <c r="E515" s="1">
        <v>15200000</v>
      </c>
    </row>
    <row r="516" spans="1:5" ht="14.4" x14ac:dyDescent="0.3">
      <c r="A516" s="20" t="s">
        <v>6935</v>
      </c>
      <c r="B516" s="1" t="s">
        <v>48</v>
      </c>
      <c r="C516" s="1" t="s">
        <v>52</v>
      </c>
      <c r="D516" s="1" t="s">
        <v>3267</v>
      </c>
      <c r="E516" s="1">
        <v>43100000</v>
      </c>
    </row>
    <row r="517" spans="1:5" ht="14.4" x14ac:dyDescent="0.3">
      <c r="A517" s="20" t="s">
        <v>6936</v>
      </c>
      <c r="B517" s="1" t="s">
        <v>2910</v>
      </c>
      <c r="C517" s="1" t="s">
        <v>218</v>
      </c>
      <c r="D517" s="1" t="s">
        <v>467</v>
      </c>
      <c r="E517" s="1">
        <v>13700000</v>
      </c>
    </row>
    <row r="518" spans="1:5" ht="14.4" x14ac:dyDescent="0.3">
      <c r="A518" s="20" t="s">
        <v>6937</v>
      </c>
      <c r="B518" s="1" t="s">
        <v>2957</v>
      </c>
      <c r="C518" s="1" t="s">
        <v>3268</v>
      </c>
      <c r="D518" s="1" t="s">
        <v>3269</v>
      </c>
      <c r="E518" s="1">
        <v>18100000</v>
      </c>
    </row>
    <row r="519" spans="1:5" ht="14.4" x14ac:dyDescent="0.3">
      <c r="A519" s="20" t="s">
        <v>6938</v>
      </c>
      <c r="B519" s="1" t="s">
        <v>303</v>
      </c>
      <c r="C519" s="1">
        <v>700</v>
      </c>
      <c r="D519" s="1" t="s">
        <v>3270</v>
      </c>
      <c r="E519" s="1">
        <v>13600000</v>
      </c>
    </row>
    <row r="520" spans="1:5" ht="14.4" x14ac:dyDescent="0.3">
      <c r="A520" s="20" t="s">
        <v>6939</v>
      </c>
      <c r="B520" s="1" t="s">
        <v>93</v>
      </c>
      <c r="C520" s="1" t="s">
        <v>3271</v>
      </c>
      <c r="D520" s="1" t="s">
        <v>3272</v>
      </c>
      <c r="E520" s="1">
        <v>20900000</v>
      </c>
    </row>
    <row r="521" spans="1:5" ht="14.4" x14ac:dyDescent="0.3">
      <c r="A521" s="20" t="s">
        <v>6940</v>
      </c>
      <c r="B521" s="1" t="s">
        <v>229</v>
      </c>
      <c r="C521" s="1">
        <v>6</v>
      </c>
      <c r="D521" s="1" t="s">
        <v>3273</v>
      </c>
      <c r="E521" s="1">
        <v>14800000</v>
      </c>
    </row>
    <row r="522" spans="1:5" ht="14.4" x14ac:dyDescent="0.3">
      <c r="A522" s="20" t="s">
        <v>6941</v>
      </c>
      <c r="B522" s="1" t="s">
        <v>334</v>
      </c>
      <c r="C522" s="1" t="s">
        <v>3274</v>
      </c>
      <c r="D522" s="1" t="s">
        <v>3275</v>
      </c>
      <c r="E522" s="1">
        <v>17300000</v>
      </c>
    </row>
    <row r="523" spans="1:5" ht="14.4" x14ac:dyDescent="0.3">
      <c r="A523" s="20" t="s">
        <v>6942</v>
      </c>
      <c r="B523" s="1" t="s">
        <v>93</v>
      </c>
      <c r="C523" s="1" t="s">
        <v>3271</v>
      </c>
      <c r="D523" s="1" t="s">
        <v>96</v>
      </c>
      <c r="E523" s="1">
        <v>28300000</v>
      </c>
    </row>
    <row r="524" spans="1:5" ht="14.4" x14ac:dyDescent="0.3">
      <c r="A524" s="20" t="s">
        <v>6943</v>
      </c>
      <c r="B524" s="1" t="s">
        <v>2945</v>
      </c>
      <c r="C524" s="1" t="s">
        <v>2994</v>
      </c>
      <c r="D524" s="1" t="s">
        <v>3276</v>
      </c>
      <c r="E524" s="1">
        <v>7150000</v>
      </c>
    </row>
    <row r="525" spans="1:5" ht="14.4" x14ac:dyDescent="0.3">
      <c r="A525" s="20" t="s">
        <v>6944</v>
      </c>
      <c r="B525" s="1" t="s">
        <v>236</v>
      </c>
      <c r="C525" s="1" t="s">
        <v>2972</v>
      </c>
      <c r="D525" s="1" t="s">
        <v>589</v>
      </c>
      <c r="E525" s="1">
        <v>25200000</v>
      </c>
    </row>
    <row r="526" spans="1:5" ht="14.4" x14ac:dyDescent="0.3">
      <c r="A526" s="20" t="s">
        <v>6945</v>
      </c>
      <c r="B526" s="1" t="s">
        <v>264</v>
      </c>
      <c r="C526" s="1" t="s">
        <v>2896</v>
      </c>
      <c r="D526" s="1" t="s">
        <v>760</v>
      </c>
      <c r="E526" s="1">
        <v>18500000</v>
      </c>
    </row>
    <row r="527" spans="1:5" ht="14.4" x14ac:dyDescent="0.3">
      <c r="A527" s="20" t="s">
        <v>6946</v>
      </c>
      <c r="B527" s="1" t="s">
        <v>2910</v>
      </c>
      <c r="C527" s="1" t="s">
        <v>206</v>
      </c>
      <c r="D527" s="1" t="s">
        <v>3277</v>
      </c>
      <c r="E527" s="1">
        <v>8900000</v>
      </c>
    </row>
    <row r="528" spans="1:5" ht="14.4" x14ac:dyDescent="0.3">
      <c r="A528" s="20" t="s">
        <v>6947</v>
      </c>
      <c r="B528" s="1" t="s">
        <v>188</v>
      </c>
      <c r="C528" s="1">
        <v>7</v>
      </c>
      <c r="D528" s="1" t="s">
        <v>2889</v>
      </c>
      <c r="E528" s="1">
        <v>17500000</v>
      </c>
    </row>
    <row r="529" spans="1:5" ht="14.4" x14ac:dyDescent="0.3">
      <c r="A529" s="20" t="s">
        <v>6948</v>
      </c>
      <c r="B529" s="1" t="s">
        <v>264</v>
      </c>
      <c r="C529" s="1">
        <v>2008</v>
      </c>
      <c r="D529" s="1" t="s">
        <v>3278</v>
      </c>
      <c r="E529" s="1">
        <v>14300000</v>
      </c>
    </row>
    <row r="530" spans="1:5" ht="14.4" x14ac:dyDescent="0.3">
      <c r="A530" s="20" t="s">
        <v>6949</v>
      </c>
      <c r="B530" s="1" t="s">
        <v>157</v>
      </c>
      <c r="C530" s="1" t="s">
        <v>2928</v>
      </c>
      <c r="D530" s="1" t="s">
        <v>3279</v>
      </c>
      <c r="E530" s="1">
        <v>13900000</v>
      </c>
    </row>
    <row r="531" spans="1:5" ht="14.4" x14ac:dyDescent="0.3">
      <c r="A531" s="20" t="s">
        <v>6950</v>
      </c>
      <c r="B531" s="1" t="s">
        <v>30</v>
      </c>
      <c r="C531" s="1" t="s">
        <v>45</v>
      </c>
      <c r="D531" s="1" t="s">
        <v>446</v>
      </c>
      <c r="E531" s="1">
        <v>12300000</v>
      </c>
    </row>
    <row r="532" spans="1:5" ht="14.4" x14ac:dyDescent="0.3">
      <c r="A532" s="20" t="s">
        <v>6951</v>
      </c>
      <c r="B532" s="1" t="s">
        <v>167</v>
      </c>
      <c r="C532" s="1" t="s">
        <v>3280</v>
      </c>
      <c r="D532" s="1" t="s">
        <v>3281</v>
      </c>
      <c r="E532" s="1">
        <v>11500000</v>
      </c>
    </row>
    <row r="533" spans="1:5" ht="14.4" x14ac:dyDescent="0.3">
      <c r="A533" s="20" t="s">
        <v>6952</v>
      </c>
      <c r="B533" s="1" t="s">
        <v>2906</v>
      </c>
      <c r="C533" s="1" t="s">
        <v>2943</v>
      </c>
      <c r="D533" s="1" t="s">
        <v>3282</v>
      </c>
      <c r="E533" s="1">
        <v>10100000</v>
      </c>
    </row>
    <row r="534" spans="1:5" ht="14.4" x14ac:dyDescent="0.3">
      <c r="A534" s="20" t="s">
        <v>6953</v>
      </c>
      <c r="B534" s="1" t="s">
        <v>93</v>
      </c>
      <c r="C534" s="1" t="s">
        <v>2916</v>
      </c>
      <c r="D534" s="1" t="s">
        <v>126</v>
      </c>
      <c r="E534" s="1">
        <v>43200000</v>
      </c>
    </row>
    <row r="535" spans="1:5" ht="14.4" x14ac:dyDescent="0.3">
      <c r="A535" s="20" t="s">
        <v>6954</v>
      </c>
      <c r="B535" s="1" t="s">
        <v>93</v>
      </c>
      <c r="C535" s="1" t="s">
        <v>97</v>
      </c>
      <c r="D535" s="1" t="s">
        <v>3283</v>
      </c>
      <c r="E535" s="1">
        <v>10100000</v>
      </c>
    </row>
    <row r="536" spans="1:5" ht="14.4" x14ac:dyDescent="0.3">
      <c r="A536" s="20" t="s">
        <v>6955</v>
      </c>
      <c r="B536" s="1" t="s">
        <v>2910</v>
      </c>
      <c r="C536" s="1" t="s">
        <v>212</v>
      </c>
      <c r="D536" s="1" t="s">
        <v>3284</v>
      </c>
      <c r="E536" s="1">
        <v>16400000</v>
      </c>
    </row>
    <row r="537" spans="1:5" ht="14.4" x14ac:dyDescent="0.3">
      <c r="A537" s="20" t="s">
        <v>6956</v>
      </c>
      <c r="B537" s="1" t="s">
        <v>181</v>
      </c>
      <c r="C537" s="1" t="s">
        <v>185</v>
      </c>
      <c r="D537" s="1" t="s">
        <v>3285</v>
      </c>
      <c r="E537" s="1">
        <v>11700000</v>
      </c>
    </row>
    <row r="538" spans="1:5" ht="14.4" x14ac:dyDescent="0.3">
      <c r="A538" s="20" t="s">
        <v>6957</v>
      </c>
      <c r="B538" s="1" t="s">
        <v>48</v>
      </c>
      <c r="C538" s="1" t="s">
        <v>3286</v>
      </c>
      <c r="D538" s="1" t="s">
        <v>3287</v>
      </c>
      <c r="E538" s="1">
        <v>6900000</v>
      </c>
    </row>
    <row r="539" spans="1:5" ht="14.4" x14ac:dyDescent="0.3">
      <c r="A539" s="20" t="s">
        <v>6958</v>
      </c>
      <c r="B539" s="1" t="s">
        <v>2945</v>
      </c>
      <c r="C539" s="1" t="s">
        <v>2994</v>
      </c>
      <c r="D539" s="1" t="s">
        <v>3288</v>
      </c>
      <c r="E539" s="1">
        <v>7860000</v>
      </c>
    </row>
    <row r="540" spans="1:5" ht="14.4" x14ac:dyDescent="0.3">
      <c r="A540" s="20" t="s">
        <v>6959</v>
      </c>
      <c r="B540" s="1" t="s">
        <v>334</v>
      </c>
      <c r="C540" s="1" t="s">
        <v>3274</v>
      </c>
      <c r="D540" s="1" t="s">
        <v>3289</v>
      </c>
      <c r="E540" s="1">
        <v>33600000</v>
      </c>
    </row>
    <row r="541" spans="1:5" ht="14.4" x14ac:dyDescent="0.3">
      <c r="A541" s="20" t="s">
        <v>6960</v>
      </c>
      <c r="B541" s="1" t="s">
        <v>2957</v>
      </c>
      <c r="C541" s="1" t="s">
        <v>3063</v>
      </c>
      <c r="D541" s="1" t="s">
        <v>3290</v>
      </c>
      <c r="E541" s="1">
        <v>20700000</v>
      </c>
    </row>
    <row r="542" spans="1:5" ht="14.4" x14ac:dyDescent="0.3">
      <c r="A542" s="20" t="s">
        <v>6961</v>
      </c>
      <c r="B542" s="1" t="s">
        <v>195</v>
      </c>
      <c r="C542" s="1" t="s">
        <v>3074</v>
      </c>
      <c r="D542" s="1" t="s">
        <v>3291</v>
      </c>
      <c r="E542" s="1">
        <v>11000000</v>
      </c>
    </row>
    <row r="543" spans="1:5" ht="14.4" x14ac:dyDescent="0.3">
      <c r="A543" s="20" t="s">
        <v>6962</v>
      </c>
      <c r="B543" s="1" t="s">
        <v>334</v>
      </c>
      <c r="C543" s="1" t="s">
        <v>3199</v>
      </c>
      <c r="D543" s="1" t="s">
        <v>3292</v>
      </c>
      <c r="E543" s="1">
        <v>18900000</v>
      </c>
    </row>
    <row r="544" spans="1:5" ht="14.4" x14ac:dyDescent="0.3">
      <c r="A544" s="20" t="s">
        <v>6963</v>
      </c>
      <c r="B544" s="1" t="s">
        <v>188</v>
      </c>
      <c r="C544" s="1">
        <v>7</v>
      </c>
      <c r="D544" s="1" t="s">
        <v>2889</v>
      </c>
      <c r="E544" s="1">
        <v>17500000</v>
      </c>
    </row>
    <row r="545" spans="1:5" ht="14.4" x14ac:dyDescent="0.3">
      <c r="A545" s="20" t="s">
        <v>6964</v>
      </c>
      <c r="B545" s="1" t="s">
        <v>264</v>
      </c>
      <c r="C545" s="1" t="s">
        <v>2896</v>
      </c>
      <c r="D545" s="1" t="s">
        <v>3293</v>
      </c>
      <c r="E545" s="1">
        <v>14800000</v>
      </c>
    </row>
    <row r="546" spans="1:5" ht="14.4" x14ac:dyDescent="0.3">
      <c r="A546" s="20" t="s">
        <v>6965</v>
      </c>
      <c r="B546" s="1" t="s">
        <v>317</v>
      </c>
      <c r="C546" s="1" t="s">
        <v>2949</v>
      </c>
      <c r="D546" s="1" t="s">
        <v>468</v>
      </c>
      <c r="E546" s="1">
        <v>14300000</v>
      </c>
    </row>
    <row r="547" spans="1:5" ht="14.4" x14ac:dyDescent="0.3">
      <c r="A547" s="20" t="s">
        <v>6966</v>
      </c>
      <c r="B547" s="1" t="s">
        <v>2886</v>
      </c>
      <c r="C547" s="1" t="s">
        <v>2887</v>
      </c>
      <c r="D547" s="1" t="s">
        <v>1690</v>
      </c>
      <c r="E547" s="1">
        <v>12400000</v>
      </c>
    </row>
    <row r="548" spans="1:5" ht="14.4" x14ac:dyDescent="0.3">
      <c r="A548" s="20" t="s">
        <v>6967</v>
      </c>
      <c r="B548" s="1" t="s">
        <v>264</v>
      </c>
      <c r="C548" s="1" t="s">
        <v>300</v>
      </c>
      <c r="D548" s="1" t="s">
        <v>3006</v>
      </c>
      <c r="E548" s="1">
        <v>16300000</v>
      </c>
    </row>
    <row r="549" spans="1:5" ht="14.4" x14ac:dyDescent="0.3">
      <c r="A549" s="20" t="s">
        <v>6968</v>
      </c>
      <c r="B549" s="1" t="s">
        <v>264</v>
      </c>
      <c r="C549" s="1" t="s">
        <v>293</v>
      </c>
      <c r="D549" s="1" t="s">
        <v>3004</v>
      </c>
      <c r="E549" s="1">
        <v>22100000</v>
      </c>
    </row>
    <row r="550" spans="1:5" ht="14.4" x14ac:dyDescent="0.3">
      <c r="A550" s="20" t="s">
        <v>6969</v>
      </c>
      <c r="B550" s="1" t="s">
        <v>264</v>
      </c>
      <c r="C550" s="1" t="s">
        <v>293</v>
      </c>
      <c r="D550" s="1" t="s">
        <v>3003</v>
      </c>
      <c r="E550" s="1">
        <v>25800000</v>
      </c>
    </row>
    <row r="551" spans="1:5" ht="14.4" x14ac:dyDescent="0.3">
      <c r="A551" s="20" t="s">
        <v>6970</v>
      </c>
      <c r="B551" s="1" t="s">
        <v>264</v>
      </c>
      <c r="C551" s="1">
        <v>3008</v>
      </c>
      <c r="D551" s="1" t="s">
        <v>3002</v>
      </c>
      <c r="E551" s="1">
        <v>17600000</v>
      </c>
    </row>
    <row r="552" spans="1:5" ht="14.4" x14ac:dyDescent="0.3">
      <c r="A552" s="20" t="s">
        <v>6971</v>
      </c>
      <c r="B552" s="1" t="s">
        <v>264</v>
      </c>
      <c r="C552" s="1" t="s">
        <v>2899</v>
      </c>
      <c r="D552" s="1" t="s">
        <v>3001</v>
      </c>
      <c r="E552" s="1">
        <v>15100000</v>
      </c>
    </row>
    <row r="553" spans="1:5" ht="14.4" x14ac:dyDescent="0.3">
      <c r="A553" s="20" t="s">
        <v>6972</v>
      </c>
      <c r="B553" s="1" t="s">
        <v>327</v>
      </c>
      <c r="C553" s="1" t="s">
        <v>3147</v>
      </c>
      <c r="D553" s="1" t="s">
        <v>470</v>
      </c>
      <c r="E553" s="1">
        <v>5490000</v>
      </c>
    </row>
    <row r="554" spans="1:5" ht="14.4" x14ac:dyDescent="0.3">
      <c r="A554" s="20" t="s">
        <v>6973</v>
      </c>
      <c r="B554" s="1" t="s">
        <v>93</v>
      </c>
      <c r="C554" s="1" t="s">
        <v>3294</v>
      </c>
      <c r="D554" s="1" t="s">
        <v>3295</v>
      </c>
      <c r="E554" s="1">
        <v>33300000</v>
      </c>
    </row>
    <row r="555" spans="1:5" ht="14.4" x14ac:dyDescent="0.3">
      <c r="A555" s="20" t="s">
        <v>6974</v>
      </c>
      <c r="B555" s="1" t="s">
        <v>48</v>
      </c>
      <c r="C555" s="1" t="s">
        <v>3296</v>
      </c>
      <c r="D555" s="1" t="s">
        <v>3297</v>
      </c>
      <c r="E555" s="1">
        <v>9800000</v>
      </c>
    </row>
    <row r="556" spans="1:5" ht="14.4" x14ac:dyDescent="0.3">
      <c r="A556" s="20" t="s">
        <v>6975</v>
      </c>
      <c r="B556" s="1" t="s">
        <v>303</v>
      </c>
      <c r="C556" s="1" t="s">
        <v>311</v>
      </c>
      <c r="D556" s="1" t="s">
        <v>3298</v>
      </c>
      <c r="E556" s="1">
        <v>29200000</v>
      </c>
    </row>
    <row r="557" spans="1:5" ht="14.4" x14ac:dyDescent="0.3">
      <c r="A557" s="20" t="s">
        <v>6976</v>
      </c>
      <c r="B557" s="1" t="s">
        <v>93</v>
      </c>
      <c r="C557" s="1" t="s">
        <v>2919</v>
      </c>
      <c r="D557" s="1" t="s">
        <v>3299</v>
      </c>
      <c r="E557" s="1">
        <v>28000000</v>
      </c>
    </row>
    <row r="558" spans="1:5" ht="14.4" x14ac:dyDescent="0.3">
      <c r="A558" s="20" t="s">
        <v>6977</v>
      </c>
      <c r="B558" s="1" t="s">
        <v>2910</v>
      </c>
      <c r="C558" s="1" t="s">
        <v>206</v>
      </c>
      <c r="D558" s="1" t="s">
        <v>3300</v>
      </c>
      <c r="E558" s="1">
        <v>7880000</v>
      </c>
    </row>
    <row r="559" spans="1:5" ht="14.4" x14ac:dyDescent="0.3">
      <c r="A559" s="20" t="s">
        <v>6978</v>
      </c>
      <c r="B559" s="1" t="s">
        <v>242</v>
      </c>
      <c r="C559" s="1" t="s">
        <v>2921</v>
      </c>
      <c r="D559" s="1" t="s">
        <v>3301</v>
      </c>
      <c r="E559" s="1">
        <v>15200000</v>
      </c>
    </row>
    <row r="560" spans="1:5" ht="14.4" x14ac:dyDescent="0.3">
      <c r="A560" s="20" t="s">
        <v>6979</v>
      </c>
      <c r="B560" s="1" t="s">
        <v>72</v>
      </c>
      <c r="C560" s="1">
        <v>580</v>
      </c>
      <c r="D560" s="1" t="s">
        <v>3302</v>
      </c>
      <c r="E560" s="1">
        <v>8400000</v>
      </c>
    </row>
    <row r="561" spans="1:5" ht="14.4" x14ac:dyDescent="0.3">
      <c r="A561" s="20" t="s">
        <v>6980</v>
      </c>
      <c r="B561" s="1" t="s">
        <v>334</v>
      </c>
      <c r="C561" s="1" t="s">
        <v>2976</v>
      </c>
      <c r="D561" s="1" t="s">
        <v>445</v>
      </c>
      <c r="E561" s="1">
        <v>13400000</v>
      </c>
    </row>
    <row r="562" spans="1:5" ht="14.4" x14ac:dyDescent="0.3">
      <c r="A562" s="20" t="s">
        <v>6981</v>
      </c>
      <c r="B562" s="1" t="s">
        <v>242</v>
      </c>
      <c r="C562" s="1" t="s">
        <v>3303</v>
      </c>
      <c r="D562" s="1" t="s">
        <v>3304</v>
      </c>
      <c r="E562" s="1">
        <v>9900000</v>
      </c>
    </row>
    <row r="563" spans="1:5" ht="14.4" x14ac:dyDescent="0.3">
      <c r="A563" s="20" t="s">
        <v>6982</v>
      </c>
      <c r="B563" s="1" t="s">
        <v>157</v>
      </c>
      <c r="C563" s="1" t="s">
        <v>3305</v>
      </c>
      <c r="D563" s="1" t="s">
        <v>3306</v>
      </c>
      <c r="E563" s="1">
        <v>10200000</v>
      </c>
    </row>
    <row r="564" spans="1:5" ht="14.4" x14ac:dyDescent="0.3">
      <c r="A564" s="20" t="s">
        <v>6983</v>
      </c>
      <c r="B564" s="1" t="s">
        <v>264</v>
      </c>
      <c r="C564" s="1" t="s">
        <v>2913</v>
      </c>
      <c r="D564" s="1" t="s">
        <v>291</v>
      </c>
      <c r="E564" s="1">
        <v>22800000</v>
      </c>
    </row>
    <row r="565" spans="1:5" ht="14.4" x14ac:dyDescent="0.3">
      <c r="A565" s="20" t="s">
        <v>6984</v>
      </c>
      <c r="B565" s="1" t="s">
        <v>334</v>
      </c>
      <c r="C565" s="1" t="s">
        <v>3274</v>
      </c>
      <c r="D565" s="1" t="s">
        <v>3307</v>
      </c>
      <c r="E565" s="1">
        <v>21800000</v>
      </c>
    </row>
    <row r="566" spans="1:5" ht="14.4" x14ac:dyDescent="0.3">
      <c r="A566" s="20" t="s">
        <v>6985</v>
      </c>
      <c r="B566" s="1" t="s">
        <v>48</v>
      </c>
      <c r="C566" s="1" t="s">
        <v>3308</v>
      </c>
      <c r="D566" s="1" t="s">
        <v>3309</v>
      </c>
      <c r="E566" s="1">
        <v>11000000</v>
      </c>
    </row>
    <row r="567" spans="1:5" ht="14.4" x14ac:dyDescent="0.3">
      <c r="A567" s="20" t="s">
        <v>6986</v>
      </c>
      <c r="B567" s="1" t="s">
        <v>15</v>
      </c>
      <c r="C567" s="1" t="s">
        <v>2920</v>
      </c>
      <c r="D567" s="1" t="s">
        <v>469</v>
      </c>
      <c r="E567" s="1">
        <v>9100000</v>
      </c>
    </row>
    <row r="568" spans="1:5" ht="14.4" x14ac:dyDescent="0.3">
      <c r="A568" s="20" t="s">
        <v>6987</v>
      </c>
      <c r="B568" s="1" t="s">
        <v>30</v>
      </c>
      <c r="C568" s="1" t="s">
        <v>45</v>
      </c>
      <c r="D568" s="1" t="s">
        <v>3310</v>
      </c>
      <c r="E568" s="1">
        <v>12200000</v>
      </c>
    </row>
    <row r="569" spans="1:5" ht="14.4" x14ac:dyDescent="0.3">
      <c r="A569" s="20" t="s">
        <v>6988</v>
      </c>
      <c r="B569" s="1" t="s">
        <v>48</v>
      </c>
      <c r="C569" s="1" t="s">
        <v>3311</v>
      </c>
      <c r="D569" s="1" t="s">
        <v>3312</v>
      </c>
      <c r="E569" s="1">
        <v>6660000</v>
      </c>
    </row>
    <row r="570" spans="1:5" ht="14.4" x14ac:dyDescent="0.3">
      <c r="A570" s="20" t="s">
        <v>6989</v>
      </c>
      <c r="B570" s="1" t="s">
        <v>226</v>
      </c>
      <c r="C570" s="1" t="s">
        <v>3313</v>
      </c>
      <c r="D570" s="1" t="s">
        <v>3314</v>
      </c>
      <c r="E570" s="1">
        <v>9800000</v>
      </c>
    </row>
    <row r="571" spans="1:5" ht="14.4" x14ac:dyDescent="0.3">
      <c r="A571" s="20" t="s">
        <v>6990</v>
      </c>
      <c r="B571" s="1" t="s">
        <v>48</v>
      </c>
      <c r="C571" s="1" t="s">
        <v>3315</v>
      </c>
      <c r="D571" s="1" t="s">
        <v>3316</v>
      </c>
      <c r="E571" s="1">
        <v>21100000</v>
      </c>
    </row>
    <row r="572" spans="1:5" ht="14.4" x14ac:dyDescent="0.3">
      <c r="A572" s="20" t="s">
        <v>6991</v>
      </c>
      <c r="B572" s="1" t="s">
        <v>48</v>
      </c>
      <c r="C572" s="1" t="s">
        <v>3317</v>
      </c>
      <c r="D572" s="1" t="s">
        <v>3318</v>
      </c>
      <c r="E572" s="1">
        <v>9000000</v>
      </c>
    </row>
    <row r="573" spans="1:5" ht="14.4" x14ac:dyDescent="0.3">
      <c r="A573" s="20" t="s">
        <v>6992</v>
      </c>
      <c r="B573" s="1" t="s">
        <v>93</v>
      </c>
      <c r="C573" s="1" t="s">
        <v>131</v>
      </c>
      <c r="D573" s="1" t="s">
        <v>3319</v>
      </c>
      <c r="E573" s="1">
        <v>23200000</v>
      </c>
    </row>
    <row r="574" spans="1:5" ht="14.4" x14ac:dyDescent="0.3">
      <c r="A574" s="20" t="s">
        <v>6993</v>
      </c>
      <c r="B574" s="1" t="s">
        <v>327</v>
      </c>
      <c r="C574" s="1" t="s">
        <v>3320</v>
      </c>
      <c r="D574" s="1" t="s">
        <v>3321</v>
      </c>
      <c r="E574" s="1">
        <v>10500000</v>
      </c>
    </row>
    <row r="575" spans="1:5" ht="14.4" x14ac:dyDescent="0.3">
      <c r="A575" s="20" t="s">
        <v>6994</v>
      </c>
      <c r="B575" s="1" t="s">
        <v>242</v>
      </c>
      <c r="C575" s="1" t="s">
        <v>3322</v>
      </c>
      <c r="D575" s="1" t="s">
        <v>3323</v>
      </c>
      <c r="E575" s="1">
        <v>14300000</v>
      </c>
    </row>
    <row r="576" spans="1:5" ht="14.4" x14ac:dyDescent="0.3">
      <c r="A576" s="20" t="s">
        <v>6995</v>
      </c>
      <c r="B576" s="1" t="s">
        <v>30</v>
      </c>
      <c r="C576" s="1" t="s">
        <v>41</v>
      </c>
      <c r="D576" s="1" t="s">
        <v>462</v>
      </c>
      <c r="E576" s="1">
        <v>12600000</v>
      </c>
    </row>
    <row r="577" spans="1:5" ht="14.4" x14ac:dyDescent="0.3">
      <c r="A577" s="20" t="s">
        <v>6996</v>
      </c>
      <c r="B577" s="1" t="s">
        <v>167</v>
      </c>
      <c r="C577" s="1" t="s">
        <v>3324</v>
      </c>
      <c r="D577" s="1" t="s">
        <v>3325</v>
      </c>
      <c r="E577" s="1">
        <v>9800000</v>
      </c>
    </row>
    <row r="578" spans="1:5" ht="14.4" x14ac:dyDescent="0.3">
      <c r="A578" s="20" t="s">
        <v>6997</v>
      </c>
      <c r="B578" s="1" t="s">
        <v>2945</v>
      </c>
      <c r="C578" s="1" t="s">
        <v>2994</v>
      </c>
      <c r="D578" s="1" t="s">
        <v>466</v>
      </c>
      <c r="E578" s="1">
        <v>8500000</v>
      </c>
    </row>
    <row r="579" spans="1:5" ht="14.4" x14ac:dyDescent="0.3">
      <c r="A579" s="20" t="s">
        <v>6998</v>
      </c>
      <c r="B579" s="1" t="s">
        <v>2945</v>
      </c>
      <c r="C579" s="1" t="s">
        <v>2983</v>
      </c>
      <c r="D579" s="1" t="s">
        <v>3326</v>
      </c>
      <c r="E579" s="1">
        <v>7860000</v>
      </c>
    </row>
    <row r="580" spans="1:5" ht="14.4" x14ac:dyDescent="0.3">
      <c r="A580" s="20" t="s">
        <v>6999</v>
      </c>
      <c r="B580" s="1" t="s">
        <v>48</v>
      </c>
      <c r="C580" s="1" t="s">
        <v>3327</v>
      </c>
      <c r="D580" s="1" t="s">
        <v>463</v>
      </c>
      <c r="E580" s="1">
        <v>4860000</v>
      </c>
    </row>
    <row r="581" spans="1:5" ht="14.4" x14ac:dyDescent="0.3">
      <c r="A581" s="20" t="s">
        <v>7000</v>
      </c>
      <c r="B581" s="1" t="s">
        <v>2910</v>
      </c>
      <c r="C581" s="1" t="s">
        <v>2911</v>
      </c>
      <c r="D581" s="1" t="s">
        <v>3328</v>
      </c>
      <c r="E581" s="1">
        <v>8900000</v>
      </c>
    </row>
    <row r="582" spans="1:5" ht="14.4" x14ac:dyDescent="0.3">
      <c r="A582" s="20" t="s">
        <v>7001</v>
      </c>
      <c r="B582" s="1" t="s">
        <v>242</v>
      </c>
      <c r="C582" s="1" t="s">
        <v>246</v>
      </c>
      <c r="D582" s="1" t="s">
        <v>464</v>
      </c>
      <c r="E582" s="1">
        <v>16000000</v>
      </c>
    </row>
    <row r="583" spans="1:5" ht="14.4" x14ac:dyDescent="0.3">
      <c r="A583" s="20" t="s">
        <v>7002</v>
      </c>
      <c r="B583" s="1" t="s">
        <v>242</v>
      </c>
      <c r="C583" s="1" t="s">
        <v>2904</v>
      </c>
      <c r="D583" s="1" t="s">
        <v>259</v>
      </c>
      <c r="E583" s="1">
        <v>23100000</v>
      </c>
    </row>
    <row r="584" spans="1:5" ht="14.4" x14ac:dyDescent="0.3">
      <c r="A584" s="20" t="s">
        <v>7003</v>
      </c>
      <c r="B584" s="1" t="s">
        <v>195</v>
      </c>
      <c r="C584" s="1" t="s">
        <v>3074</v>
      </c>
      <c r="D584" s="1" t="s">
        <v>3329</v>
      </c>
      <c r="E584" s="1">
        <v>9000000</v>
      </c>
    </row>
    <row r="585" spans="1:5" ht="14.4" x14ac:dyDescent="0.3">
      <c r="A585" s="20" t="s">
        <v>7004</v>
      </c>
      <c r="B585" s="1" t="s">
        <v>264</v>
      </c>
      <c r="C585" s="1" t="s">
        <v>2896</v>
      </c>
      <c r="D585" s="1" t="s">
        <v>3330</v>
      </c>
      <c r="E585" s="1">
        <v>19000000</v>
      </c>
    </row>
    <row r="586" spans="1:5" ht="14.4" x14ac:dyDescent="0.3">
      <c r="A586" s="20" t="s">
        <v>7005</v>
      </c>
      <c r="B586" s="1" t="s">
        <v>93</v>
      </c>
      <c r="C586" s="1" t="s">
        <v>110</v>
      </c>
      <c r="D586" s="1" t="s">
        <v>112</v>
      </c>
      <c r="E586" s="1">
        <v>15100000</v>
      </c>
    </row>
    <row r="587" spans="1:5" ht="14.4" x14ac:dyDescent="0.3">
      <c r="A587" s="20" t="s">
        <v>7006</v>
      </c>
      <c r="B587" s="1" t="s">
        <v>93</v>
      </c>
      <c r="C587" s="1" t="s">
        <v>3271</v>
      </c>
      <c r="D587" s="1" t="s">
        <v>3331</v>
      </c>
      <c r="E587" s="1">
        <v>24100000</v>
      </c>
    </row>
    <row r="588" spans="1:5" ht="14.4" x14ac:dyDescent="0.3">
      <c r="A588" s="20" t="s">
        <v>7007</v>
      </c>
      <c r="B588" s="1" t="s">
        <v>2910</v>
      </c>
      <c r="C588" s="1" t="s">
        <v>3332</v>
      </c>
      <c r="D588" s="1" t="s">
        <v>3333</v>
      </c>
      <c r="E588" s="1">
        <v>17100000</v>
      </c>
    </row>
    <row r="589" spans="1:5" ht="14.4" x14ac:dyDescent="0.3">
      <c r="A589" s="20" t="s">
        <v>7008</v>
      </c>
      <c r="B589" s="1" t="s">
        <v>151</v>
      </c>
      <c r="C589" s="1" t="s">
        <v>3334</v>
      </c>
      <c r="D589" s="1" t="s">
        <v>3335</v>
      </c>
      <c r="E589" s="1">
        <v>6240000</v>
      </c>
    </row>
    <row r="590" spans="1:5" ht="14.4" x14ac:dyDescent="0.3">
      <c r="A590" s="20" t="s">
        <v>7009</v>
      </c>
      <c r="B590" s="1" t="s">
        <v>93</v>
      </c>
      <c r="C590" s="1" t="s">
        <v>3271</v>
      </c>
      <c r="D590" s="1" t="s">
        <v>454</v>
      </c>
      <c r="E590" s="1">
        <v>21100000</v>
      </c>
    </row>
    <row r="591" spans="1:5" ht="14.4" x14ac:dyDescent="0.3">
      <c r="A591" s="20" t="s">
        <v>7010</v>
      </c>
      <c r="B591" s="1" t="s">
        <v>93</v>
      </c>
      <c r="C591" s="1" t="s">
        <v>3271</v>
      </c>
      <c r="D591" s="1" t="s">
        <v>96</v>
      </c>
      <c r="E591" s="1">
        <v>28400000</v>
      </c>
    </row>
    <row r="592" spans="1:5" ht="14.4" x14ac:dyDescent="0.3">
      <c r="A592" s="20" t="s">
        <v>7011</v>
      </c>
      <c r="B592" s="1" t="s">
        <v>242</v>
      </c>
      <c r="C592" s="1" t="s">
        <v>251</v>
      </c>
      <c r="D592" s="1" t="s">
        <v>3336</v>
      </c>
      <c r="E592" s="1">
        <v>17300000</v>
      </c>
    </row>
    <row r="593" spans="1:5" ht="14.4" x14ac:dyDescent="0.3">
      <c r="A593" s="20" t="s">
        <v>7012</v>
      </c>
      <c r="B593" s="1" t="s">
        <v>327</v>
      </c>
      <c r="C593" s="1" t="s">
        <v>3337</v>
      </c>
      <c r="D593" s="1" t="s">
        <v>2889</v>
      </c>
      <c r="E593" s="1">
        <v>9800000</v>
      </c>
    </row>
    <row r="594" spans="1:5" ht="14.4" x14ac:dyDescent="0.3">
      <c r="A594" s="20" t="s">
        <v>7013</v>
      </c>
      <c r="B594" s="1" t="s">
        <v>48</v>
      </c>
      <c r="C594" s="1" t="s">
        <v>52</v>
      </c>
      <c r="D594" s="1" t="s">
        <v>3338</v>
      </c>
      <c r="E594" s="1">
        <v>57000000</v>
      </c>
    </row>
    <row r="595" spans="1:5" ht="14.4" x14ac:dyDescent="0.3">
      <c r="A595" s="20" t="s">
        <v>7014</v>
      </c>
      <c r="B595" s="1" t="s">
        <v>242</v>
      </c>
      <c r="C595" s="1" t="s">
        <v>2904</v>
      </c>
      <c r="D595" s="1" t="s">
        <v>3339</v>
      </c>
      <c r="E595" s="1">
        <v>30500000</v>
      </c>
    </row>
    <row r="596" spans="1:5" ht="14.4" x14ac:dyDescent="0.3">
      <c r="A596" s="20" t="s">
        <v>7015</v>
      </c>
      <c r="B596" s="1" t="s">
        <v>242</v>
      </c>
      <c r="C596" s="1" t="s">
        <v>254</v>
      </c>
      <c r="D596" s="1" t="s">
        <v>3340</v>
      </c>
      <c r="E596" s="1">
        <v>9900000</v>
      </c>
    </row>
    <row r="597" spans="1:5" ht="14.4" x14ac:dyDescent="0.3">
      <c r="A597" s="20" t="s">
        <v>7016</v>
      </c>
      <c r="B597" s="1" t="s">
        <v>157</v>
      </c>
      <c r="C597" s="1" t="s">
        <v>164</v>
      </c>
      <c r="D597" s="1" t="s">
        <v>3341</v>
      </c>
      <c r="E597" s="1">
        <v>12500000</v>
      </c>
    </row>
    <row r="598" spans="1:5" ht="14.4" x14ac:dyDescent="0.3">
      <c r="A598" s="20" t="s">
        <v>7017</v>
      </c>
      <c r="B598" s="1" t="s">
        <v>327</v>
      </c>
      <c r="C598" s="1" t="s">
        <v>3342</v>
      </c>
      <c r="D598" s="1" t="s">
        <v>3343</v>
      </c>
      <c r="E598" s="1">
        <v>17500000</v>
      </c>
    </row>
    <row r="599" spans="1:5" ht="14.4" x14ac:dyDescent="0.3">
      <c r="A599" s="20" t="s">
        <v>7018</v>
      </c>
      <c r="B599" s="1" t="s">
        <v>48</v>
      </c>
      <c r="C599" s="1" t="s">
        <v>3344</v>
      </c>
      <c r="D599" s="1" t="s">
        <v>3345</v>
      </c>
      <c r="E599" s="1">
        <v>24500000</v>
      </c>
    </row>
    <row r="600" spans="1:5" ht="14.4" x14ac:dyDescent="0.3">
      <c r="A600" s="20" t="s">
        <v>7019</v>
      </c>
      <c r="B600" s="1" t="s">
        <v>93</v>
      </c>
      <c r="C600" s="1" t="s">
        <v>131</v>
      </c>
      <c r="D600" s="1" t="s">
        <v>3346</v>
      </c>
      <c r="E600" s="1">
        <v>29900000</v>
      </c>
    </row>
    <row r="601" spans="1:5" ht="14.4" x14ac:dyDescent="0.3">
      <c r="A601" s="20" t="s">
        <v>7020</v>
      </c>
      <c r="B601" s="1" t="s">
        <v>167</v>
      </c>
      <c r="C601" s="1" t="s">
        <v>3347</v>
      </c>
      <c r="D601" s="1" t="s">
        <v>3348</v>
      </c>
      <c r="E601" s="1">
        <v>14300000</v>
      </c>
    </row>
    <row r="602" spans="1:5" ht="14.4" x14ac:dyDescent="0.3">
      <c r="A602" s="20" t="s">
        <v>7021</v>
      </c>
      <c r="B602" s="1" t="s">
        <v>30</v>
      </c>
      <c r="C602" s="1" t="s">
        <v>41</v>
      </c>
      <c r="D602" s="1" t="s">
        <v>459</v>
      </c>
      <c r="E602" s="1">
        <v>13100000</v>
      </c>
    </row>
    <row r="603" spans="1:5" ht="14.4" x14ac:dyDescent="0.3">
      <c r="A603" s="20" t="s">
        <v>7022</v>
      </c>
      <c r="B603" s="1" t="s">
        <v>229</v>
      </c>
      <c r="C603" s="1" t="s">
        <v>3349</v>
      </c>
      <c r="D603" s="1" t="s">
        <v>2889</v>
      </c>
      <c r="E603" s="1">
        <v>12100000</v>
      </c>
    </row>
    <row r="604" spans="1:5" ht="14.4" x14ac:dyDescent="0.3">
      <c r="A604" s="20" t="s">
        <v>7023</v>
      </c>
      <c r="B604" s="1" t="s">
        <v>181</v>
      </c>
      <c r="C604" s="1" t="s">
        <v>2941</v>
      </c>
      <c r="D604" s="1" t="s">
        <v>3350</v>
      </c>
      <c r="E604" s="1">
        <v>7100000</v>
      </c>
    </row>
    <row r="605" spans="1:5" ht="14.4" x14ac:dyDescent="0.3">
      <c r="A605" s="20" t="s">
        <v>7024</v>
      </c>
      <c r="B605" s="1" t="s">
        <v>2945</v>
      </c>
      <c r="C605" s="1" t="s">
        <v>2983</v>
      </c>
      <c r="D605" s="1" t="s">
        <v>3351</v>
      </c>
      <c r="E605" s="1">
        <v>8300000</v>
      </c>
    </row>
    <row r="606" spans="1:5" ht="14.4" x14ac:dyDescent="0.3">
      <c r="A606" s="20" t="s">
        <v>7025</v>
      </c>
      <c r="B606" s="1" t="s">
        <v>2906</v>
      </c>
      <c r="C606" s="1" t="s">
        <v>2907</v>
      </c>
      <c r="D606" s="1" t="s">
        <v>3352</v>
      </c>
      <c r="E606" s="1">
        <v>6400000</v>
      </c>
    </row>
    <row r="607" spans="1:5" ht="14.4" x14ac:dyDescent="0.3">
      <c r="A607" s="20" t="s">
        <v>7026</v>
      </c>
      <c r="B607" s="1" t="s">
        <v>317</v>
      </c>
      <c r="C607" s="1" t="s">
        <v>2949</v>
      </c>
      <c r="D607" s="1" t="s">
        <v>3353</v>
      </c>
      <c r="E607" s="1">
        <v>15200000</v>
      </c>
    </row>
    <row r="608" spans="1:5" ht="14.4" x14ac:dyDescent="0.3">
      <c r="A608" s="20" t="s">
        <v>7027</v>
      </c>
      <c r="B608" s="1" t="s">
        <v>264</v>
      </c>
      <c r="C608" s="1" t="s">
        <v>2897</v>
      </c>
      <c r="D608" s="1" t="s">
        <v>3354</v>
      </c>
      <c r="E608" s="1">
        <v>9100000</v>
      </c>
    </row>
    <row r="609" spans="1:5" ht="14.4" x14ac:dyDescent="0.3">
      <c r="A609" s="20" t="s">
        <v>7028</v>
      </c>
      <c r="B609" s="1" t="s">
        <v>264</v>
      </c>
      <c r="C609" s="1" t="s">
        <v>293</v>
      </c>
      <c r="D609" s="1" t="s">
        <v>3355</v>
      </c>
      <c r="E609" s="1">
        <v>13700000</v>
      </c>
    </row>
    <row r="610" spans="1:5" ht="14.4" x14ac:dyDescent="0.3">
      <c r="A610" s="20" t="s">
        <v>7029</v>
      </c>
      <c r="B610" s="1" t="s">
        <v>229</v>
      </c>
      <c r="C610" s="1" t="s">
        <v>2994</v>
      </c>
      <c r="D610" s="1" t="s">
        <v>2889</v>
      </c>
      <c r="E610" s="1">
        <v>15500000</v>
      </c>
    </row>
    <row r="611" spans="1:5" ht="14.4" x14ac:dyDescent="0.3">
      <c r="A611" s="20" t="s">
        <v>7030</v>
      </c>
      <c r="B611" s="1" t="s">
        <v>2910</v>
      </c>
      <c r="C611" s="1" t="s">
        <v>2999</v>
      </c>
      <c r="D611" s="1" t="s">
        <v>3000</v>
      </c>
      <c r="E611" s="1">
        <v>20300000</v>
      </c>
    </row>
    <row r="612" spans="1:5" ht="14.4" x14ac:dyDescent="0.3">
      <c r="A612" s="20" t="s">
        <v>7031</v>
      </c>
      <c r="B612" s="1" t="s">
        <v>2910</v>
      </c>
      <c r="C612" s="1" t="s">
        <v>2911</v>
      </c>
      <c r="D612" s="1" t="s">
        <v>2998</v>
      </c>
      <c r="E612" s="1">
        <v>10800000</v>
      </c>
    </row>
    <row r="613" spans="1:5" ht="14.4" x14ac:dyDescent="0.3">
      <c r="A613" s="20" t="s">
        <v>7032</v>
      </c>
      <c r="B613" s="1" t="s">
        <v>264</v>
      </c>
      <c r="C613" s="1" t="s">
        <v>2996</v>
      </c>
      <c r="D613" s="1" t="s">
        <v>2997</v>
      </c>
      <c r="E613" s="1">
        <v>16900000</v>
      </c>
    </row>
    <row r="614" spans="1:5" ht="14.4" x14ac:dyDescent="0.3">
      <c r="A614" s="20" t="s">
        <v>7033</v>
      </c>
      <c r="B614" s="1" t="s">
        <v>93</v>
      </c>
      <c r="C614" s="1" t="s">
        <v>2888</v>
      </c>
      <c r="D614" s="1" t="s">
        <v>577</v>
      </c>
      <c r="E614" s="1">
        <v>29700000</v>
      </c>
    </row>
    <row r="615" spans="1:5" ht="14.4" x14ac:dyDescent="0.3">
      <c r="A615" s="20" t="s">
        <v>7034</v>
      </c>
      <c r="B615" s="1" t="s">
        <v>30</v>
      </c>
      <c r="C615" s="1" t="s">
        <v>41</v>
      </c>
      <c r="D615" s="1" t="s">
        <v>608</v>
      </c>
      <c r="E615" s="1">
        <v>11600000</v>
      </c>
    </row>
    <row r="616" spans="1:5" ht="14.4" x14ac:dyDescent="0.3">
      <c r="A616" s="20" t="s">
        <v>7035</v>
      </c>
      <c r="B616" s="1" t="s">
        <v>30</v>
      </c>
      <c r="C616" s="1" t="s">
        <v>41</v>
      </c>
      <c r="D616" s="1" t="s">
        <v>608</v>
      </c>
      <c r="E616" s="1">
        <v>11600000</v>
      </c>
    </row>
    <row r="617" spans="1:5" ht="14.4" x14ac:dyDescent="0.3">
      <c r="A617" s="20" t="s">
        <v>7036</v>
      </c>
      <c r="B617" s="1" t="s">
        <v>264</v>
      </c>
      <c r="C617" s="1">
        <v>3008</v>
      </c>
      <c r="D617" s="1" t="s">
        <v>273</v>
      </c>
      <c r="E617" s="1">
        <v>11800000</v>
      </c>
    </row>
    <row r="618" spans="1:5" ht="14.4" x14ac:dyDescent="0.3">
      <c r="A618" s="20" t="s">
        <v>7037</v>
      </c>
      <c r="B618" s="1" t="s">
        <v>2910</v>
      </c>
      <c r="C618" s="1" t="s">
        <v>215</v>
      </c>
      <c r="D618" s="1" t="s">
        <v>550</v>
      </c>
      <c r="E618" s="1">
        <v>17700000</v>
      </c>
    </row>
    <row r="619" spans="1:5" ht="14.4" x14ac:dyDescent="0.3">
      <c r="A619" s="20" t="s">
        <v>7038</v>
      </c>
      <c r="B619" s="1" t="s">
        <v>2945</v>
      </c>
      <c r="C619" s="1" t="s">
        <v>2994</v>
      </c>
      <c r="D619" s="1" t="s">
        <v>622</v>
      </c>
      <c r="E619" s="1">
        <v>7320000</v>
      </c>
    </row>
    <row r="620" spans="1:5" ht="14.4" x14ac:dyDescent="0.3">
      <c r="A620" s="20" t="s">
        <v>7039</v>
      </c>
      <c r="B620" s="1" t="s">
        <v>48</v>
      </c>
      <c r="C620" s="1" t="s">
        <v>2993</v>
      </c>
      <c r="D620" s="1" t="s">
        <v>51</v>
      </c>
      <c r="E620" s="1">
        <v>9100000</v>
      </c>
    </row>
    <row r="621" spans="1:5" ht="14.4" x14ac:dyDescent="0.3">
      <c r="A621" s="20" t="s">
        <v>7040</v>
      </c>
      <c r="B621" s="1" t="s">
        <v>264</v>
      </c>
      <c r="C621" s="1" t="s">
        <v>2899</v>
      </c>
      <c r="D621" s="1" t="s">
        <v>283</v>
      </c>
      <c r="E621" s="1">
        <v>18500000</v>
      </c>
    </row>
    <row r="622" spans="1:5" ht="14.4" x14ac:dyDescent="0.3">
      <c r="A622" s="20" t="s">
        <v>7041</v>
      </c>
      <c r="B622" s="1" t="s">
        <v>264</v>
      </c>
      <c r="C622" s="1" t="s">
        <v>2917</v>
      </c>
      <c r="D622" s="1" t="s">
        <v>702</v>
      </c>
      <c r="E622" s="1">
        <v>28400000</v>
      </c>
    </row>
    <row r="623" spans="1:5" ht="14.4" x14ac:dyDescent="0.3">
      <c r="A623" s="20" t="s">
        <v>7042</v>
      </c>
      <c r="B623" s="1" t="s">
        <v>242</v>
      </c>
      <c r="C623" s="1" t="s">
        <v>254</v>
      </c>
      <c r="D623" s="1" t="s">
        <v>3356</v>
      </c>
      <c r="E623" s="1">
        <v>9700000</v>
      </c>
    </row>
    <row r="624" spans="1:5" ht="14.4" x14ac:dyDescent="0.3">
      <c r="A624" s="20" t="s">
        <v>7043</v>
      </c>
      <c r="B624" s="1" t="s">
        <v>242</v>
      </c>
      <c r="C624" s="1" t="s">
        <v>3141</v>
      </c>
      <c r="D624" s="1" t="s">
        <v>3356</v>
      </c>
      <c r="E624" s="1">
        <v>9500000</v>
      </c>
    </row>
    <row r="625" spans="1:5" ht="14.4" x14ac:dyDescent="0.3">
      <c r="A625" s="20" t="s">
        <v>7044</v>
      </c>
      <c r="B625" s="1" t="s">
        <v>93</v>
      </c>
      <c r="C625" s="1" t="s">
        <v>97</v>
      </c>
      <c r="D625" s="1" t="s">
        <v>663</v>
      </c>
      <c r="E625" s="1">
        <v>8000000</v>
      </c>
    </row>
    <row r="626" spans="1:5" ht="14.4" x14ac:dyDescent="0.3">
      <c r="A626" s="20" t="s">
        <v>7045</v>
      </c>
      <c r="B626" s="1" t="s">
        <v>195</v>
      </c>
      <c r="C626" s="1" t="s">
        <v>198</v>
      </c>
      <c r="D626" s="1" t="s">
        <v>200</v>
      </c>
      <c r="E626" s="1">
        <v>11600000</v>
      </c>
    </row>
    <row r="627" spans="1:5" ht="14.4" x14ac:dyDescent="0.3">
      <c r="A627" s="20" t="s">
        <v>7046</v>
      </c>
      <c r="B627" s="1" t="s">
        <v>264</v>
      </c>
      <c r="C627" s="1" t="s">
        <v>2899</v>
      </c>
      <c r="D627" s="1" t="s">
        <v>791</v>
      </c>
      <c r="E627" s="1">
        <v>17400000</v>
      </c>
    </row>
    <row r="628" spans="1:5" ht="14.4" x14ac:dyDescent="0.3">
      <c r="A628" s="20" t="s">
        <v>7047</v>
      </c>
      <c r="B628" s="1" t="s">
        <v>30</v>
      </c>
      <c r="C628" s="1" t="s">
        <v>2987</v>
      </c>
      <c r="D628" s="1" t="s">
        <v>1788</v>
      </c>
      <c r="E628" s="1">
        <v>8400000</v>
      </c>
    </row>
    <row r="629" spans="1:5" ht="14.4" x14ac:dyDescent="0.3">
      <c r="A629" s="20" t="s">
        <v>7048</v>
      </c>
      <c r="B629" s="1" t="s">
        <v>188</v>
      </c>
      <c r="C629" s="1">
        <v>7</v>
      </c>
      <c r="D629" s="1" t="s">
        <v>569</v>
      </c>
      <c r="E629" s="1">
        <v>17500000</v>
      </c>
    </row>
    <row r="630" spans="1:5" ht="14.4" x14ac:dyDescent="0.3">
      <c r="A630" s="20" t="s">
        <v>7049</v>
      </c>
      <c r="B630" s="1" t="s">
        <v>93</v>
      </c>
      <c r="C630" s="1" t="s">
        <v>2919</v>
      </c>
      <c r="D630" s="1" t="s">
        <v>1082</v>
      </c>
      <c r="E630" s="1">
        <v>36700000</v>
      </c>
    </row>
    <row r="631" spans="1:5" ht="14.4" x14ac:dyDescent="0.3">
      <c r="A631" s="20" t="s">
        <v>7050</v>
      </c>
      <c r="B631" s="1" t="s">
        <v>264</v>
      </c>
      <c r="C631" s="1" t="s">
        <v>2897</v>
      </c>
      <c r="D631" s="1" t="s">
        <v>536</v>
      </c>
      <c r="E631" s="1">
        <v>9500000</v>
      </c>
    </row>
    <row r="632" spans="1:5" ht="14.4" x14ac:dyDescent="0.3">
      <c r="A632" s="20" t="s">
        <v>7051</v>
      </c>
      <c r="B632" s="1" t="s">
        <v>339</v>
      </c>
      <c r="C632" s="1" t="s">
        <v>2992</v>
      </c>
      <c r="D632" s="1" t="s">
        <v>592</v>
      </c>
      <c r="E632" s="1">
        <v>10400000</v>
      </c>
    </row>
    <row r="633" spans="1:5" ht="14.4" x14ac:dyDescent="0.3">
      <c r="A633" s="20" t="s">
        <v>7052</v>
      </c>
      <c r="B633" s="1" t="s">
        <v>242</v>
      </c>
      <c r="C633" s="1" t="s">
        <v>2988</v>
      </c>
      <c r="D633" s="1" t="s">
        <v>987</v>
      </c>
      <c r="E633" s="1">
        <v>22200000</v>
      </c>
    </row>
    <row r="634" spans="1:5" ht="14.4" x14ac:dyDescent="0.3">
      <c r="A634" s="20" t="s">
        <v>7053</v>
      </c>
      <c r="B634" s="1" t="s">
        <v>30</v>
      </c>
      <c r="C634" s="1" t="s">
        <v>2987</v>
      </c>
      <c r="D634" s="1" t="s">
        <v>556</v>
      </c>
      <c r="E634" s="1">
        <v>9000000</v>
      </c>
    </row>
    <row r="635" spans="1:5" ht="14.4" x14ac:dyDescent="0.3">
      <c r="A635" s="20" t="s">
        <v>7054</v>
      </c>
      <c r="B635" s="1" t="s">
        <v>2905</v>
      </c>
      <c r="C635" s="1" t="s">
        <v>2986</v>
      </c>
      <c r="D635" s="1" t="s">
        <v>639</v>
      </c>
      <c r="E635" s="1">
        <v>17100000</v>
      </c>
    </row>
    <row r="636" spans="1:5" ht="14.4" x14ac:dyDescent="0.3">
      <c r="A636" s="20" t="s">
        <v>7055</v>
      </c>
      <c r="B636" s="1" t="s">
        <v>264</v>
      </c>
      <c r="C636" s="1">
        <v>3008</v>
      </c>
      <c r="D636" s="1" t="s">
        <v>280</v>
      </c>
      <c r="E636" s="1">
        <v>16100000</v>
      </c>
    </row>
    <row r="637" spans="1:5" ht="14.4" x14ac:dyDescent="0.3">
      <c r="A637" s="20" t="s">
        <v>7056</v>
      </c>
      <c r="B637" s="1" t="s">
        <v>2945</v>
      </c>
      <c r="C637" s="1" t="s">
        <v>2983</v>
      </c>
      <c r="D637" s="1" t="s">
        <v>545</v>
      </c>
      <c r="E637" s="1">
        <v>8100000</v>
      </c>
    </row>
    <row r="638" spans="1:5" ht="14.4" x14ac:dyDescent="0.3">
      <c r="A638" s="20" t="s">
        <v>7057</v>
      </c>
      <c r="B638" s="1" t="s">
        <v>30</v>
      </c>
      <c r="C638" s="1" t="s">
        <v>2908</v>
      </c>
      <c r="D638" s="1" t="s">
        <v>542</v>
      </c>
      <c r="E638" s="1">
        <v>6880000</v>
      </c>
    </row>
    <row r="639" spans="1:5" ht="14.4" x14ac:dyDescent="0.3">
      <c r="A639" s="20" t="s">
        <v>7058</v>
      </c>
      <c r="B639" s="1" t="s">
        <v>264</v>
      </c>
      <c r="C639" s="1" t="s">
        <v>2899</v>
      </c>
      <c r="D639" s="1" t="s">
        <v>279</v>
      </c>
      <c r="E639" s="1">
        <v>14400000</v>
      </c>
    </row>
    <row r="640" spans="1:5" ht="14.4" x14ac:dyDescent="0.3">
      <c r="A640" s="20" t="s">
        <v>7059</v>
      </c>
      <c r="B640" s="1" t="s">
        <v>93</v>
      </c>
      <c r="C640" s="1" t="s">
        <v>113</v>
      </c>
      <c r="D640" s="1" t="s">
        <v>115</v>
      </c>
      <c r="E640" s="1">
        <v>29900000</v>
      </c>
    </row>
    <row r="641" spans="1:5" ht="14.4" x14ac:dyDescent="0.3">
      <c r="A641" s="20" t="s">
        <v>7060</v>
      </c>
      <c r="B641" s="1" t="s">
        <v>264</v>
      </c>
      <c r="C641" s="1" t="s">
        <v>2913</v>
      </c>
      <c r="D641" s="1" t="s">
        <v>981</v>
      </c>
      <c r="E641" s="1">
        <v>22200000</v>
      </c>
    </row>
    <row r="642" spans="1:5" ht="14.4" x14ac:dyDescent="0.3">
      <c r="A642" s="20" t="s">
        <v>7061</v>
      </c>
      <c r="B642" s="1" t="s">
        <v>242</v>
      </c>
      <c r="C642" s="1" t="s">
        <v>3141</v>
      </c>
      <c r="D642" s="1" t="s">
        <v>578</v>
      </c>
      <c r="E642" s="1">
        <v>12900000</v>
      </c>
    </row>
    <row r="643" spans="1:5" ht="14.4" x14ac:dyDescent="0.3">
      <c r="A643" s="20" t="s">
        <v>7062</v>
      </c>
      <c r="B643" s="1" t="s">
        <v>264</v>
      </c>
      <c r="C643" s="1">
        <v>308</v>
      </c>
      <c r="D643" s="1" t="s">
        <v>1267</v>
      </c>
      <c r="E643" s="1">
        <v>10700000</v>
      </c>
    </row>
    <row r="644" spans="1:5" ht="14.4" x14ac:dyDescent="0.3">
      <c r="A644" s="20" t="s">
        <v>7063</v>
      </c>
      <c r="B644" s="1" t="s">
        <v>2910</v>
      </c>
      <c r="C644" s="1" t="s">
        <v>2999</v>
      </c>
      <c r="D644" s="1" t="s">
        <v>3357</v>
      </c>
      <c r="E644" s="1">
        <v>16700000</v>
      </c>
    </row>
    <row r="645" spans="1:5" ht="14.4" x14ac:dyDescent="0.3">
      <c r="A645" s="20" t="s">
        <v>7064</v>
      </c>
      <c r="B645" s="1" t="s">
        <v>64</v>
      </c>
      <c r="C645" s="1" t="s">
        <v>3358</v>
      </c>
      <c r="D645" s="1" t="s">
        <v>3359</v>
      </c>
      <c r="E645" s="1">
        <v>8400000</v>
      </c>
    </row>
    <row r="646" spans="1:5" ht="14.4" x14ac:dyDescent="0.3">
      <c r="A646" s="20" t="s">
        <v>7065</v>
      </c>
      <c r="B646" s="1" t="s">
        <v>264</v>
      </c>
      <c r="C646" s="1">
        <v>5008</v>
      </c>
      <c r="D646" s="1" t="s">
        <v>2636</v>
      </c>
      <c r="E646" s="1">
        <v>17100000</v>
      </c>
    </row>
    <row r="647" spans="1:5" ht="14.4" x14ac:dyDescent="0.3">
      <c r="A647" s="20" t="s">
        <v>7066</v>
      </c>
      <c r="B647" s="1" t="s">
        <v>93</v>
      </c>
      <c r="C647" s="1" t="s">
        <v>113</v>
      </c>
      <c r="D647" s="1" t="s">
        <v>3360</v>
      </c>
      <c r="E647" s="1">
        <v>17700000</v>
      </c>
    </row>
    <row r="648" spans="1:5" ht="14.4" x14ac:dyDescent="0.3">
      <c r="A648" s="20" t="s">
        <v>7067</v>
      </c>
      <c r="B648" s="1" t="s">
        <v>242</v>
      </c>
      <c r="C648" s="1" t="s">
        <v>3094</v>
      </c>
      <c r="D648" s="1" t="s">
        <v>405</v>
      </c>
      <c r="E648" s="1">
        <v>13400000</v>
      </c>
    </row>
    <row r="649" spans="1:5" ht="14.4" x14ac:dyDescent="0.3">
      <c r="A649" s="20" t="s">
        <v>7068</v>
      </c>
      <c r="B649" s="1" t="s">
        <v>2910</v>
      </c>
      <c r="C649" s="1" t="s">
        <v>2935</v>
      </c>
      <c r="D649" s="1" t="s">
        <v>460</v>
      </c>
      <c r="E649" s="1">
        <v>12200000</v>
      </c>
    </row>
    <row r="650" spans="1:5" ht="14.4" x14ac:dyDescent="0.3">
      <c r="A650" s="20" t="s">
        <v>7069</v>
      </c>
      <c r="B650" s="1" t="s">
        <v>2910</v>
      </c>
      <c r="C650" s="1" t="s">
        <v>3242</v>
      </c>
      <c r="D650" s="1" t="s">
        <v>873</v>
      </c>
      <c r="E650" s="1">
        <v>17700000</v>
      </c>
    </row>
    <row r="651" spans="1:5" ht="14.4" x14ac:dyDescent="0.3">
      <c r="A651" s="20" t="s">
        <v>7070</v>
      </c>
      <c r="B651" s="1" t="s">
        <v>242</v>
      </c>
      <c r="C651" s="1" t="s">
        <v>251</v>
      </c>
      <c r="D651" s="1" t="s">
        <v>253</v>
      </c>
      <c r="E651" s="1">
        <v>11800000</v>
      </c>
    </row>
    <row r="652" spans="1:5" ht="14.4" x14ac:dyDescent="0.3">
      <c r="A652" s="20" t="s">
        <v>7071</v>
      </c>
      <c r="B652" s="1" t="s">
        <v>2906</v>
      </c>
      <c r="C652" s="1" t="s">
        <v>2907</v>
      </c>
      <c r="D652" s="1" t="s">
        <v>3361</v>
      </c>
      <c r="E652" s="1">
        <v>8600000</v>
      </c>
    </row>
    <row r="653" spans="1:5" ht="14.4" x14ac:dyDescent="0.3">
      <c r="A653" s="20" t="s">
        <v>7072</v>
      </c>
      <c r="B653" s="1" t="s">
        <v>3362</v>
      </c>
      <c r="C653" s="1" t="s">
        <v>3363</v>
      </c>
      <c r="D653" s="1" t="s">
        <v>3364</v>
      </c>
      <c r="E653" s="1">
        <v>9500000</v>
      </c>
    </row>
    <row r="654" spans="1:5" ht="14.4" x14ac:dyDescent="0.3">
      <c r="A654" s="20" t="s">
        <v>7073</v>
      </c>
      <c r="B654" s="1" t="s">
        <v>2910</v>
      </c>
      <c r="C654" s="1" t="s">
        <v>218</v>
      </c>
      <c r="D654" s="1" t="s">
        <v>3365</v>
      </c>
      <c r="E654" s="1">
        <v>20600000</v>
      </c>
    </row>
    <row r="655" spans="1:5" ht="14.4" x14ac:dyDescent="0.3">
      <c r="A655" s="20" t="s">
        <v>7074</v>
      </c>
      <c r="B655" s="1" t="s">
        <v>15</v>
      </c>
      <c r="C655" s="1" t="s">
        <v>2920</v>
      </c>
      <c r="D655" s="1" t="s">
        <v>3366</v>
      </c>
      <c r="E655" s="1">
        <v>9200000</v>
      </c>
    </row>
    <row r="656" spans="1:5" ht="14.4" x14ac:dyDescent="0.3">
      <c r="A656" s="20" t="s">
        <v>7075</v>
      </c>
      <c r="B656" s="1" t="s">
        <v>3367</v>
      </c>
      <c r="C656" s="1" t="s">
        <v>3368</v>
      </c>
      <c r="D656" s="1" t="s">
        <v>3369</v>
      </c>
      <c r="E656" s="1">
        <v>10900000</v>
      </c>
    </row>
    <row r="657" spans="1:5" ht="14.4" x14ac:dyDescent="0.3">
      <c r="A657" s="20" t="s">
        <v>7076</v>
      </c>
      <c r="B657" s="1" t="s">
        <v>93</v>
      </c>
      <c r="C657" s="1" t="s">
        <v>2888</v>
      </c>
      <c r="D657" s="1" t="s">
        <v>3370</v>
      </c>
      <c r="E657" s="1">
        <v>28000000</v>
      </c>
    </row>
    <row r="658" spans="1:5" ht="14.4" x14ac:dyDescent="0.3">
      <c r="A658" s="20" t="s">
        <v>7077</v>
      </c>
      <c r="B658" s="1" t="s">
        <v>2906</v>
      </c>
      <c r="C658" s="1" t="s">
        <v>3371</v>
      </c>
      <c r="D658" s="1" t="s">
        <v>3372</v>
      </c>
      <c r="E658" s="1">
        <v>10000000</v>
      </c>
    </row>
    <row r="659" spans="1:5" ht="14.4" x14ac:dyDescent="0.3">
      <c r="A659" s="20" t="s">
        <v>7078</v>
      </c>
      <c r="B659" s="1" t="s">
        <v>2910</v>
      </c>
      <c r="C659" s="1" t="s">
        <v>209</v>
      </c>
      <c r="D659" s="1" t="s">
        <v>1039</v>
      </c>
      <c r="E659" s="1">
        <v>29100000</v>
      </c>
    </row>
    <row r="660" spans="1:5" ht="14.4" x14ac:dyDescent="0.3">
      <c r="A660" s="20" t="s">
        <v>7079</v>
      </c>
      <c r="B660" s="1" t="s">
        <v>264</v>
      </c>
      <c r="C660" s="1" t="s">
        <v>2896</v>
      </c>
      <c r="D660" s="1" t="s">
        <v>760</v>
      </c>
      <c r="E660" s="1">
        <v>14100000</v>
      </c>
    </row>
    <row r="661" spans="1:5" ht="14.4" x14ac:dyDescent="0.3">
      <c r="A661" s="20" t="s">
        <v>7080</v>
      </c>
      <c r="B661" s="1" t="s">
        <v>264</v>
      </c>
      <c r="C661" s="1">
        <v>3008</v>
      </c>
      <c r="D661" s="1" t="s">
        <v>824</v>
      </c>
      <c r="E661" s="1">
        <v>16800000</v>
      </c>
    </row>
    <row r="662" spans="1:5" ht="14.4" x14ac:dyDescent="0.3">
      <c r="A662" s="20" t="s">
        <v>7081</v>
      </c>
      <c r="B662" s="1" t="s">
        <v>93</v>
      </c>
      <c r="C662" s="1" t="s">
        <v>118</v>
      </c>
      <c r="D662" s="1" t="s">
        <v>120</v>
      </c>
      <c r="E662" s="1">
        <v>29100000</v>
      </c>
    </row>
    <row r="663" spans="1:5" ht="14.4" x14ac:dyDescent="0.3">
      <c r="A663" s="20" t="s">
        <v>7082</v>
      </c>
      <c r="B663" s="1" t="s">
        <v>181</v>
      </c>
      <c r="C663" s="1" t="s">
        <v>2947</v>
      </c>
      <c r="D663" s="1" t="s">
        <v>187</v>
      </c>
      <c r="E663" s="1">
        <v>15500000</v>
      </c>
    </row>
    <row r="664" spans="1:5" ht="14.4" x14ac:dyDescent="0.3">
      <c r="A664" s="20" t="s">
        <v>7083</v>
      </c>
      <c r="B664" s="1" t="s">
        <v>2945</v>
      </c>
      <c r="C664" s="1" t="s">
        <v>2946</v>
      </c>
      <c r="D664" s="1" t="s">
        <v>518</v>
      </c>
      <c r="E664" s="1">
        <v>10700000</v>
      </c>
    </row>
    <row r="665" spans="1:5" ht="14.4" x14ac:dyDescent="0.3">
      <c r="A665" s="20" t="s">
        <v>7084</v>
      </c>
      <c r="B665" s="1" t="s">
        <v>264</v>
      </c>
      <c r="C665" s="1">
        <v>3008</v>
      </c>
      <c r="D665" s="1" t="s">
        <v>275</v>
      </c>
      <c r="E665" s="1">
        <v>13800000</v>
      </c>
    </row>
    <row r="666" spans="1:5" ht="14.4" x14ac:dyDescent="0.3">
      <c r="A666" s="20" t="s">
        <v>7085</v>
      </c>
      <c r="B666" s="1" t="s">
        <v>264</v>
      </c>
      <c r="C666" s="1" t="s">
        <v>2896</v>
      </c>
      <c r="D666" s="1" t="s">
        <v>647</v>
      </c>
      <c r="E666" s="1">
        <v>11800000</v>
      </c>
    </row>
    <row r="667" spans="1:5" ht="14.4" x14ac:dyDescent="0.3">
      <c r="A667" s="20" t="s">
        <v>7086</v>
      </c>
      <c r="B667" s="1" t="s">
        <v>242</v>
      </c>
      <c r="C667" s="1" t="s">
        <v>3141</v>
      </c>
      <c r="D667" s="1" t="s">
        <v>579</v>
      </c>
      <c r="E667" s="1">
        <v>11700000</v>
      </c>
    </row>
    <row r="668" spans="1:5" ht="14.4" x14ac:dyDescent="0.3">
      <c r="A668" s="20" t="s">
        <v>7087</v>
      </c>
      <c r="B668" s="1" t="s">
        <v>264</v>
      </c>
      <c r="C668" s="1" t="s">
        <v>293</v>
      </c>
      <c r="D668" s="1" t="s">
        <v>295</v>
      </c>
      <c r="E668" s="1">
        <v>15900000</v>
      </c>
    </row>
    <row r="669" spans="1:5" ht="14.4" x14ac:dyDescent="0.3">
      <c r="A669" s="20" t="s">
        <v>7088</v>
      </c>
      <c r="B669" s="1" t="s">
        <v>181</v>
      </c>
      <c r="C669" s="1" t="s">
        <v>2944</v>
      </c>
      <c r="D669" s="1" t="s">
        <v>1003</v>
      </c>
      <c r="E669" s="1">
        <v>16800000</v>
      </c>
    </row>
    <row r="670" spans="1:5" ht="14.4" x14ac:dyDescent="0.3">
      <c r="A670" s="20" t="s">
        <v>7089</v>
      </c>
      <c r="B670" s="1" t="s">
        <v>93</v>
      </c>
      <c r="C670" s="1" t="s">
        <v>2916</v>
      </c>
      <c r="D670" s="1" t="s">
        <v>126</v>
      </c>
      <c r="E670" s="1">
        <v>43400000</v>
      </c>
    </row>
    <row r="671" spans="1:5" ht="14.4" x14ac:dyDescent="0.3">
      <c r="A671" s="20" t="s">
        <v>7090</v>
      </c>
      <c r="B671" s="1" t="s">
        <v>48</v>
      </c>
      <c r="C671" s="1" t="s">
        <v>52</v>
      </c>
      <c r="D671" s="1" t="s">
        <v>54</v>
      </c>
      <c r="E671" s="1">
        <v>47200000</v>
      </c>
    </row>
    <row r="672" spans="1:5" ht="14.4" x14ac:dyDescent="0.3">
      <c r="A672" s="20" t="s">
        <v>7091</v>
      </c>
      <c r="B672" s="1" t="s">
        <v>93</v>
      </c>
      <c r="C672" s="1" t="s">
        <v>2888</v>
      </c>
      <c r="D672" s="1" t="s">
        <v>128</v>
      </c>
      <c r="E672" s="1">
        <v>21300000</v>
      </c>
    </row>
    <row r="673" spans="1:5" ht="14.4" x14ac:dyDescent="0.3">
      <c r="A673" s="20" t="s">
        <v>7092</v>
      </c>
      <c r="B673" s="1" t="s">
        <v>264</v>
      </c>
      <c r="C673" s="1" t="s">
        <v>2913</v>
      </c>
      <c r="D673" s="1" t="s">
        <v>288</v>
      </c>
      <c r="E673" s="1">
        <v>20100000</v>
      </c>
    </row>
    <row r="674" spans="1:5" ht="14.4" x14ac:dyDescent="0.3">
      <c r="A674" s="20" t="s">
        <v>7093</v>
      </c>
      <c r="B674" s="1" t="s">
        <v>2906</v>
      </c>
      <c r="C674" s="1" t="s">
        <v>2943</v>
      </c>
      <c r="D674" s="1" t="s">
        <v>581</v>
      </c>
      <c r="E674" s="1">
        <v>9300000</v>
      </c>
    </row>
    <row r="675" spans="1:5" ht="14.4" x14ac:dyDescent="0.3">
      <c r="A675" s="20" t="s">
        <v>7094</v>
      </c>
      <c r="B675" s="1" t="s">
        <v>264</v>
      </c>
      <c r="C675" s="1" t="s">
        <v>300</v>
      </c>
      <c r="D675" s="1" t="s">
        <v>3373</v>
      </c>
      <c r="E675" s="1">
        <v>15400000</v>
      </c>
    </row>
    <row r="676" spans="1:5" ht="14.4" x14ac:dyDescent="0.3">
      <c r="A676" s="20" t="s">
        <v>7095</v>
      </c>
      <c r="B676" s="1" t="s">
        <v>93</v>
      </c>
      <c r="C676" s="1" t="s">
        <v>3374</v>
      </c>
      <c r="D676" s="1" t="s">
        <v>3375</v>
      </c>
      <c r="E676" s="1">
        <v>21900000</v>
      </c>
    </row>
    <row r="677" spans="1:5" ht="14.4" x14ac:dyDescent="0.3">
      <c r="A677" s="20" t="s">
        <v>7096</v>
      </c>
      <c r="B677" s="1" t="s">
        <v>2933</v>
      </c>
      <c r="C677" s="1" t="s">
        <v>2934</v>
      </c>
      <c r="D677" s="1" t="s">
        <v>449</v>
      </c>
      <c r="E677" s="1">
        <v>19100000</v>
      </c>
    </row>
    <row r="678" spans="1:5" ht="14.4" x14ac:dyDescent="0.3">
      <c r="A678" s="20" t="s">
        <v>7097</v>
      </c>
      <c r="B678" s="1" t="s">
        <v>2945</v>
      </c>
      <c r="C678" s="1" t="s">
        <v>3011</v>
      </c>
      <c r="D678" s="1" t="s">
        <v>3376</v>
      </c>
      <c r="E678" s="1">
        <v>7920000</v>
      </c>
    </row>
    <row r="679" spans="1:5" ht="14.4" x14ac:dyDescent="0.3">
      <c r="A679" s="20" t="s">
        <v>7098</v>
      </c>
      <c r="B679" s="1" t="s">
        <v>2910</v>
      </c>
      <c r="C679" s="1" t="s">
        <v>212</v>
      </c>
      <c r="D679" s="1" t="s">
        <v>456</v>
      </c>
      <c r="E679" s="1">
        <v>12300000</v>
      </c>
    </row>
    <row r="680" spans="1:5" ht="14.4" x14ac:dyDescent="0.3">
      <c r="A680" s="20" t="s">
        <v>7099</v>
      </c>
      <c r="B680" s="1" t="s">
        <v>264</v>
      </c>
      <c r="C680" s="1" t="s">
        <v>2899</v>
      </c>
      <c r="D680" s="1" t="s">
        <v>2889</v>
      </c>
      <c r="E680" s="1">
        <v>19100000</v>
      </c>
    </row>
    <row r="681" spans="1:5" ht="14.4" x14ac:dyDescent="0.3">
      <c r="A681" s="20" t="s">
        <v>7100</v>
      </c>
      <c r="B681" s="1" t="s">
        <v>48</v>
      </c>
      <c r="C681" s="1" t="s">
        <v>3176</v>
      </c>
      <c r="D681" s="1" t="s">
        <v>3377</v>
      </c>
      <c r="E681" s="1">
        <v>9200000</v>
      </c>
    </row>
    <row r="682" spans="1:5" ht="14.4" x14ac:dyDescent="0.3">
      <c r="A682" s="20" t="s">
        <v>7101</v>
      </c>
      <c r="B682" s="1" t="s">
        <v>2906</v>
      </c>
      <c r="C682" s="1" t="s">
        <v>2943</v>
      </c>
      <c r="D682" s="1" t="s">
        <v>2889</v>
      </c>
      <c r="E682" s="1">
        <v>9200000</v>
      </c>
    </row>
    <row r="683" spans="1:5" ht="14.4" x14ac:dyDescent="0.3">
      <c r="A683" s="20" t="s">
        <v>7102</v>
      </c>
      <c r="B683" s="1" t="s">
        <v>303</v>
      </c>
      <c r="C683" s="1" t="s">
        <v>311</v>
      </c>
      <c r="D683" s="1" t="s">
        <v>310</v>
      </c>
      <c r="E683" s="1">
        <v>31500000</v>
      </c>
    </row>
    <row r="684" spans="1:5" ht="14.4" x14ac:dyDescent="0.3">
      <c r="A684" s="20" t="s">
        <v>7103</v>
      </c>
      <c r="B684" s="1" t="s">
        <v>3362</v>
      </c>
      <c r="C684" s="1" t="s">
        <v>3378</v>
      </c>
      <c r="D684" s="1" t="s">
        <v>444</v>
      </c>
      <c r="E684" s="1">
        <v>11300000</v>
      </c>
    </row>
    <row r="685" spans="1:5" ht="14.4" x14ac:dyDescent="0.3">
      <c r="A685" s="20" t="s">
        <v>7104</v>
      </c>
      <c r="B685" s="1" t="s">
        <v>93</v>
      </c>
      <c r="C685" s="1" t="s">
        <v>3271</v>
      </c>
      <c r="D685" s="1" t="s">
        <v>454</v>
      </c>
      <c r="E685" s="1">
        <v>21100000</v>
      </c>
    </row>
    <row r="686" spans="1:5" ht="14.4" x14ac:dyDescent="0.3">
      <c r="A686" s="20" t="s">
        <v>7105</v>
      </c>
      <c r="B686" s="1" t="s">
        <v>260</v>
      </c>
      <c r="C686" s="1" t="s">
        <v>69</v>
      </c>
      <c r="D686" s="1" t="s">
        <v>3379</v>
      </c>
      <c r="E686" s="1">
        <v>14200000</v>
      </c>
    </row>
    <row r="687" spans="1:5" ht="14.4" x14ac:dyDescent="0.3">
      <c r="A687" s="20" t="s">
        <v>7106</v>
      </c>
      <c r="B687" s="1" t="s">
        <v>339</v>
      </c>
      <c r="C687" s="1" t="s">
        <v>3380</v>
      </c>
      <c r="D687" s="1" t="s">
        <v>3381</v>
      </c>
      <c r="E687" s="1">
        <v>9600000</v>
      </c>
    </row>
    <row r="688" spans="1:5" ht="14.4" x14ac:dyDescent="0.3">
      <c r="A688" s="20" t="s">
        <v>7107</v>
      </c>
      <c r="B688" s="1" t="s">
        <v>30</v>
      </c>
      <c r="C688" s="1" t="s">
        <v>2987</v>
      </c>
      <c r="D688" s="1" t="s">
        <v>3382</v>
      </c>
      <c r="E688" s="1">
        <v>8100000</v>
      </c>
    </row>
    <row r="689" spans="1:5" ht="14.4" x14ac:dyDescent="0.3">
      <c r="A689" s="20" t="s">
        <v>7108</v>
      </c>
      <c r="B689" s="1" t="s">
        <v>181</v>
      </c>
      <c r="C689" s="1" t="s">
        <v>185</v>
      </c>
      <c r="D689" s="1" t="s">
        <v>3383</v>
      </c>
      <c r="E689" s="1">
        <v>11700000</v>
      </c>
    </row>
    <row r="690" spans="1:5" ht="14.4" x14ac:dyDescent="0.3">
      <c r="A690" s="20" t="s">
        <v>7109</v>
      </c>
      <c r="B690" s="1" t="s">
        <v>2910</v>
      </c>
      <c r="C690" s="1" t="s">
        <v>212</v>
      </c>
      <c r="D690" s="1" t="s">
        <v>3384</v>
      </c>
      <c r="E690" s="1">
        <v>12900000</v>
      </c>
    </row>
    <row r="691" spans="1:5" ht="14.4" x14ac:dyDescent="0.3">
      <c r="A691" s="20" t="s">
        <v>7110</v>
      </c>
      <c r="B691" s="1" t="s">
        <v>264</v>
      </c>
      <c r="C691" s="1" t="s">
        <v>2996</v>
      </c>
      <c r="D691" s="1" t="s">
        <v>3385</v>
      </c>
      <c r="E691" s="1">
        <v>16200000</v>
      </c>
    </row>
    <row r="692" spans="1:5" ht="14.4" x14ac:dyDescent="0.3">
      <c r="A692" s="20" t="s">
        <v>7111</v>
      </c>
      <c r="B692" s="1" t="s">
        <v>264</v>
      </c>
      <c r="C692" s="1" t="s">
        <v>2917</v>
      </c>
      <c r="D692" s="1" t="s">
        <v>447</v>
      </c>
      <c r="E692" s="1">
        <v>24200000</v>
      </c>
    </row>
    <row r="693" spans="1:5" ht="14.4" x14ac:dyDescent="0.3">
      <c r="A693" s="20" t="s">
        <v>7112</v>
      </c>
      <c r="B693" s="1" t="s">
        <v>2910</v>
      </c>
      <c r="C693" s="1" t="s">
        <v>206</v>
      </c>
      <c r="D693" s="1" t="s">
        <v>3386</v>
      </c>
      <c r="E693" s="1">
        <v>8600000</v>
      </c>
    </row>
    <row r="694" spans="1:5" ht="14.4" x14ac:dyDescent="0.3">
      <c r="A694" s="20" t="s">
        <v>7113</v>
      </c>
      <c r="B694" s="1" t="s">
        <v>2961</v>
      </c>
      <c r="C694" s="1" t="s">
        <v>3067</v>
      </c>
      <c r="D694" s="1" t="s">
        <v>394</v>
      </c>
      <c r="E694" s="1">
        <v>13900000</v>
      </c>
    </row>
    <row r="695" spans="1:5" ht="14.4" x14ac:dyDescent="0.3">
      <c r="A695" s="20" t="s">
        <v>7114</v>
      </c>
      <c r="B695" s="1" t="s">
        <v>229</v>
      </c>
      <c r="C695" s="1" t="s">
        <v>3218</v>
      </c>
      <c r="D695" s="1" t="s">
        <v>2889</v>
      </c>
      <c r="E695" s="1">
        <v>19600000</v>
      </c>
    </row>
    <row r="696" spans="1:5" ht="14.4" x14ac:dyDescent="0.3">
      <c r="A696" s="20" t="s">
        <v>7115</v>
      </c>
      <c r="B696" s="1" t="s">
        <v>229</v>
      </c>
      <c r="C696" s="1" t="s">
        <v>3218</v>
      </c>
      <c r="D696" s="1" t="s">
        <v>3387</v>
      </c>
      <c r="E696" s="1">
        <v>18900000</v>
      </c>
    </row>
    <row r="697" spans="1:5" ht="14.4" x14ac:dyDescent="0.3">
      <c r="A697" s="20" t="s">
        <v>7116</v>
      </c>
      <c r="B697" s="1" t="s">
        <v>93</v>
      </c>
      <c r="C697" s="1" t="s">
        <v>3388</v>
      </c>
      <c r="D697" s="1" t="s">
        <v>3389</v>
      </c>
      <c r="E697" s="1">
        <v>12800000</v>
      </c>
    </row>
    <row r="698" spans="1:5" ht="14.4" x14ac:dyDescent="0.3">
      <c r="A698" s="20" t="s">
        <v>7117</v>
      </c>
      <c r="B698" s="1" t="s">
        <v>264</v>
      </c>
      <c r="C698" s="1" t="s">
        <v>293</v>
      </c>
      <c r="D698" s="1" t="s">
        <v>3390</v>
      </c>
      <c r="E698" s="1">
        <v>21900000</v>
      </c>
    </row>
    <row r="699" spans="1:5" ht="14.4" x14ac:dyDescent="0.3">
      <c r="A699" s="20" t="s">
        <v>7118</v>
      </c>
      <c r="B699" s="1" t="s">
        <v>339</v>
      </c>
      <c r="C699" s="1" t="s">
        <v>3391</v>
      </c>
      <c r="D699" s="1" t="s">
        <v>3392</v>
      </c>
      <c r="E699" s="1">
        <v>9900000</v>
      </c>
    </row>
    <row r="700" spans="1:5" ht="14.4" x14ac:dyDescent="0.3">
      <c r="A700" s="20" t="s">
        <v>7119</v>
      </c>
      <c r="B700" s="1" t="s">
        <v>334</v>
      </c>
      <c r="C700" s="1" t="s">
        <v>3393</v>
      </c>
      <c r="D700" s="1" t="s">
        <v>338</v>
      </c>
      <c r="E700" s="1">
        <v>21700000</v>
      </c>
    </row>
    <row r="701" spans="1:5" ht="14.4" x14ac:dyDescent="0.3">
      <c r="A701" s="20" t="s">
        <v>7120</v>
      </c>
      <c r="B701" s="1" t="s">
        <v>48</v>
      </c>
      <c r="C701" s="1" t="s">
        <v>49</v>
      </c>
      <c r="D701" s="1" t="s">
        <v>3394</v>
      </c>
      <c r="E701" s="1">
        <v>13600000</v>
      </c>
    </row>
    <row r="702" spans="1:5" ht="14.4" x14ac:dyDescent="0.3">
      <c r="A702" s="20" t="s">
        <v>7121</v>
      </c>
      <c r="B702" s="1" t="s">
        <v>2910</v>
      </c>
      <c r="C702" s="1" t="s">
        <v>212</v>
      </c>
      <c r="D702" s="1" t="s">
        <v>3395</v>
      </c>
      <c r="E702" s="1">
        <v>12900000</v>
      </c>
    </row>
    <row r="703" spans="1:5" ht="14.4" x14ac:dyDescent="0.3">
      <c r="A703" s="20" t="s">
        <v>7122</v>
      </c>
      <c r="B703" s="1" t="s">
        <v>167</v>
      </c>
      <c r="C703" s="1" t="s">
        <v>3119</v>
      </c>
      <c r="D703" s="1" t="s">
        <v>3396</v>
      </c>
      <c r="E703" s="1">
        <v>9600000</v>
      </c>
    </row>
    <row r="704" spans="1:5" ht="14.4" x14ac:dyDescent="0.3">
      <c r="A704" s="20" t="s">
        <v>7123</v>
      </c>
      <c r="B704" s="1" t="s">
        <v>229</v>
      </c>
      <c r="C704" s="1" t="s">
        <v>3252</v>
      </c>
      <c r="D704" s="1" t="s">
        <v>3397</v>
      </c>
      <c r="E704" s="1">
        <v>15700000</v>
      </c>
    </row>
    <row r="705" spans="1:5" ht="14.4" x14ac:dyDescent="0.3">
      <c r="A705" s="20" t="s">
        <v>7124</v>
      </c>
      <c r="B705" s="1" t="s">
        <v>2961</v>
      </c>
      <c r="C705" s="1" t="s">
        <v>3067</v>
      </c>
      <c r="D705" s="1" t="s">
        <v>3398</v>
      </c>
      <c r="E705" s="1">
        <v>14900000</v>
      </c>
    </row>
    <row r="706" spans="1:5" ht="14.4" x14ac:dyDescent="0.3">
      <c r="A706" s="20" t="s">
        <v>7125</v>
      </c>
      <c r="B706" s="1" t="s">
        <v>48</v>
      </c>
      <c r="C706" s="1" t="s">
        <v>2937</v>
      </c>
      <c r="D706" s="1" t="s">
        <v>1742</v>
      </c>
      <c r="E706" s="1">
        <v>19800000</v>
      </c>
    </row>
    <row r="707" spans="1:5" ht="14.4" x14ac:dyDescent="0.3">
      <c r="A707" s="20" t="s">
        <v>7126</v>
      </c>
      <c r="B707" s="1" t="s">
        <v>2906</v>
      </c>
      <c r="C707" s="1" t="s">
        <v>3399</v>
      </c>
      <c r="D707" s="1" t="s">
        <v>3400</v>
      </c>
      <c r="E707" s="1">
        <v>9900000</v>
      </c>
    </row>
    <row r="708" spans="1:5" ht="14.4" x14ac:dyDescent="0.3">
      <c r="A708" s="20" t="s">
        <v>7127</v>
      </c>
      <c r="B708" s="1" t="s">
        <v>2910</v>
      </c>
      <c r="C708" s="1" t="s">
        <v>206</v>
      </c>
      <c r="D708" s="1" t="s">
        <v>3401</v>
      </c>
      <c r="E708" s="1">
        <v>8600000</v>
      </c>
    </row>
    <row r="709" spans="1:5" ht="14.4" x14ac:dyDescent="0.3">
      <c r="A709" s="20" t="s">
        <v>7128</v>
      </c>
      <c r="B709" s="1" t="s">
        <v>93</v>
      </c>
      <c r="C709" s="1" t="s">
        <v>2916</v>
      </c>
      <c r="D709" s="1" t="s">
        <v>2889</v>
      </c>
      <c r="E709" s="1">
        <v>44600000</v>
      </c>
    </row>
    <row r="710" spans="1:5" ht="14.4" x14ac:dyDescent="0.3">
      <c r="A710" s="20" t="s">
        <v>7129</v>
      </c>
      <c r="B710" s="1" t="s">
        <v>167</v>
      </c>
      <c r="C710" s="1" t="s">
        <v>3324</v>
      </c>
      <c r="D710" s="1" t="s">
        <v>3402</v>
      </c>
      <c r="E710" s="1">
        <v>10200000</v>
      </c>
    </row>
    <row r="711" spans="1:5" ht="14.4" x14ac:dyDescent="0.3">
      <c r="A711" s="20" t="s">
        <v>7130</v>
      </c>
      <c r="B711" s="1" t="s">
        <v>157</v>
      </c>
      <c r="C711" s="1" t="s">
        <v>2940</v>
      </c>
      <c r="D711" s="1" t="s">
        <v>3403</v>
      </c>
      <c r="E711" s="1">
        <v>18900000</v>
      </c>
    </row>
    <row r="712" spans="1:5" ht="14.4" x14ac:dyDescent="0.3">
      <c r="A712" s="20" t="s">
        <v>7131</v>
      </c>
      <c r="B712" s="1" t="s">
        <v>3404</v>
      </c>
      <c r="C712" s="1" t="s">
        <v>3405</v>
      </c>
      <c r="D712" s="1" t="s">
        <v>2889</v>
      </c>
      <c r="E712" s="1">
        <v>16000000</v>
      </c>
    </row>
    <row r="713" spans="1:5" ht="14.4" x14ac:dyDescent="0.3">
      <c r="A713" s="20" t="s">
        <v>7132</v>
      </c>
      <c r="B713" s="1" t="s">
        <v>93</v>
      </c>
      <c r="C713" s="1" t="s">
        <v>3406</v>
      </c>
      <c r="D713" s="1" t="s">
        <v>2889</v>
      </c>
      <c r="E713" s="1">
        <v>27600000</v>
      </c>
    </row>
    <row r="714" spans="1:5" ht="14.4" x14ac:dyDescent="0.3">
      <c r="A714" s="20" t="s">
        <v>7133</v>
      </c>
      <c r="B714" s="1" t="s">
        <v>260</v>
      </c>
      <c r="C714" s="1" t="s">
        <v>69</v>
      </c>
      <c r="D714" s="1" t="s">
        <v>263</v>
      </c>
      <c r="E714" s="1">
        <v>15700000</v>
      </c>
    </row>
    <row r="715" spans="1:5" ht="14.4" x14ac:dyDescent="0.3">
      <c r="A715" s="20" t="s">
        <v>7134</v>
      </c>
      <c r="B715" s="1" t="s">
        <v>48</v>
      </c>
      <c r="C715" s="1" t="s">
        <v>3407</v>
      </c>
      <c r="D715" s="1" t="s">
        <v>2889</v>
      </c>
      <c r="E715" s="1">
        <v>9400000</v>
      </c>
    </row>
    <row r="716" spans="1:5" ht="14.4" x14ac:dyDescent="0.3">
      <c r="A716" s="20" t="s">
        <v>7135</v>
      </c>
      <c r="B716" s="1" t="s">
        <v>93</v>
      </c>
      <c r="C716" s="1" t="s">
        <v>143</v>
      </c>
      <c r="D716" s="1" t="s">
        <v>3408</v>
      </c>
      <c r="E716" s="1">
        <v>13100000</v>
      </c>
    </row>
    <row r="717" spans="1:5" ht="14.4" x14ac:dyDescent="0.3">
      <c r="A717" s="20" t="s">
        <v>7136</v>
      </c>
      <c r="B717" s="1" t="s">
        <v>3404</v>
      </c>
      <c r="C717" s="1" t="s">
        <v>3405</v>
      </c>
      <c r="D717" s="1" t="s">
        <v>2889</v>
      </c>
      <c r="E717" s="1">
        <v>16000000</v>
      </c>
    </row>
    <row r="718" spans="1:5" ht="14.4" x14ac:dyDescent="0.3">
      <c r="A718" s="20" t="s">
        <v>7137</v>
      </c>
      <c r="B718" s="1" t="s">
        <v>303</v>
      </c>
      <c r="C718" s="1">
        <v>700</v>
      </c>
      <c r="D718" s="1" t="s">
        <v>3409</v>
      </c>
      <c r="E718" s="1">
        <v>13600000</v>
      </c>
    </row>
    <row r="719" spans="1:5" ht="14.4" x14ac:dyDescent="0.3">
      <c r="A719" s="20" t="s">
        <v>7138</v>
      </c>
      <c r="B719" s="1" t="s">
        <v>242</v>
      </c>
      <c r="C719" s="1" t="s">
        <v>254</v>
      </c>
      <c r="D719" s="1" t="s">
        <v>3410</v>
      </c>
      <c r="E719" s="1">
        <v>10800000</v>
      </c>
    </row>
    <row r="720" spans="1:5" ht="14.4" x14ac:dyDescent="0.3">
      <c r="A720" s="20" t="s">
        <v>7139</v>
      </c>
      <c r="B720" s="1" t="s">
        <v>2910</v>
      </c>
      <c r="C720" s="1" t="s">
        <v>218</v>
      </c>
      <c r="D720" s="1" t="s">
        <v>2259</v>
      </c>
      <c r="E720" s="1">
        <v>14300000</v>
      </c>
    </row>
    <row r="721" spans="1:5" ht="14.4" x14ac:dyDescent="0.3">
      <c r="A721" s="20" t="s">
        <v>7140</v>
      </c>
      <c r="B721" s="1" t="s">
        <v>3362</v>
      </c>
      <c r="C721" s="1" t="s">
        <v>3378</v>
      </c>
      <c r="D721" s="1" t="s">
        <v>443</v>
      </c>
      <c r="E721" s="1">
        <v>8600000</v>
      </c>
    </row>
    <row r="722" spans="1:5" ht="14.4" x14ac:dyDescent="0.3">
      <c r="A722" s="20" t="s">
        <v>7141</v>
      </c>
      <c r="B722" s="1" t="s">
        <v>264</v>
      </c>
      <c r="C722" s="1" t="s">
        <v>2996</v>
      </c>
      <c r="D722" s="1" t="s">
        <v>3411</v>
      </c>
      <c r="E722" s="1">
        <v>17500000</v>
      </c>
    </row>
    <row r="723" spans="1:5" ht="14.4" x14ac:dyDescent="0.3">
      <c r="A723" s="20" t="s">
        <v>7142</v>
      </c>
      <c r="B723" s="1" t="s">
        <v>260</v>
      </c>
      <c r="C723" s="1" t="s">
        <v>69</v>
      </c>
      <c r="D723" s="1" t="s">
        <v>3412</v>
      </c>
      <c r="E723" s="1">
        <v>16000000</v>
      </c>
    </row>
    <row r="724" spans="1:5" ht="14.4" x14ac:dyDescent="0.3">
      <c r="A724" s="20" t="s">
        <v>7143</v>
      </c>
      <c r="B724" s="1" t="s">
        <v>314</v>
      </c>
      <c r="C724" s="1" t="s">
        <v>3413</v>
      </c>
      <c r="D724" s="1" t="s">
        <v>3414</v>
      </c>
      <c r="E724" s="1">
        <v>11500000</v>
      </c>
    </row>
    <row r="725" spans="1:5" ht="14.4" x14ac:dyDescent="0.3">
      <c r="A725" s="20" t="s">
        <v>7144</v>
      </c>
      <c r="B725" s="1" t="s">
        <v>188</v>
      </c>
      <c r="C725" s="1">
        <v>8</v>
      </c>
      <c r="D725" s="1" t="s">
        <v>3415</v>
      </c>
      <c r="E725" s="1">
        <v>25600000</v>
      </c>
    </row>
    <row r="726" spans="1:5" ht="14.4" x14ac:dyDescent="0.3">
      <c r="A726" s="20" t="s">
        <v>7145</v>
      </c>
      <c r="B726" s="1" t="s">
        <v>303</v>
      </c>
      <c r="C726" s="1">
        <v>1500</v>
      </c>
      <c r="D726" s="1" t="s">
        <v>3416</v>
      </c>
      <c r="E726" s="1">
        <v>18500000</v>
      </c>
    </row>
    <row r="727" spans="1:5" ht="14.4" x14ac:dyDescent="0.3">
      <c r="A727" s="20" t="s">
        <v>7146</v>
      </c>
      <c r="B727" s="1" t="s">
        <v>30</v>
      </c>
      <c r="C727" s="1" t="s">
        <v>2908</v>
      </c>
      <c r="D727" s="1" t="s">
        <v>448</v>
      </c>
      <c r="E727" s="1">
        <v>9700000</v>
      </c>
    </row>
    <row r="728" spans="1:5" ht="14.4" x14ac:dyDescent="0.3">
      <c r="A728" s="20" t="s">
        <v>7147</v>
      </c>
      <c r="B728" s="1" t="s">
        <v>48</v>
      </c>
      <c r="C728" s="1" t="s">
        <v>3234</v>
      </c>
      <c r="D728" s="1" t="s">
        <v>3417</v>
      </c>
      <c r="E728" s="1">
        <v>7540000</v>
      </c>
    </row>
    <row r="729" spans="1:5" ht="14.4" x14ac:dyDescent="0.3">
      <c r="A729" s="20" t="s">
        <v>7148</v>
      </c>
      <c r="B729" s="1" t="s">
        <v>327</v>
      </c>
      <c r="C729" s="1" t="s">
        <v>3418</v>
      </c>
      <c r="D729" s="1" t="s">
        <v>3419</v>
      </c>
      <c r="E729" s="1">
        <v>8200000</v>
      </c>
    </row>
    <row r="730" spans="1:5" ht="14.4" x14ac:dyDescent="0.3">
      <c r="A730" s="20" t="s">
        <v>7149</v>
      </c>
      <c r="B730" s="1" t="s">
        <v>93</v>
      </c>
      <c r="C730" s="1" t="s">
        <v>131</v>
      </c>
      <c r="D730" s="1" t="s">
        <v>3420</v>
      </c>
      <c r="E730" s="1">
        <v>19900000</v>
      </c>
    </row>
    <row r="731" spans="1:5" ht="14.4" x14ac:dyDescent="0.3">
      <c r="A731" s="20" t="s">
        <v>7150</v>
      </c>
      <c r="B731" s="1" t="s">
        <v>327</v>
      </c>
      <c r="C731" s="1" t="s">
        <v>3320</v>
      </c>
      <c r="D731" s="1" t="s">
        <v>3421</v>
      </c>
      <c r="E731" s="1">
        <v>8600000</v>
      </c>
    </row>
    <row r="732" spans="1:5" ht="14.4" x14ac:dyDescent="0.3">
      <c r="A732" s="20" t="s">
        <v>7151</v>
      </c>
      <c r="B732" s="1" t="s">
        <v>195</v>
      </c>
      <c r="C732" s="1" t="s">
        <v>198</v>
      </c>
      <c r="D732" s="1" t="s">
        <v>3422</v>
      </c>
      <c r="E732" s="1">
        <v>29400000</v>
      </c>
    </row>
    <row r="733" spans="1:5" ht="14.4" x14ac:dyDescent="0.3">
      <c r="A733" s="20" t="s">
        <v>7152</v>
      </c>
      <c r="B733" s="1" t="s">
        <v>264</v>
      </c>
      <c r="C733" s="1" t="s">
        <v>2913</v>
      </c>
      <c r="D733" s="1" t="s">
        <v>3423</v>
      </c>
      <c r="E733" s="1">
        <v>20600000</v>
      </c>
    </row>
    <row r="734" spans="1:5" ht="14.4" x14ac:dyDescent="0.3">
      <c r="A734" s="20" t="s">
        <v>7153</v>
      </c>
      <c r="B734" s="1" t="s">
        <v>167</v>
      </c>
      <c r="C734" s="1" t="s">
        <v>2891</v>
      </c>
      <c r="D734" s="1" t="s">
        <v>3424</v>
      </c>
      <c r="E734" s="1">
        <v>10500000</v>
      </c>
    </row>
    <row r="735" spans="1:5" ht="14.4" x14ac:dyDescent="0.3">
      <c r="A735" s="20" t="s">
        <v>7154</v>
      </c>
      <c r="B735" s="1" t="s">
        <v>30</v>
      </c>
      <c r="C735" s="1" t="s">
        <v>45</v>
      </c>
      <c r="D735" s="1" t="s">
        <v>47</v>
      </c>
      <c r="E735" s="1">
        <v>11600000</v>
      </c>
    </row>
    <row r="736" spans="1:5" ht="14.4" x14ac:dyDescent="0.3">
      <c r="A736" s="20" t="s">
        <v>7155</v>
      </c>
      <c r="B736" s="1" t="s">
        <v>2910</v>
      </c>
      <c r="C736" s="1" t="s">
        <v>206</v>
      </c>
      <c r="D736" s="1" t="s">
        <v>3425</v>
      </c>
      <c r="E736" s="1">
        <v>9200000</v>
      </c>
    </row>
    <row r="737" spans="1:5" ht="14.4" x14ac:dyDescent="0.3">
      <c r="A737" s="20" t="s">
        <v>7156</v>
      </c>
      <c r="B737" s="1" t="s">
        <v>264</v>
      </c>
      <c r="C737" s="1">
        <v>3008</v>
      </c>
      <c r="D737" s="1" t="s">
        <v>3426</v>
      </c>
      <c r="E737" s="1">
        <v>23700000</v>
      </c>
    </row>
    <row r="738" spans="1:5" ht="14.4" x14ac:dyDescent="0.3">
      <c r="A738" s="20" t="s">
        <v>7157</v>
      </c>
      <c r="B738" s="1" t="s">
        <v>2945</v>
      </c>
      <c r="C738" s="1" t="s">
        <v>2946</v>
      </c>
      <c r="D738" s="1" t="s">
        <v>3427</v>
      </c>
      <c r="E738" s="1">
        <v>9400000</v>
      </c>
    </row>
    <row r="739" spans="1:5" ht="14.4" x14ac:dyDescent="0.3">
      <c r="A739" s="20" t="s">
        <v>7158</v>
      </c>
      <c r="B739" s="1" t="s">
        <v>334</v>
      </c>
      <c r="C739" s="1" t="s">
        <v>3274</v>
      </c>
      <c r="D739" s="1" t="s">
        <v>3428</v>
      </c>
      <c r="E739" s="1">
        <v>17500000</v>
      </c>
    </row>
    <row r="740" spans="1:5" ht="14.4" x14ac:dyDescent="0.3">
      <c r="A740" s="20" t="s">
        <v>7159</v>
      </c>
      <c r="B740" s="1" t="s">
        <v>64</v>
      </c>
      <c r="C740" s="1" t="s">
        <v>3429</v>
      </c>
      <c r="D740" s="1" t="s">
        <v>3430</v>
      </c>
      <c r="E740" s="1">
        <v>14600000</v>
      </c>
    </row>
    <row r="741" spans="1:5" ht="14.4" x14ac:dyDescent="0.3">
      <c r="A741" s="20" t="s">
        <v>7160</v>
      </c>
      <c r="B741" s="1" t="s">
        <v>229</v>
      </c>
      <c r="C741" s="1" t="s">
        <v>3255</v>
      </c>
      <c r="D741" s="1" t="s">
        <v>3431</v>
      </c>
      <c r="E741" s="1">
        <v>27200000</v>
      </c>
    </row>
    <row r="742" spans="1:5" ht="14.4" x14ac:dyDescent="0.3">
      <c r="A742" s="20" t="s">
        <v>7161</v>
      </c>
      <c r="B742" s="1" t="s">
        <v>167</v>
      </c>
      <c r="C742" s="1" t="s">
        <v>3201</v>
      </c>
      <c r="D742" s="1" t="s">
        <v>3432</v>
      </c>
      <c r="E742" s="1">
        <v>15600000</v>
      </c>
    </row>
    <row r="743" spans="1:5" ht="14.4" x14ac:dyDescent="0.3">
      <c r="A743" s="20" t="s">
        <v>7162</v>
      </c>
      <c r="B743" s="1" t="s">
        <v>3433</v>
      </c>
      <c r="C743" s="1" t="s">
        <v>3434</v>
      </c>
      <c r="D743" s="1" t="s">
        <v>3435</v>
      </c>
      <c r="E743" s="1">
        <v>15000000</v>
      </c>
    </row>
    <row r="744" spans="1:5" ht="14.4" x14ac:dyDescent="0.3">
      <c r="A744" s="20" t="s">
        <v>7163</v>
      </c>
      <c r="B744" s="1" t="s">
        <v>264</v>
      </c>
      <c r="C744" s="1" t="s">
        <v>2913</v>
      </c>
      <c r="D744" s="1" t="s">
        <v>3436</v>
      </c>
      <c r="E744" s="1">
        <v>23100000</v>
      </c>
    </row>
    <row r="745" spans="1:5" ht="14.4" x14ac:dyDescent="0.3">
      <c r="A745" s="20" t="s">
        <v>7164</v>
      </c>
      <c r="B745" s="1" t="s">
        <v>167</v>
      </c>
      <c r="C745" s="1" t="s">
        <v>3437</v>
      </c>
      <c r="D745" s="1" t="s">
        <v>3438</v>
      </c>
      <c r="E745" s="1">
        <v>21900000</v>
      </c>
    </row>
    <row r="746" spans="1:5" ht="14.4" x14ac:dyDescent="0.3">
      <c r="A746" s="20" t="s">
        <v>7165</v>
      </c>
      <c r="B746" s="1" t="s">
        <v>242</v>
      </c>
      <c r="C746" s="1" t="s">
        <v>251</v>
      </c>
      <c r="D746" s="1" t="s">
        <v>253</v>
      </c>
      <c r="E746" s="1">
        <v>10800000</v>
      </c>
    </row>
    <row r="747" spans="1:5" ht="14.4" x14ac:dyDescent="0.3">
      <c r="A747" s="20" t="s">
        <v>7166</v>
      </c>
      <c r="B747" s="1" t="s">
        <v>48</v>
      </c>
      <c r="C747" s="1" t="s">
        <v>52</v>
      </c>
      <c r="D747" s="1" t="s">
        <v>450</v>
      </c>
      <c r="E747" s="1">
        <v>33800000</v>
      </c>
    </row>
    <row r="748" spans="1:5" ht="14.4" x14ac:dyDescent="0.3">
      <c r="A748" s="20" t="s">
        <v>7167</v>
      </c>
      <c r="B748" s="1" t="s">
        <v>2933</v>
      </c>
      <c r="C748" s="1" t="s">
        <v>2934</v>
      </c>
      <c r="D748" s="1" t="s">
        <v>3439</v>
      </c>
      <c r="E748" s="1">
        <v>17100000</v>
      </c>
    </row>
    <row r="749" spans="1:5" ht="14.4" x14ac:dyDescent="0.3">
      <c r="A749" s="20" t="s">
        <v>7168</v>
      </c>
      <c r="B749" s="1" t="s">
        <v>2961</v>
      </c>
      <c r="C749" s="1" t="s">
        <v>2962</v>
      </c>
      <c r="D749" s="1" t="s">
        <v>3440</v>
      </c>
      <c r="E749" s="1">
        <v>15400000</v>
      </c>
    </row>
    <row r="750" spans="1:5" ht="14.4" x14ac:dyDescent="0.3">
      <c r="A750" s="20" t="s">
        <v>7169</v>
      </c>
      <c r="B750" s="1" t="s">
        <v>2905</v>
      </c>
      <c r="C750" s="1" t="s">
        <v>90</v>
      </c>
      <c r="D750" s="1" t="s">
        <v>3441</v>
      </c>
      <c r="E750" s="1">
        <v>14400000</v>
      </c>
    </row>
    <row r="751" spans="1:5" ht="14.4" x14ac:dyDescent="0.3">
      <c r="A751" s="20" t="s">
        <v>7170</v>
      </c>
      <c r="B751" s="1" t="s">
        <v>2905</v>
      </c>
      <c r="C751" s="1" t="s">
        <v>3442</v>
      </c>
      <c r="D751" s="1" t="s">
        <v>3443</v>
      </c>
      <c r="E751" s="1">
        <v>30400000</v>
      </c>
    </row>
    <row r="752" spans="1:5" ht="14.4" x14ac:dyDescent="0.3">
      <c r="A752" s="20" t="s">
        <v>7171</v>
      </c>
      <c r="B752" s="1" t="s">
        <v>242</v>
      </c>
      <c r="C752" s="1" t="s">
        <v>246</v>
      </c>
      <c r="D752" s="1" t="s">
        <v>3444</v>
      </c>
      <c r="E752" s="1">
        <v>16200000</v>
      </c>
    </row>
    <row r="753" spans="1:5" ht="14.4" x14ac:dyDescent="0.3">
      <c r="A753" s="20" t="s">
        <v>7172</v>
      </c>
      <c r="B753" s="1" t="s">
        <v>229</v>
      </c>
      <c r="C753" s="1" t="s">
        <v>2994</v>
      </c>
      <c r="D753" s="1" t="s">
        <v>3445</v>
      </c>
      <c r="E753" s="1">
        <v>11400000</v>
      </c>
    </row>
    <row r="754" spans="1:5" ht="14.4" x14ac:dyDescent="0.3">
      <c r="A754" s="20" t="s">
        <v>7173</v>
      </c>
      <c r="B754" s="1" t="s">
        <v>188</v>
      </c>
      <c r="C754" s="1">
        <v>7</v>
      </c>
      <c r="D754" s="1" t="s">
        <v>3446</v>
      </c>
      <c r="E754" s="1">
        <v>17000000</v>
      </c>
    </row>
    <row r="755" spans="1:5" ht="14.4" x14ac:dyDescent="0.3">
      <c r="A755" s="20" t="s">
        <v>7174</v>
      </c>
      <c r="B755" s="1" t="s">
        <v>188</v>
      </c>
      <c r="C755" s="1">
        <v>7</v>
      </c>
      <c r="D755" s="1" t="s">
        <v>3052</v>
      </c>
      <c r="E755" s="1">
        <v>17500000</v>
      </c>
    </row>
    <row r="756" spans="1:5" ht="14.4" x14ac:dyDescent="0.3">
      <c r="A756" s="20" t="s">
        <v>7175</v>
      </c>
      <c r="B756" s="1" t="s">
        <v>264</v>
      </c>
      <c r="C756" s="1">
        <v>208</v>
      </c>
      <c r="D756" s="1" t="s">
        <v>3447</v>
      </c>
      <c r="E756" s="1">
        <v>13900000</v>
      </c>
    </row>
    <row r="757" spans="1:5" ht="14.4" x14ac:dyDescent="0.3">
      <c r="A757" s="20" t="s">
        <v>7176</v>
      </c>
      <c r="B757" s="1" t="s">
        <v>48</v>
      </c>
      <c r="C757" s="1" t="s">
        <v>3176</v>
      </c>
      <c r="D757" s="1" t="s">
        <v>3448</v>
      </c>
      <c r="E757" s="1">
        <v>9200000</v>
      </c>
    </row>
    <row r="758" spans="1:5" ht="14.4" x14ac:dyDescent="0.3">
      <c r="A758" s="20" t="s">
        <v>7177</v>
      </c>
      <c r="B758" s="1" t="s">
        <v>72</v>
      </c>
      <c r="C758" s="1">
        <v>560</v>
      </c>
      <c r="D758" s="1" t="s">
        <v>3449</v>
      </c>
      <c r="E758" s="1">
        <v>9500000</v>
      </c>
    </row>
    <row r="759" spans="1:5" ht="14.4" x14ac:dyDescent="0.3">
      <c r="A759" s="20" t="s">
        <v>7178</v>
      </c>
      <c r="B759" s="1" t="s">
        <v>2910</v>
      </c>
      <c r="C759" s="1" t="s">
        <v>218</v>
      </c>
      <c r="D759" s="1" t="s">
        <v>3450</v>
      </c>
      <c r="E759" s="1">
        <v>12200000</v>
      </c>
    </row>
    <row r="760" spans="1:5" ht="14.4" x14ac:dyDescent="0.3">
      <c r="A760" s="20" t="s">
        <v>7179</v>
      </c>
      <c r="B760" s="1" t="s">
        <v>93</v>
      </c>
      <c r="C760" s="1" t="s">
        <v>3388</v>
      </c>
      <c r="D760" s="1" t="s">
        <v>3451</v>
      </c>
      <c r="E760" s="1">
        <v>16300000</v>
      </c>
    </row>
    <row r="761" spans="1:5" ht="14.4" x14ac:dyDescent="0.3">
      <c r="A761" s="20" t="s">
        <v>7180</v>
      </c>
      <c r="B761" s="1" t="s">
        <v>3228</v>
      </c>
      <c r="C761" s="1" t="s">
        <v>3229</v>
      </c>
      <c r="D761" s="1" t="s">
        <v>442</v>
      </c>
      <c r="E761" s="1">
        <v>10800000</v>
      </c>
    </row>
    <row r="762" spans="1:5" ht="14.4" x14ac:dyDescent="0.3">
      <c r="A762" s="20" t="s">
        <v>7181</v>
      </c>
      <c r="B762" s="1" t="s">
        <v>93</v>
      </c>
      <c r="C762" s="1" t="s">
        <v>143</v>
      </c>
      <c r="D762" s="1" t="s">
        <v>425</v>
      </c>
      <c r="E762" s="1">
        <v>13900000</v>
      </c>
    </row>
    <row r="763" spans="1:5" ht="14.4" x14ac:dyDescent="0.3">
      <c r="A763" s="20" t="s">
        <v>7182</v>
      </c>
      <c r="B763" s="1" t="s">
        <v>93</v>
      </c>
      <c r="C763" s="1" t="s">
        <v>3238</v>
      </c>
      <c r="D763" s="1" t="s">
        <v>108</v>
      </c>
      <c r="E763" s="1">
        <v>19700000</v>
      </c>
    </row>
    <row r="764" spans="1:5" ht="14.4" x14ac:dyDescent="0.3">
      <c r="A764" s="20" t="s">
        <v>7183</v>
      </c>
      <c r="B764" s="1" t="s">
        <v>229</v>
      </c>
      <c r="C764" s="1" t="s">
        <v>2994</v>
      </c>
      <c r="D764" s="1" t="s">
        <v>3445</v>
      </c>
      <c r="E764" s="1">
        <v>11400000</v>
      </c>
    </row>
    <row r="765" spans="1:5" ht="14.4" x14ac:dyDescent="0.3">
      <c r="A765" s="20" t="s">
        <v>7184</v>
      </c>
      <c r="B765" s="1" t="s">
        <v>93</v>
      </c>
      <c r="C765" s="1" t="s">
        <v>2919</v>
      </c>
      <c r="D765" s="1" t="s">
        <v>432</v>
      </c>
      <c r="E765" s="1">
        <v>28600000</v>
      </c>
    </row>
    <row r="766" spans="1:5" ht="14.4" x14ac:dyDescent="0.3">
      <c r="A766" s="20" t="s">
        <v>7185</v>
      </c>
      <c r="B766" s="1" t="s">
        <v>327</v>
      </c>
      <c r="C766" s="1" t="s">
        <v>3320</v>
      </c>
      <c r="D766" s="1" t="s">
        <v>3452</v>
      </c>
      <c r="E766" s="1">
        <v>11900000</v>
      </c>
    </row>
    <row r="767" spans="1:5" ht="14.4" x14ac:dyDescent="0.3">
      <c r="A767" s="20" t="s">
        <v>7186</v>
      </c>
      <c r="B767" s="1" t="s">
        <v>2961</v>
      </c>
      <c r="C767" s="1" t="s">
        <v>3453</v>
      </c>
      <c r="D767" s="1" t="s">
        <v>3454</v>
      </c>
      <c r="E767" s="1">
        <v>11700000</v>
      </c>
    </row>
    <row r="768" spans="1:5" ht="14.4" x14ac:dyDescent="0.3">
      <c r="A768" s="20" t="s">
        <v>7187</v>
      </c>
      <c r="B768" s="1" t="s">
        <v>3433</v>
      </c>
      <c r="C768" s="1" t="s">
        <v>3455</v>
      </c>
      <c r="D768" s="1" t="s">
        <v>3456</v>
      </c>
      <c r="E768" s="1">
        <v>20400000</v>
      </c>
    </row>
    <row r="769" spans="1:5" ht="14.4" x14ac:dyDescent="0.3">
      <c r="A769" s="20" t="s">
        <v>7188</v>
      </c>
      <c r="B769" s="1" t="s">
        <v>93</v>
      </c>
      <c r="C769" s="1" t="s">
        <v>2919</v>
      </c>
      <c r="D769" s="1" t="s">
        <v>137</v>
      </c>
      <c r="E769" s="1">
        <v>46500000</v>
      </c>
    </row>
    <row r="770" spans="1:5" ht="14.4" x14ac:dyDescent="0.3">
      <c r="A770" s="20" t="s">
        <v>7189</v>
      </c>
      <c r="B770" s="1" t="s">
        <v>30</v>
      </c>
      <c r="C770" s="1" t="s">
        <v>2908</v>
      </c>
      <c r="D770" s="1" t="s">
        <v>3457</v>
      </c>
      <c r="E770" s="1">
        <v>7510000</v>
      </c>
    </row>
    <row r="771" spans="1:5" ht="14.4" x14ac:dyDescent="0.3">
      <c r="A771" s="20" t="s">
        <v>7190</v>
      </c>
      <c r="B771" s="1" t="s">
        <v>2906</v>
      </c>
      <c r="C771" s="1" t="s">
        <v>2907</v>
      </c>
      <c r="D771" s="1" t="s">
        <v>3458</v>
      </c>
      <c r="E771" s="1">
        <v>7790000</v>
      </c>
    </row>
    <row r="772" spans="1:5" ht="14.4" x14ac:dyDescent="0.3">
      <c r="A772" s="20" t="s">
        <v>7191</v>
      </c>
      <c r="B772" s="1" t="s">
        <v>314</v>
      </c>
      <c r="C772" s="1" t="s">
        <v>3259</v>
      </c>
      <c r="D772" s="1" t="s">
        <v>436</v>
      </c>
      <c r="E772" s="1">
        <v>8300000</v>
      </c>
    </row>
    <row r="773" spans="1:5" ht="14.4" x14ac:dyDescent="0.3">
      <c r="A773" s="20" t="s">
        <v>7192</v>
      </c>
      <c r="B773" s="1" t="s">
        <v>3077</v>
      </c>
      <c r="C773" s="1" t="s">
        <v>3459</v>
      </c>
      <c r="D773" s="1" t="s">
        <v>3460</v>
      </c>
      <c r="E773" s="1">
        <v>22900000</v>
      </c>
    </row>
    <row r="774" spans="1:5" ht="14.4" x14ac:dyDescent="0.3">
      <c r="A774" s="20" t="s">
        <v>7193</v>
      </c>
      <c r="B774" s="1" t="s">
        <v>93</v>
      </c>
      <c r="C774" s="1" t="s">
        <v>131</v>
      </c>
      <c r="D774" s="1" t="s">
        <v>142</v>
      </c>
      <c r="E774" s="1">
        <v>18700000</v>
      </c>
    </row>
    <row r="775" spans="1:5" ht="14.4" x14ac:dyDescent="0.3">
      <c r="A775" s="20" t="s">
        <v>7194</v>
      </c>
      <c r="B775" s="1" t="s">
        <v>157</v>
      </c>
      <c r="C775" s="1" t="s">
        <v>164</v>
      </c>
      <c r="D775" s="1" t="s">
        <v>3461</v>
      </c>
      <c r="E775" s="1">
        <v>12600000</v>
      </c>
    </row>
    <row r="776" spans="1:5" ht="14.4" x14ac:dyDescent="0.3">
      <c r="A776" s="20" t="s">
        <v>7195</v>
      </c>
      <c r="B776" s="1" t="s">
        <v>264</v>
      </c>
      <c r="C776" s="1" t="s">
        <v>2917</v>
      </c>
      <c r="D776" s="1" t="s">
        <v>3462</v>
      </c>
      <c r="E776" s="1">
        <v>22900000</v>
      </c>
    </row>
    <row r="777" spans="1:5" ht="14.4" x14ac:dyDescent="0.3">
      <c r="A777" s="20" t="s">
        <v>7196</v>
      </c>
      <c r="B777" s="1" t="s">
        <v>264</v>
      </c>
      <c r="C777" s="1" t="s">
        <v>2917</v>
      </c>
      <c r="D777" s="1" t="s">
        <v>3463</v>
      </c>
      <c r="E777" s="1">
        <v>22900000</v>
      </c>
    </row>
    <row r="778" spans="1:5" ht="14.4" x14ac:dyDescent="0.3">
      <c r="A778" s="20" t="s">
        <v>7197</v>
      </c>
      <c r="B778" s="1" t="s">
        <v>339</v>
      </c>
      <c r="C778" s="1" t="s">
        <v>3464</v>
      </c>
      <c r="D778" s="1" t="s">
        <v>3465</v>
      </c>
      <c r="E778" s="1">
        <v>27700000</v>
      </c>
    </row>
    <row r="779" spans="1:5" ht="14.4" x14ac:dyDescent="0.3">
      <c r="A779" s="20" t="s">
        <v>7198</v>
      </c>
      <c r="B779" s="1" t="s">
        <v>93</v>
      </c>
      <c r="C779" s="1" t="s">
        <v>3388</v>
      </c>
      <c r="D779" s="1" t="s">
        <v>3466</v>
      </c>
      <c r="E779" s="1">
        <v>13200000</v>
      </c>
    </row>
    <row r="780" spans="1:5" ht="14.4" x14ac:dyDescent="0.3">
      <c r="A780" s="20" t="s">
        <v>7199</v>
      </c>
      <c r="B780" s="1" t="s">
        <v>93</v>
      </c>
      <c r="C780" s="1" t="s">
        <v>2919</v>
      </c>
      <c r="D780" s="1" t="s">
        <v>137</v>
      </c>
      <c r="E780" s="1">
        <v>46500000</v>
      </c>
    </row>
    <row r="781" spans="1:5" ht="14.4" x14ac:dyDescent="0.3">
      <c r="A781" s="20" t="s">
        <v>7200</v>
      </c>
      <c r="B781" s="1" t="s">
        <v>2961</v>
      </c>
      <c r="C781" s="1" t="s">
        <v>3453</v>
      </c>
      <c r="D781" s="1" t="s">
        <v>2889</v>
      </c>
      <c r="E781" s="1">
        <v>13800000</v>
      </c>
    </row>
    <row r="782" spans="1:5" ht="14.4" x14ac:dyDescent="0.3">
      <c r="A782" s="20" t="s">
        <v>7201</v>
      </c>
      <c r="B782" s="1" t="s">
        <v>48</v>
      </c>
      <c r="C782" s="1" t="s">
        <v>3176</v>
      </c>
      <c r="D782" s="1" t="s">
        <v>441</v>
      </c>
      <c r="E782" s="1">
        <v>10800000</v>
      </c>
    </row>
    <row r="783" spans="1:5" ht="14.4" x14ac:dyDescent="0.3">
      <c r="A783" s="20" t="s">
        <v>7202</v>
      </c>
      <c r="B783" s="1" t="s">
        <v>30</v>
      </c>
      <c r="C783" s="1" t="s">
        <v>2908</v>
      </c>
      <c r="D783" s="1" t="s">
        <v>3467</v>
      </c>
      <c r="E783" s="1">
        <v>8400000</v>
      </c>
    </row>
    <row r="784" spans="1:5" ht="14.4" x14ac:dyDescent="0.3">
      <c r="A784" s="20" t="s">
        <v>7203</v>
      </c>
      <c r="B784" s="1" t="s">
        <v>181</v>
      </c>
      <c r="C784" s="1" t="s">
        <v>185</v>
      </c>
      <c r="D784" s="1" t="s">
        <v>3468</v>
      </c>
      <c r="E784" s="1">
        <v>10400000</v>
      </c>
    </row>
    <row r="785" spans="1:5" ht="14.4" x14ac:dyDescent="0.3">
      <c r="A785" s="20" t="s">
        <v>7204</v>
      </c>
      <c r="B785" s="1" t="s">
        <v>157</v>
      </c>
      <c r="C785" s="1" t="s">
        <v>164</v>
      </c>
      <c r="D785" s="1" t="s">
        <v>3469</v>
      </c>
      <c r="E785" s="1">
        <v>11000000</v>
      </c>
    </row>
    <row r="786" spans="1:5" ht="14.4" x14ac:dyDescent="0.3">
      <c r="A786" s="20" t="s">
        <v>7205</v>
      </c>
      <c r="B786" s="1" t="s">
        <v>93</v>
      </c>
      <c r="C786" s="1" t="s">
        <v>3205</v>
      </c>
      <c r="D786" s="1" t="s">
        <v>440</v>
      </c>
      <c r="E786" s="1">
        <v>18200000</v>
      </c>
    </row>
    <row r="787" spans="1:5" ht="14.4" x14ac:dyDescent="0.3">
      <c r="A787" s="20" t="s">
        <v>7206</v>
      </c>
      <c r="B787" s="1" t="s">
        <v>334</v>
      </c>
      <c r="C787" s="1" t="s">
        <v>3393</v>
      </c>
      <c r="D787" s="1" t="s">
        <v>3470</v>
      </c>
      <c r="E787" s="1">
        <v>24800000</v>
      </c>
    </row>
    <row r="788" spans="1:5" ht="14.4" x14ac:dyDescent="0.3">
      <c r="A788" s="20" t="s">
        <v>7207</v>
      </c>
      <c r="B788" s="1" t="s">
        <v>303</v>
      </c>
      <c r="C788" s="1" t="s">
        <v>2942</v>
      </c>
      <c r="D788" s="1" t="s">
        <v>308</v>
      </c>
      <c r="E788" s="1">
        <v>37100000</v>
      </c>
    </row>
    <row r="789" spans="1:5" ht="14.4" x14ac:dyDescent="0.3">
      <c r="A789" s="20" t="s">
        <v>7208</v>
      </c>
      <c r="B789" s="1" t="s">
        <v>264</v>
      </c>
      <c r="C789" s="1" t="s">
        <v>2996</v>
      </c>
      <c r="D789" s="1" t="s">
        <v>3471</v>
      </c>
      <c r="E789" s="1">
        <v>17600000</v>
      </c>
    </row>
    <row r="790" spans="1:5" ht="14.4" x14ac:dyDescent="0.3">
      <c r="A790" s="20" t="s">
        <v>7209</v>
      </c>
      <c r="B790" s="1" t="s">
        <v>2910</v>
      </c>
      <c r="C790" s="1" t="s">
        <v>218</v>
      </c>
      <c r="D790" s="1" t="s">
        <v>3472</v>
      </c>
      <c r="E790" s="1">
        <v>26100000</v>
      </c>
    </row>
    <row r="791" spans="1:5" ht="14.4" x14ac:dyDescent="0.3">
      <c r="A791" s="20" t="s">
        <v>7210</v>
      </c>
      <c r="B791" s="1" t="s">
        <v>48</v>
      </c>
      <c r="C791" s="1" t="s">
        <v>3473</v>
      </c>
      <c r="D791" s="1" t="s">
        <v>3474</v>
      </c>
      <c r="E791" s="1">
        <v>6610000</v>
      </c>
    </row>
    <row r="792" spans="1:5" ht="14.4" x14ac:dyDescent="0.3">
      <c r="A792" s="20" t="s">
        <v>7211</v>
      </c>
      <c r="B792" s="1" t="s">
        <v>72</v>
      </c>
      <c r="C792" s="1" t="s">
        <v>2980</v>
      </c>
      <c r="D792" s="1" t="s">
        <v>3475</v>
      </c>
      <c r="E792" s="1">
        <v>8900000</v>
      </c>
    </row>
    <row r="793" spans="1:5" ht="14.4" x14ac:dyDescent="0.3">
      <c r="A793" s="20" t="s">
        <v>7212</v>
      </c>
      <c r="B793" s="1" t="s">
        <v>3228</v>
      </c>
      <c r="C793" s="1" t="s">
        <v>3229</v>
      </c>
      <c r="D793" s="1" t="s">
        <v>442</v>
      </c>
      <c r="E793" s="1">
        <v>10800000</v>
      </c>
    </row>
    <row r="794" spans="1:5" ht="14.4" x14ac:dyDescent="0.3">
      <c r="A794" s="20" t="s">
        <v>7213</v>
      </c>
      <c r="B794" s="1" t="s">
        <v>264</v>
      </c>
      <c r="C794" s="1" t="s">
        <v>2897</v>
      </c>
      <c r="D794" s="1" t="s">
        <v>439</v>
      </c>
      <c r="E794" s="1">
        <v>15600000</v>
      </c>
    </row>
    <row r="795" spans="1:5" ht="14.4" x14ac:dyDescent="0.3">
      <c r="A795" s="20" t="s">
        <v>7214</v>
      </c>
      <c r="B795" s="1" t="s">
        <v>93</v>
      </c>
      <c r="C795" s="1" t="s">
        <v>113</v>
      </c>
      <c r="D795" s="1" t="s">
        <v>3476</v>
      </c>
      <c r="E795" s="1">
        <v>30600000</v>
      </c>
    </row>
    <row r="796" spans="1:5" ht="14.4" x14ac:dyDescent="0.3">
      <c r="A796" s="20" t="s">
        <v>7215</v>
      </c>
      <c r="B796" s="1" t="s">
        <v>264</v>
      </c>
      <c r="C796" s="1">
        <v>3008</v>
      </c>
      <c r="D796" s="1" t="s">
        <v>3477</v>
      </c>
      <c r="E796" s="1">
        <v>13400000</v>
      </c>
    </row>
    <row r="797" spans="1:5" ht="14.4" x14ac:dyDescent="0.3">
      <c r="A797" s="20" t="s">
        <v>7216</v>
      </c>
      <c r="B797" s="1" t="s">
        <v>2961</v>
      </c>
      <c r="C797" s="1" t="s">
        <v>3478</v>
      </c>
      <c r="D797" s="1" t="s">
        <v>3479</v>
      </c>
      <c r="E797" s="1">
        <v>10200000</v>
      </c>
    </row>
    <row r="798" spans="1:5" ht="14.4" x14ac:dyDescent="0.3">
      <c r="A798" s="20" t="s">
        <v>7217</v>
      </c>
      <c r="B798" s="1" t="s">
        <v>3228</v>
      </c>
      <c r="C798" s="1" t="s">
        <v>3229</v>
      </c>
      <c r="D798" s="1" t="s">
        <v>442</v>
      </c>
      <c r="E798" s="1">
        <v>10800000</v>
      </c>
    </row>
    <row r="799" spans="1:5" ht="14.4" x14ac:dyDescent="0.3">
      <c r="A799" s="20" t="s">
        <v>7218</v>
      </c>
      <c r="B799" s="1" t="s">
        <v>264</v>
      </c>
      <c r="C799" s="1" t="s">
        <v>2913</v>
      </c>
      <c r="D799" s="1" t="s">
        <v>3436</v>
      </c>
      <c r="E799" s="1">
        <v>23100000</v>
      </c>
    </row>
    <row r="800" spans="1:5" ht="14.4" x14ac:dyDescent="0.3">
      <c r="A800" s="20" t="s">
        <v>7219</v>
      </c>
      <c r="B800" s="1" t="s">
        <v>93</v>
      </c>
      <c r="C800" s="1" t="s">
        <v>3480</v>
      </c>
      <c r="D800" s="1" t="s">
        <v>3481</v>
      </c>
      <c r="E800" s="1">
        <v>42900000</v>
      </c>
    </row>
    <row r="801" spans="1:5" ht="14.4" x14ac:dyDescent="0.3">
      <c r="A801" s="20" t="s">
        <v>7220</v>
      </c>
      <c r="B801" s="1" t="s">
        <v>334</v>
      </c>
      <c r="C801" s="1" t="s">
        <v>3393</v>
      </c>
      <c r="D801" s="1" t="s">
        <v>3470</v>
      </c>
      <c r="E801" s="1">
        <v>24800000</v>
      </c>
    </row>
    <row r="802" spans="1:5" ht="14.4" x14ac:dyDescent="0.3">
      <c r="A802" s="20" t="s">
        <v>7221</v>
      </c>
      <c r="B802" s="1" t="s">
        <v>48</v>
      </c>
      <c r="C802" s="1" t="s">
        <v>2937</v>
      </c>
      <c r="D802" s="1" t="s">
        <v>3482</v>
      </c>
      <c r="E802" s="1">
        <v>20300000</v>
      </c>
    </row>
    <row r="803" spans="1:5" ht="14.4" x14ac:dyDescent="0.3">
      <c r="A803" s="20" t="s">
        <v>7222</v>
      </c>
      <c r="B803" s="1" t="s">
        <v>93</v>
      </c>
      <c r="C803" s="1" t="s">
        <v>3480</v>
      </c>
      <c r="D803" s="1" t="s">
        <v>3481</v>
      </c>
      <c r="E803" s="1">
        <v>42900000</v>
      </c>
    </row>
    <row r="804" spans="1:5" ht="14.4" x14ac:dyDescent="0.3">
      <c r="A804" s="20" t="s">
        <v>7223</v>
      </c>
      <c r="B804" s="1" t="s">
        <v>242</v>
      </c>
      <c r="C804" s="1" t="s">
        <v>3094</v>
      </c>
      <c r="D804" s="1" t="s">
        <v>3483</v>
      </c>
      <c r="E804" s="1">
        <v>25200000</v>
      </c>
    </row>
    <row r="805" spans="1:5" ht="14.4" x14ac:dyDescent="0.3">
      <c r="A805" s="20" t="s">
        <v>7224</v>
      </c>
      <c r="B805" s="1" t="s">
        <v>167</v>
      </c>
      <c r="C805" s="1" t="s">
        <v>3484</v>
      </c>
      <c r="D805" s="1" t="s">
        <v>3485</v>
      </c>
      <c r="E805" s="1">
        <v>11000000</v>
      </c>
    </row>
    <row r="806" spans="1:5" ht="14.4" x14ac:dyDescent="0.3">
      <c r="A806" s="20" t="s">
        <v>7225</v>
      </c>
      <c r="B806" s="1" t="s">
        <v>93</v>
      </c>
      <c r="C806" s="1" t="s">
        <v>97</v>
      </c>
      <c r="D806" s="1" t="s">
        <v>3486</v>
      </c>
      <c r="E806" s="1">
        <v>7570000</v>
      </c>
    </row>
    <row r="807" spans="1:5" ht="14.4" x14ac:dyDescent="0.3">
      <c r="A807" s="20" t="s">
        <v>7226</v>
      </c>
      <c r="B807" s="1" t="s">
        <v>2938</v>
      </c>
      <c r="C807" s="1" t="s">
        <v>2939</v>
      </c>
      <c r="D807" s="1" t="s">
        <v>3487</v>
      </c>
      <c r="E807" s="1">
        <v>8600000</v>
      </c>
    </row>
    <row r="808" spans="1:5" ht="14.4" x14ac:dyDescent="0.3">
      <c r="A808" s="20" t="s">
        <v>7227</v>
      </c>
      <c r="B808" s="1" t="s">
        <v>2910</v>
      </c>
      <c r="C808" s="1" t="s">
        <v>218</v>
      </c>
      <c r="D808" s="1" t="s">
        <v>3488</v>
      </c>
      <c r="E808" s="1">
        <v>20200000</v>
      </c>
    </row>
    <row r="809" spans="1:5" ht="14.4" x14ac:dyDescent="0.3">
      <c r="A809" s="20" t="s">
        <v>7228</v>
      </c>
      <c r="B809" s="1" t="s">
        <v>264</v>
      </c>
      <c r="C809" s="1" t="s">
        <v>293</v>
      </c>
      <c r="D809" s="1" t="s">
        <v>3489</v>
      </c>
      <c r="E809" s="1">
        <v>14400000</v>
      </c>
    </row>
    <row r="810" spans="1:5" ht="14.4" x14ac:dyDescent="0.3">
      <c r="A810" s="20" t="s">
        <v>7229</v>
      </c>
      <c r="B810" s="1" t="s">
        <v>339</v>
      </c>
      <c r="C810" s="1" t="s">
        <v>343</v>
      </c>
      <c r="D810" s="1" t="s">
        <v>3490</v>
      </c>
      <c r="E810" s="1">
        <v>9000000</v>
      </c>
    </row>
    <row r="811" spans="1:5" ht="14.4" x14ac:dyDescent="0.3">
      <c r="A811" s="20" t="s">
        <v>7230</v>
      </c>
      <c r="B811" s="1" t="s">
        <v>264</v>
      </c>
      <c r="C811" s="1" t="s">
        <v>2917</v>
      </c>
      <c r="D811" s="1" t="s">
        <v>3491</v>
      </c>
      <c r="E811" s="1">
        <v>30600000</v>
      </c>
    </row>
    <row r="812" spans="1:5" ht="14.4" x14ac:dyDescent="0.3">
      <c r="A812" s="20" t="s">
        <v>7231</v>
      </c>
      <c r="B812" s="1" t="s">
        <v>317</v>
      </c>
      <c r="C812" s="1" t="s">
        <v>3492</v>
      </c>
      <c r="D812" s="1" t="s">
        <v>3493</v>
      </c>
      <c r="E812" s="1">
        <v>15000000</v>
      </c>
    </row>
    <row r="813" spans="1:5" ht="14.4" x14ac:dyDescent="0.3">
      <c r="A813" s="20" t="s">
        <v>7232</v>
      </c>
      <c r="B813" s="1" t="s">
        <v>151</v>
      </c>
      <c r="C813" s="1" t="s">
        <v>3180</v>
      </c>
      <c r="D813" s="1" t="s">
        <v>3494</v>
      </c>
      <c r="E813" s="1">
        <v>8500000</v>
      </c>
    </row>
    <row r="814" spans="1:5" ht="14.4" x14ac:dyDescent="0.3">
      <c r="A814" s="20" t="s">
        <v>7233</v>
      </c>
      <c r="B814" s="1" t="s">
        <v>30</v>
      </c>
      <c r="C814" s="1" t="s">
        <v>3495</v>
      </c>
      <c r="D814" s="1" t="s">
        <v>3496</v>
      </c>
      <c r="E814" s="1">
        <v>5680000</v>
      </c>
    </row>
    <row r="815" spans="1:5" ht="14.4" x14ac:dyDescent="0.3">
      <c r="A815" s="20" t="s">
        <v>7234</v>
      </c>
      <c r="B815" s="1" t="s">
        <v>242</v>
      </c>
      <c r="C815" s="1" t="s">
        <v>3094</v>
      </c>
      <c r="D815" s="1" t="s">
        <v>3497</v>
      </c>
      <c r="E815" s="1">
        <v>13900000</v>
      </c>
    </row>
    <row r="816" spans="1:5" ht="14.4" x14ac:dyDescent="0.3">
      <c r="A816" s="20" t="s">
        <v>7235</v>
      </c>
      <c r="B816" s="1" t="s">
        <v>30</v>
      </c>
      <c r="C816" s="1" t="s">
        <v>2908</v>
      </c>
      <c r="D816" s="1" t="s">
        <v>3498</v>
      </c>
      <c r="E816" s="1">
        <v>7280000</v>
      </c>
    </row>
    <row r="817" spans="1:5" ht="14.4" x14ac:dyDescent="0.3">
      <c r="A817" s="20" t="s">
        <v>7236</v>
      </c>
      <c r="B817" s="1" t="s">
        <v>2933</v>
      </c>
      <c r="C817" s="1" t="s">
        <v>2955</v>
      </c>
      <c r="D817" s="1" t="s">
        <v>3499</v>
      </c>
      <c r="E817" s="1">
        <v>10500000</v>
      </c>
    </row>
    <row r="818" spans="1:5" ht="14.4" x14ac:dyDescent="0.3">
      <c r="A818" s="20" t="s">
        <v>7237</v>
      </c>
      <c r="B818" s="1" t="s">
        <v>30</v>
      </c>
      <c r="C818" s="1" t="s">
        <v>2908</v>
      </c>
      <c r="D818" s="1" t="s">
        <v>3500</v>
      </c>
      <c r="E818" s="1">
        <v>7170000</v>
      </c>
    </row>
    <row r="819" spans="1:5" ht="14.4" x14ac:dyDescent="0.3">
      <c r="A819" s="20" t="s">
        <v>7238</v>
      </c>
      <c r="B819" s="1" t="s">
        <v>264</v>
      </c>
      <c r="C819" s="1" t="s">
        <v>2913</v>
      </c>
      <c r="D819" s="1" t="s">
        <v>3501</v>
      </c>
      <c r="E819" s="1">
        <v>24000000</v>
      </c>
    </row>
    <row r="820" spans="1:5" ht="14.4" x14ac:dyDescent="0.3">
      <c r="A820" s="20" t="s">
        <v>7239</v>
      </c>
      <c r="B820" s="1" t="s">
        <v>3228</v>
      </c>
      <c r="C820" s="1" t="s">
        <v>3229</v>
      </c>
      <c r="D820" s="1" t="s">
        <v>3502</v>
      </c>
      <c r="E820" s="1">
        <v>12600000</v>
      </c>
    </row>
    <row r="821" spans="1:5" ht="14.4" x14ac:dyDescent="0.3">
      <c r="A821" s="20" t="s">
        <v>7240</v>
      </c>
      <c r="B821" s="1" t="s">
        <v>229</v>
      </c>
      <c r="C821" s="1">
        <v>3</v>
      </c>
      <c r="D821" s="1" t="s">
        <v>3503</v>
      </c>
      <c r="E821" s="1">
        <v>14300000</v>
      </c>
    </row>
    <row r="822" spans="1:5" ht="14.4" x14ac:dyDescent="0.3">
      <c r="A822" s="20" t="s">
        <v>7241</v>
      </c>
      <c r="B822" s="1" t="s">
        <v>188</v>
      </c>
      <c r="C822" s="1">
        <v>7</v>
      </c>
      <c r="D822" s="1" t="s">
        <v>3052</v>
      </c>
      <c r="E822" s="1">
        <v>17700000</v>
      </c>
    </row>
    <row r="823" spans="1:5" ht="14.4" x14ac:dyDescent="0.3">
      <c r="A823" s="20" t="s">
        <v>7242</v>
      </c>
      <c r="B823" s="1" t="s">
        <v>167</v>
      </c>
      <c r="C823" s="1" t="s">
        <v>3119</v>
      </c>
      <c r="D823" s="1" t="s">
        <v>953</v>
      </c>
      <c r="E823" s="1">
        <v>6160000</v>
      </c>
    </row>
    <row r="824" spans="1:5" ht="14.4" x14ac:dyDescent="0.3">
      <c r="A824" s="20" t="s">
        <v>7243</v>
      </c>
      <c r="B824" s="1" t="s">
        <v>2945</v>
      </c>
      <c r="C824" s="1" t="s">
        <v>2994</v>
      </c>
      <c r="D824" s="1" t="s">
        <v>3504</v>
      </c>
      <c r="E824" s="1">
        <v>7060000</v>
      </c>
    </row>
    <row r="825" spans="1:5" ht="14.4" x14ac:dyDescent="0.3">
      <c r="A825" s="20" t="s">
        <v>7244</v>
      </c>
      <c r="B825" s="1" t="s">
        <v>2910</v>
      </c>
      <c r="C825" s="1" t="s">
        <v>218</v>
      </c>
      <c r="D825" s="1" t="s">
        <v>3505</v>
      </c>
      <c r="E825" s="1">
        <v>23100000</v>
      </c>
    </row>
    <row r="826" spans="1:5" ht="14.4" x14ac:dyDescent="0.3">
      <c r="A826" s="20" t="s">
        <v>7245</v>
      </c>
      <c r="B826" s="1" t="s">
        <v>264</v>
      </c>
      <c r="C826" s="1" t="s">
        <v>2913</v>
      </c>
      <c r="D826" s="1" t="s">
        <v>3506</v>
      </c>
      <c r="E826" s="1">
        <v>22500000</v>
      </c>
    </row>
    <row r="827" spans="1:5" ht="14.4" x14ac:dyDescent="0.3">
      <c r="A827" s="20" t="s">
        <v>7246</v>
      </c>
      <c r="B827" s="1" t="s">
        <v>264</v>
      </c>
      <c r="C827" s="1" t="s">
        <v>2890</v>
      </c>
      <c r="D827" s="1" t="s">
        <v>3507</v>
      </c>
      <c r="E827" s="1">
        <v>15200000</v>
      </c>
    </row>
    <row r="828" spans="1:5" ht="14.4" x14ac:dyDescent="0.3">
      <c r="A828" s="20" t="s">
        <v>7247</v>
      </c>
      <c r="B828" s="1" t="s">
        <v>167</v>
      </c>
      <c r="C828" s="1" t="s">
        <v>3508</v>
      </c>
      <c r="D828" s="1" t="s">
        <v>3509</v>
      </c>
      <c r="E828" s="1">
        <v>17100000</v>
      </c>
    </row>
    <row r="829" spans="1:5" ht="14.4" x14ac:dyDescent="0.3">
      <c r="A829" s="20" t="s">
        <v>7248</v>
      </c>
      <c r="B829" s="1" t="s">
        <v>15</v>
      </c>
      <c r="C829" s="1" t="s">
        <v>2920</v>
      </c>
      <c r="D829" s="1" t="s">
        <v>3510</v>
      </c>
      <c r="E829" s="1">
        <v>11700000</v>
      </c>
    </row>
    <row r="830" spans="1:5" ht="14.4" x14ac:dyDescent="0.3">
      <c r="A830" s="20" t="s">
        <v>7249</v>
      </c>
      <c r="B830" s="1" t="s">
        <v>242</v>
      </c>
      <c r="C830" s="1" t="s">
        <v>3511</v>
      </c>
      <c r="D830" s="1" t="s">
        <v>3512</v>
      </c>
      <c r="E830" s="1">
        <v>11500000</v>
      </c>
    </row>
    <row r="831" spans="1:5" ht="14.4" x14ac:dyDescent="0.3">
      <c r="A831" s="20" t="s">
        <v>7250</v>
      </c>
      <c r="B831" s="1" t="s">
        <v>181</v>
      </c>
      <c r="C831" s="1" t="s">
        <v>2941</v>
      </c>
      <c r="D831" s="1" t="s">
        <v>3513</v>
      </c>
      <c r="E831" s="1">
        <v>8400000</v>
      </c>
    </row>
    <row r="832" spans="1:5" ht="14.4" x14ac:dyDescent="0.3">
      <c r="A832" s="20" t="s">
        <v>7251</v>
      </c>
      <c r="B832" s="1" t="s">
        <v>2945</v>
      </c>
      <c r="C832" s="1" t="s">
        <v>2983</v>
      </c>
      <c r="D832" s="1" t="s">
        <v>3514</v>
      </c>
      <c r="E832" s="1">
        <v>9100000</v>
      </c>
    </row>
    <row r="833" spans="1:5" ht="14.4" x14ac:dyDescent="0.3">
      <c r="A833" s="20" t="s">
        <v>7252</v>
      </c>
      <c r="B833" s="1" t="s">
        <v>3228</v>
      </c>
      <c r="C833" s="1" t="s">
        <v>3515</v>
      </c>
      <c r="D833" s="1" t="s">
        <v>3516</v>
      </c>
      <c r="E833" s="1">
        <v>13000000</v>
      </c>
    </row>
    <row r="834" spans="1:5" ht="14.4" x14ac:dyDescent="0.3">
      <c r="A834" s="20" t="s">
        <v>7253</v>
      </c>
      <c r="B834" s="1" t="s">
        <v>30</v>
      </c>
      <c r="C834" s="1" t="s">
        <v>3517</v>
      </c>
      <c r="D834" s="1" t="s">
        <v>2889</v>
      </c>
      <c r="E834" s="1">
        <v>15000000</v>
      </c>
    </row>
    <row r="835" spans="1:5" ht="14.4" x14ac:dyDescent="0.3">
      <c r="A835" s="20" t="s">
        <v>7254</v>
      </c>
      <c r="B835" s="1" t="s">
        <v>303</v>
      </c>
      <c r="C835" s="1" t="s">
        <v>311</v>
      </c>
      <c r="D835" s="1" t="s">
        <v>3518</v>
      </c>
      <c r="E835" s="1">
        <v>28900000</v>
      </c>
    </row>
    <row r="836" spans="1:5" ht="14.4" x14ac:dyDescent="0.3">
      <c r="A836" s="20" t="s">
        <v>7255</v>
      </c>
      <c r="B836" s="1" t="s">
        <v>93</v>
      </c>
      <c r="C836" s="1" t="s">
        <v>2919</v>
      </c>
      <c r="D836" s="1" t="s">
        <v>3519</v>
      </c>
      <c r="E836" s="1">
        <v>37500000</v>
      </c>
    </row>
    <row r="837" spans="1:5" ht="14.4" x14ac:dyDescent="0.3">
      <c r="A837" s="20" t="s">
        <v>7256</v>
      </c>
      <c r="B837" s="1" t="s">
        <v>93</v>
      </c>
      <c r="C837" s="1" t="s">
        <v>97</v>
      </c>
      <c r="D837" s="1" t="s">
        <v>3520</v>
      </c>
      <c r="E837" s="1">
        <v>7670000</v>
      </c>
    </row>
    <row r="838" spans="1:5" ht="14.4" x14ac:dyDescent="0.3">
      <c r="A838" s="20" t="s">
        <v>7257</v>
      </c>
      <c r="B838" s="1" t="s">
        <v>181</v>
      </c>
      <c r="C838" s="1" t="s">
        <v>2941</v>
      </c>
      <c r="D838" s="1" t="s">
        <v>3521</v>
      </c>
      <c r="E838" s="1">
        <v>7320000</v>
      </c>
    </row>
    <row r="839" spans="1:5" ht="14.4" x14ac:dyDescent="0.3">
      <c r="A839" s="20" t="s">
        <v>7258</v>
      </c>
      <c r="B839" s="1" t="s">
        <v>2933</v>
      </c>
      <c r="C839" s="1" t="s">
        <v>2934</v>
      </c>
      <c r="D839" s="1" t="s">
        <v>438</v>
      </c>
      <c r="E839" s="1">
        <v>18900000</v>
      </c>
    </row>
    <row r="840" spans="1:5" ht="14.4" x14ac:dyDescent="0.3">
      <c r="A840" s="20" t="s">
        <v>7259</v>
      </c>
      <c r="B840" s="1" t="s">
        <v>93</v>
      </c>
      <c r="C840" s="1" t="s">
        <v>2919</v>
      </c>
      <c r="D840" s="1" t="s">
        <v>433</v>
      </c>
      <c r="E840" s="1">
        <v>31000000</v>
      </c>
    </row>
    <row r="841" spans="1:5" ht="14.4" x14ac:dyDescent="0.3">
      <c r="A841" s="20" t="s">
        <v>7260</v>
      </c>
      <c r="B841" s="1" t="s">
        <v>48</v>
      </c>
      <c r="C841" s="1" t="s">
        <v>3176</v>
      </c>
      <c r="D841" s="1" t="s">
        <v>441</v>
      </c>
      <c r="E841" s="1">
        <v>10800000</v>
      </c>
    </row>
    <row r="842" spans="1:5" ht="14.4" x14ac:dyDescent="0.3">
      <c r="A842" s="20" t="s">
        <v>7261</v>
      </c>
      <c r="B842" s="1" t="s">
        <v>260</v>
      </c>
      <c r="C842" s="1" t="s">
        <v>69</v>
      </c>
      <c r="D842" s="1" t="s">
        <v>3522</v>
      </c>
      <c r="E842" s="1">
        <v>13500000</v>
      </c>
    </row>
    <row r="843" spans="1:5" ht="14.4" x14ac:dyDescent="0.3">
      <c r="A843" s="20" t="s">
        <v>7262</v>
      </c>
      <c r="B843" s="1" t="s">
        <v>2906</v>
      </c>
      <c r="C843" s="1" t="s">
        <v>3523</v>
      </c>
      <c r="D843" s="1" t="s">
        <v>3524</v>
      </c>
      <c r="E843" s="1">
        <v>13800000</v>
      </c>
    </row>
    <row r="844" spans="1:5" ht="14.4" x14ac:dyDescent="0.3">
      <c r="A844" s="20" t="s">
        <v>7263</v>
      </c>
      <c r="B844" s="1" t="s">
        <v>2906</v>
      </c>
      <c r="C844" s="1" t="s">
        <v>3523</v>
      </c>
      <c r="D844" s="1" t="s">
        <v>3524</v>
      </c>
      <c r="E844" s="1">
        <v>13800000</v>
      </c>
    </row>
    <row r="845" spans="1:5" ht="14.4" x14ac:dyDescent="0.3">
      <c r="A845" s="20" t="s">
        <v>7264</v>
      </c>
      <c r="B845" s="1" t="s">
        <v>2906</v>
      </c>
      <c r="C845" s="1" t="s">
        <v>3371</v>
      </c>
      <c r="D845" s="1" t="s">
        <v>2889</v>
      </c>
      <c r="E845" s="1">
        <v>13900000</v>
      </c>
    </row>
    <row r="846" spans="1:5" ht="14.4" x14ac:dyDescent="0.3">
      <c r="A846" s="20" t="s">
        <v>7265</v>
      </c>
      <c r="B846" s="1" t="s">
        <v>48</v>
      </c>
      <c r="C846" s="1" t="s">
        <v>49</v>
      </c>
      <c r="D846" s="1" t="s">
        <v>427</v>
      </c>
      <c r="E846" s="1">
        <v>11500000</v>
      </c>
    </row>
    <row r="847" spans="1:5" ht="14.4" x14ac:dyDescent="0.3">
      <c r="A847" s="20" t="s">
        <v>7266</v>
      </c>
      <c r="B847" s="1" t="s">
        <v>317</v>
      </c>
      <c r="C847" s="1" t="s">
        <v>3492</v>
      </c>
      <c r="D847" s="1" t="s">
        <v>3525</v>
      </c>
      <c r="E847" s="1">
        <v>17700000</v>
      </c>
    </row>
    <row r="848" spans="1:5" ht="14.4" x14ac:dyDescent="0.3">
      <c r="A848" s="20" t="s">
        <v>7267</v>
      </c>
      <c r="B848" s="1" t="s">
        <v>317</v>
      </c>
      <c r="C848" s="1" t="s">
        <v>3492</v>
      </c>
      <c r="D848" s="1" t="s">
        <v>2889</v>
      </c>
      <c r="E848" s="1">
        <v>22100000</v>
      </c>
    </row>
    <row r="849" spans="1:5" ht="14.4" x14ac:dyDescent="0.3">
      <c r="A849" s="20" t="s">
        <v>7268</v>
      </c>
      <c r="B849" s="1" t="s">
        <v>242</v>
      </c>
      <c r="C849" s="1" t="s">
        <v>3094</v>
      </c>
      <c r="D849" s="1" t="s">
        <v>3526</v>
      </c>
      <c r="E849" s="1">
        <v>23900000</v>
      </c>
    </row>
    <row r="850" spans="1:5" ht="14.4" x14ac:dyDescent="0.3">
      <c r="A850" s="20" t="s">
        <v>7269</v>
      </c>
      <c r="B850" s="1" t="s">
        <v>30</v>
      </c>
      <c r="C850" s="1" t="s">
        <v>41</v>
      </c>
      <c r="D850" s="1" t="s">
        <v>3527</v>
      </c>
      <c r="E850" s="1">
        <v>12400000</v>
      </c>
    </row>
    <row r="851" spans="1:5" ht="14.4" x14ac:dyDescent="0.3">
      <c r="A851" s="20" t="s">
        <v>7270</v>
      </c>
      <c r="B851" s="1" t="s">
        <v>242</v>
      </c>
      <c r="C851" s="1" t="s">
        <v>2904</v>
      </c>
      <c r="D851" s="1" t="s">
        <v>3528</v>
      </c>
      <c r="E851" s="1">
        <v>25100000</v>
      </c>
    </row>
    <row r="852" spans="1:5" ht="14.4" x14ac:dyDescent="0.3">
      <c r="A852" s="20" t="s">
        <v>7271</v>
      </c>
      <c r="B852" s="1" t="s">
        <v>167</v>
      </c>
      <c r="C852" s="1" t="s">
        <v>3529</v>
      </c>
      <c r="D852" s="1" t="s">
        <v>426</v>
      </c>
      <c r="E852" s="1">
        <v>13300000</v>
      </c>
    </row>
    <row r="853" spans="1:5" ht="14.4" x14ac:dyDescent="0.3">
      <c r="A853" s="20" t="s">
        <v>7272</v>
      </c>
      <c r="B853" s="1" t="s">
        <v>2910</v>
      </c>
      <c r="C853" s="1" t="s">
        <v>2911</v>
      </c>
      <c r="D853" s="1" t="s">
        <v>3530</v>
      </c>
      <c r="E853" s="1">
        <v>8400000</v>
      </c>
    </row>
    <row r="854" spans="1:5" ht="14.4" x14ac:dyDescent="0.3">
      <c r="A854" s="20" t="s">
        <v>7273</v>
      </c>
      <c r="B854" s="1" t="s">
        <v>2957</v>
      </c>
      <c r="C854" s="1" t="s">
        <v>3145</v>
      </c>
      <c r="D854" s="1" t="s">
        <v>3531</v>
      </c>
      <c r="E854" s="1">
        <v>21200000</v>
      </c>
    </row>
    <row r="855" spans="1:5" ht="14.4" x14ac:dyDescent="0.3">
      <c r="A855" s="20" t="s">
        <v>7274</v>
      </c>
      <c r="B855" s="1" t="s">
        <v>93</v>
      </c>
      <c r="C855" s="1" t="s">
        <v>3388</v>
      </c>
      <c r="D855" s="1" t="s">
        <v>3532</v>
      </c>
      <c r="E855" s="1">
        <v>13800000</v>
      </c>
    </row>
    <row r="856" spans="1:5" ht="14.4" x14ac:dyDescent="0.3">
      <c r="A856" s="20" t="s">
        <v>7275</v>
      </c>
      <c r="B856" s="1" t="s">
        <v>264</v>
      </c>
      <c r="C856" s="1" t="s">
        <v>2917</v>
      </c>
      <c r="D856" s="1" t="s">
        <v>3533</v>
      </c>
      <c r="E856" s="1">
        <v>24300000</v>
      </c>
    </row>
    <row r="857" spans="1:5" ht="14.4" x14ac:dyDescent="0.3">
      <c r="A857" s="20" t="s">
        <v>7276</v>
      </c>
      <c r="B857" s="1" t="s">
        <v>93</v>
      </c>
      <c r="C857" s="1" t="s">
        <v>3271</v>
      </c>
      <c r="D857" s="1" t="s">
        <v>3534</v>
      </c>
      <c r="E857" s="1">
        <v>24400000</v>
      </c>
    </row>
    <row r="858" spans="1:5" ht="14.4" x14ac:dyDescent="0.3">
      <c r="A858" s="20" t="s">
        <v>7277</v>
      </c>
      <c r="B858" s="1" t="s">
        <v>236</v>
      </c>
      <c r="C858" s="1" t="s">
        <v>237</v>
      </c>
      <c r="D858" s="1" t="s">
        <v>3535</v>
      </c>
      <c r="E858" s="1">
        <v>13000000</v>
      </c>
    </row>
    <row r="859" spans="1:5" ht="14.4" x14ac:dyDescent="0.3">
      <c r="A859" s="20" t="s">
        <v>7278</v>
      </c>
      <c r="B859" s="1" t="s">
        <v>167</v>
      </c>
      <c r="C859" s="1" t="s">
        <v>3508</v>
      </c>
      <c r="D859" s="1" t="s">
        <v>3536</v>
      </c>
      <c r="E859" s="1">
        <v>17200000</v>
      </c>
    </row>
    <row r="860" spans="1:5" ht="14.4" x14ac:dyDescent="0.3">
      <c r="A860" s="20" t="s">
        <v>7279</v>
      </c>
      <c r="B860" s="1" t="s">
        <v>264</v>
      </c>
      <c r="C860" s="1">
        <v>5008</v>
      </c>
      <c r="D860" s="1" t="s">
        <v>2110</v>
      </c>
      <c r="E860" s="1">
        <v>14800000</v>
      </c>
    </row>
    <row r="861" spans="1:5" ht="14.4" x14ac:dyDescent="0.3">
      <c r="A861" s="20" t="s">
        <v>7280</v>
      </c>
      <c r="B861" s="1" t="s">
        <v>48</v>
      </c>
      <c r="C861" s="1" t="s">
        <v>3132</v>
      </c>
      <c r="D861" s="1" t="s">
        <v>3537</v>
      </c>
      <c r="E861" s="1">
        <v>15700000</v>
      </c>
    </row>
    <row r="862" spans="1:5" ht="14.4" x14ac:dyDescent="0.3">
      <c r="A862" s="20" t="s">
        <v>7281</v>
      </c>
      <c r="B862" s="1" t="s">
        <v>264</v>
      </c>
      <c r="C862" s="1" t="s">
        <v>2896</v>
      </c>
      <c r="D862" s="1" t="s">
        <v>990</v>
      </c>
      <c r="E862" s="1">
        <v>11800000</v>
      </c>
    </row>
    <row r="863" spans="1:5" ht="14.4" x14ac:dyDescent="0.3">
      <c r="A863" s="20" t="s">
        <v>7282</v>
      </c>
      <c r="B863" s="1" t="s">
        <v>264</v>
      </c>
      <c r="C863" s="1">
        <v>3008</v>
      </c>
      <c r="D863" s="1" t="s">
        <v>3538</v>
      </c>
      <c r="E863" s="1">
        <v>19400000</v>
      </c>
    </row>
    <row r="864" spans="1:5" ht="14.4" x14ac:dyDescent="0.3">
      <c r="A864" s="20" t="s">
        <v>7283</v>
      </c>
      <c r="B864" s="1" t="s">
        <v>93</v>
      </c>
      <c r="C864" s="1" t="s">
        <v>100</v>
      </c>
      <c r="D864" s="1" t="s">
        <v>102</v>
      </c>
      <c r="E864" s="1">
        <v>26100000</v>
      </c>
    </row>
    <row r="865" spans="1:5" ht="14.4" x14ac:dyDescent="0.3">
      <c r="A865" s="20" t="s">
        <v>7284</v>
      </c>
      <c r="B865" s="1" t="s">
        <v>242</v>
      </c>
      <c r="C865" s="1" t="s">
        <v>246</v>
      </c>
      <c r="D865" s="1" t="s">
        <v>1477</v>
      </c>
      <c r="E865" s="1">
        <v>21900000</v>
      </c>
    </row>
    <row r="866" spans="1:5" ht="14.4" x14ac:dyDescent="0.3">
      <c r="A866" s="20" t="s">
        <v>7285</v>
      </c>
      <c r="B866" s="1" t="s">
        <v>264</v>
      </c>
      <c r="C866" s="1">
        <v>3008</v>
      </c>
      <c r="D866" s="1" t="s">
        <v>280</v>
      </c>
      <c r="E866" s="1">
        <v>15600000</v>
      </c>
    </row>
    <row r="867" spans="1:5" ht="14.4" x14ac:dyDescent="0.3">
      <c r="A867" s="20" t="s">
        <v>7286</v>
      </c>
      <c r="B867" s="1" t="s">
        <v>181</v>
      </c>
      <c r="C867" s="1" t="s">
        <v>2944</v>
      </c>
      <c r="D867" s="1" t="s">
        <v>1003</v>
      </c>
      <c r="E867" s="1">
        <v>13200000</v>
      </c>
    </row>
    <row r="868" spans="1:5" ht="14.4" x14ac:dyDescent="0.3">
      <c r="A868" s="20" t="s">
        <v>7287</v>
      </c>
      <c r="B868" s="1" t="s">
        <v>242</v>
      </c>
      <c r="C868" s="1" t="s">
        <v>246</v>
      </c>
      <c r="D868" s="1" t="s">
        <v>960</v>
      </c>
      <c r="E868" s="1">
        <v>21800000</v>
      </c>
    </row>
    <row r="869" spans="1:5" ht="14.4" x14ac:dyDescent="0.3">
      <c r="A869" s="20" t="s">
        <v>7288</v>
      </c>
      <c r="B869" s="1" t="s">
        <v>93</v>
      </c>
      <c r="C869" s="1" t="s">
        <v>2919</v>
      </c>
      <c r="D869" s="1" t="s">
        <v>1082</v>
      </c>
      <c r="E869" s="1">
        <v>35800000</v>
      </c>
    </row>
    <row r="870" spans="1:5" ht="14.4" x14ac:dyDescent="0.3">
      <c r="A870" s="20" t="s">
        <v>7289</v>
      </c>
      <c r="B870" s="1" t="s">
        <v>242</v>
      </c>
      <c r="C870" s="1" t="s">
        <v>246</v>
      </c>
      <c r="D870" s="1" t="s">
        <v>250</v>
      </c>
      <c r="E870" s="1">
        <v>17600000</v>
      </c>
    </row>
    <row r="871" spans="1:5" ht="14.4" x14ac:dyDescent="0.3">
      <c r="A871" s="20" t="s">
        <v>7290</v>
      </c>
      <c r="B871" s="1" t="s">
        <v>264</v>
      </c>
      <c r="C871" s="1" t="s">
        <v>2899</v>
      </c>
      <c r="D871" s="1" t="s">
        <v>923</v>
      </c>
      <c r="E871" s="1">
        <v>17000000</v>
      </c>
    </row>
    <row r="872" spans="1:5" ht="14.4" x14ac:dyDescent="0.3">
      <c r="A872" s="20" t="s">
        <v>7291</v>
      </c>
      <c r="B872" s="1" t="s">
        <v>264</v>
      </c>
      <c r="C872" s="1">
        <v>3008</v>
      </c>
      <c r="D872" s="1" t="s">
        <v>824</v>
      </c>
      <c r="E872" s="1">
        <v>16400000</v>
      </c>
    </row>
    <row r="873" spans="1:5" ht="14.4" x14ac:dyDescent="0.3">
      <c r="A873" s="20" t="s">
        <v>7292</v>
      </c>
      <c r="B873" s="1" t="s">
        <v>2905</v>
      </c>
      <c r="C873" s="1" t="s">
        <v>90</v>
      </c>
      <c r="D873" s="1" t="s">
        <v>3539</v>
      </c>
      <c r="E873" s="1">
        <v>13700000</v>
      </c>
    </row>
    <row r="874" spans="1:5" ht="14.4" x14ac:dyDescent="0.3">
      <c r="A874" s="20" t="s">
        <v>7293</v>
      </c>
      <c r="B874" s="1" t="s">
        <v>3540</v>
      </c>
      <c r="C874" s="1" t="s">
        <v>3541</v>
      </c>
      <c r="D874" s="1" t="s">
        <v>2889</v>
      </c>
      <c r="E874" s="1">
        <v>24400000</v>
      </c>
    </row>
    <row r="875" spans="1:5" ht="14.4" x14ac:dyDescent="0.3">
      <c r="A875" s="20" t="s">
        <v>7294</v>
      </c>
      <c r="B875" s="1" t="s">
        <v>93</v>
      </c>
      <c r="C875" s="1" t="s">
        <v>3542</v>
      </c>
      <c r="D875" s="1" t="s">
        <v>3543</v>
      </c>
      <c r="E875" s="1">
        <v>18900000</v>
      </c>
    </row>
    <row r="876" spans="1:5" ht="14.4" x14ac:dyDescent="0.3">
      <c r="A876" s="20" t="s">
        <v>7295</v>
      </c>
      <c r="B876" s="1" t="s">
        <v>264</v>
      </c>
      <c r="C876" s="1" t="s">
        <v>2913</v>
      </c>
      <c r="D876" s="1" t="s">
        <v>292</v>
      </c>
      <c r="E876" s="1">
        <v>22600000</v>
      </c>
    </row>
    <row r="877" spans="1:5" ht="14.4" x14ac:dyDescent="0.3">
      <c r="A877" s="20" t="s">
        <v>7296</v>
      </c>
      <c r="B877" s="1" t="s">
        <v>93</v>
      </c>
      <c r="C877" s="1" t="s">
        <v>2919</v>
      </c>
      <c r="D877" s="1" t="s">
        <v>138</v>
      </c>
      <c r="E877" s="1">
        <v>45100000</v>
      </c>
    </row>
    <row r="878" spans="1:5" ht="14.4" x14ac:dyDescent="0.3">
      <c r="A878" s="20" t="s">
        <v>7297</v>
      </c>
      <c r="B878" s="1" t="s">
        <v>334</v>
      </c>
      <c r="C878" s="1" t="s">
        <v>335</v>
      </c>
      <c r="D878" s="1" t="s">
        <v>336</v>
      </c>
      <c r="E878" s="1">
        <v>19300000</v>
      </c>
    </row>
    <row r="879" spans="1:5" ht="14.4" x14ac:dyDescent="0.3">
      <c r="A879" s="20" t="s">
        <v>7298</v>
      </c>
      <c r="B879" s="1" t="s">
        <v>167</v>
      </c>
      <c r="C879" s="1" t="s">
        <v>178</v>
      </c>
      <c r="D879" s="1" t="s">
        <v>180</v>
      </c>
      <c r="E879" s="1">
        <v>21800000</v>
      </c>
    </row>
    <row r="880" spans="1:5" ht="14.4" x14ac:dyDescent="0.3">
      <c r="A880" s="20" t="s">
        <v>7299</v>
      </c>
      <c r="B880" s="1" t="s">
        <v>327</v>
      </c>
      <c r="C880" s="1" t="s">
        <v>3544</v>
      </c>
      <c r="D880" s="1" t="s">
        <v>3545</v>
      </c>
      <c r="E880" s="1">
        <v>11800000</v>
      </c>
    </row>
    <row r="881" spans="1:5" ht="14.4" x14ac:dyDescent="0.3">
      <c r="A881" s="20" t="s">
        <v>7300</v>
      </c>
      <c r="B881" s="1" t="s">
        <v>195</v>
      </c>
      <c r="C881" s="1" t="s">
        <v>196</v>
      </c>
      <c r="D881" s="1" t="s">
        <v>197</v>
      </c>
      <c r="E881" s="1">
        <v>25600000</v>
      </c>
    </row>
    <row r="882" spans="1:5" ht="14.4" x14ac:dyDescent="0.3">
      <c r="A882" s="20" t="s">
        <v>7301</v>
      </c>
      <c r="B882" s="1" t="s">
        <v>72</v>
      </c>
      <c r="C882" s="1" t="s">
        <v>2980</v>
      </c>
      <c r="D882" s="1" t="s">
        <v>698</v>
      </c>
      <c r="E882" s="1">
        <v>7430000</v>
      </c>
    </row>
    <row r="883" spans="1:5" ht="14.4" x14ac:dyDescent="0.3">
      <c r="A883" s="20" t="s">
        <v>7302</v>
      </c>
      <c r="B883" s="1" t="s">
        <v>93</v>
      </c>
      <c r="C883" s="1" t="s">
        <v>2919</v>
      </c>
      <c r="D883" s="1" t="s">
        <v>133</v>
      </c>
      <c r="E883" s="1">
        <v>35600000</v>
      </c>
    </row>
    <row r="884" spans="1:5" ht="14.4" x14ac:dyDescent="0.3">
      <c r="A884" s="20" t="s">
        <v>7303</v>
      </c>
      <c r="B884" s="1" t="s">
        <v>2910</v>
      </c>
      <c r="C884" s="1" t="s">
        <v>3161</v>
      </c>
      <c r="D884" s="1" t="s">
        <v>3546</v>
      </c>
      <c r="E884" s="1">
        <v>7630000</v>
      </c>
    </row>
    <row r="885" spans="1:5" ht="14.4" x14ac:dyDescent="0.3">
      <c r="A885" s="20" t="s">
        <v>7304</v>
      </c>
      <c r="B885" s="1" t="s">
        <v>2961</v>
      </c>
      <c r="C885" s="1" t="s">
        <v>3067</v>
      </c>
      <c r="D885" s="1" t="s">
        <v>3547</v>
      </c>
      <c r="E885" s="1">
        <v>12800000</v>
      </c>
    </row>
    <row r="886" spans="1:5" ht="14.4" x14ac:dyDescent="0.3">
      <c r="A886" s="20" t="s">
        <v>7305</v>
      </c>
      <c r="B886" s="1" t="s">
        <v>264</v>
      </c>
      <c r="C886" s="1" t="s">
        <v>2896</v>
      </c>
      <c r="D886" s="1" t="s">
        <v>267</v>
      </c>
      <c r="E886" s="1">
        <v>11000000</v>
      </c>
    </row>
    <row r="887" spans="1:5" ht="14.4" x14ac:dyDescent="0.3">
      <c r="A887" s="20" t="s">
        <v>7306</v>
      </c>
      <c r="B887" s="1" t="s">
        <v>264</v>
      </c>
      <c r="C887" s="1" t="s">
        <v>2897</v>
      </c>
      <c r="D887" s="1" t="s">
        <v>439</v>
      </c>
      <c r="E887" s="1">
        <v>15300000</v>
      </c>
    </row>
    <row r="888" spans="1:5" ht="14.4" x14ac:dyDescent="0.3">
      <c r="A888" s="20" t="s">
        <v>7307</v>
      </c>
      <c r="B888" s="1" t="s">
        <v>264</v>
      </c>
      <c r="C888" s="1" t="s">
        <v>2899</v>
      </c>
      <c r="D888" s="1" t="s">
        <v>279</v>
      </c>
      <c r="E888" s="1">
        <v>14400000</v>
      </c>
    </row>
    <row r="889" spans="1:5" ht="14.4" x14ac:dyDescent="0.3">
      <c r="A889" s="20" t="s">
        <v>7308</v>
      </c>
      <c r="B889" s="1" t="s">
        <v>264</v>
      </c>
      <c r="C889" s="1" t="s">
        <v>2917</v>
      </c>
      <c r="D889" s="1" t="s">
        <v>271</v>
      </c>
      <c r="E889" s="1">
        <v>22300000</v>
      </c>
    </row>
    <row r="890" spans="1:5" ht="14.4" x14ac:dyDescent="0.3">
      <c r="A890" s="20" t="s">
        <v>7309</v>
      </c>
      <c r="B890" s="1" t="s">
        <v>264</v>
      </c>
      <c r="C890" s="1" t="s">
        <v>293</v>
      </c>
      <c r="D890" s="1" t="s">
        <v>298</v>
      </c>
      <c r="E890" s="1">
        <v>26300000</v>
      </c>
    </row>
    <row r="891" spans="1:5" ht="14.4" x14ac:dyDescent="0.3">
      <c r="A891" s="20" t="s">
        <v>7310</v>
      </c>
      <c r="B891" s="1" t="s">
        <v>229</v>
      </c>
      <c r="C891" s="1" t="s">
        <v>233</v>
      </c>
      <c r="D891" s="1" t="s">
        <v>235</v>
      </c>
      <c r="E891" s="1">
        <v>40100000</v>
      </c>
    </row>
    <row r="892" spans="1:5" ht="14.4" x14ac:dyDescent="0.3">
      <c r="A892" s="20" t="s">
        <v>7311</v>
      </c>
      <c r="B892" s="1" t="s">
        <v>93</v>
      </c>
      <c r="C892" s="1" t="s">
        <v>97</v>
      </c>
      <c r="D892" s="1" t="s">
        <v>663</v>
      </c>
      <c r="E892" s="1">
        <v>9300000</v>
      </c>
    </row>
    <row r="893" spans="1:5" ht="14.4" x14ac:dyDescent="0.3">
      <c r="A893" s="20" t="s">
        <v>7312</v>
      </c>
      <c r="B893" s="1" t="s">
        <v>2905</v>
      </c>
      <c r="C893" s="1" t="s">
        <v>2986</v>
      </c>
      <c r="D893" s="1" t="s">
        <v>639</v>
      </c>
      <c r="E893" s="1">
        <v>16700000</v>
      </c>
    </row>
    <row r="894" spans="1:5" ht="14.4" x14ac:dyDescent="0.3">
      <c r="A894" s="20" t="s">
        <v>7313</v>
      </c>
      <c r="B894" s="1" t="s">
        <v>264</v>
      </c>
      <c r="C894" s="1" t="s">
        <v>2913</v>
      </c>
      <c r="D894" s="1" t="s">
        <v>288</v>
      </c>
      <c r="E894" s="1">
        <v>20400000</v>
      </c>
    </row>
    <row r="895" spans="1:5" ht="14.4" x14ac:dyDescent="0.3">
      <c r="A895" s="20" t="s">
        <v>7314</v>
      </c>
      <c r="B895" s="1" t="s">
        <v>339</v>
      </c>
      <c r="C895" s="1" t="s">
        <v>2992</v>
      </c>
      <c r="D895" s="1" t="s">
        <v>592</v>
      </c>
      <c r="E895" s="1">
        <v>10700000</v>
      </c>
    </row>
    <row r="896" spans="1:5" ht="14.4" x14ac:dyDescent="0.3">
      <c r="A896" s="20" t="s">
        <v>7315</v>
      </c>
      <c r="B896" s="1" t="s">
        <v>339</v>
      </c>
      <c r="C896" s="1" t="s">
        <v>2992</v>
      </c>
      <c r="D896" s="1" t="s">
        <v>592</v>
      </c>
      <c r="E896" s="1">
        <v>10700000</v>
      </c>
    </row>
    <row r="897" spans="1:5" ht="14.4" x14ac:dyDescent="0.3">
      <c r="A897" s="20" t="s">
        <v>7316</v>
      </c>
      <c r="B897" s="1" t="s">
        <v>2906</v>
      </c>
      <c r="C897" s="1" t="s">
        <v>2943</v>
      </c>
      <c r="D897" s="1" t="s">
        <v>581</v>
      </c>
      <c r="E897" s="1">
        <v>9400000</v>
      </c>
    </row>
    <row r="898" spans="1:5" ht="14.4" x14ac:dyDescent="0.3">
      <c r="A898" s="20" t="s">
        <v>7317</v>
      </c>
      <c r="B898" s="1" t="s">
        <v>242</v>
      </c>
      <c r="C898" s="1" t="s">
        <v>246</v>
      </c>
      <c r="D898" s="1" t="s">
        <v>249</v>
      </c>
      <c r="E898" s="1">
        <v>17600000</v>
      </c>
    </row>
    <row r="899" spans="1:5" ht="14.4" x14ac:dyDescent="0.3">
      <c r="A899" s="20" t="s">
        <v>7318</v>
      </c>
      <c r="B899" s="1" t="s">
        <v>2910</v>
      </c>
      <c r="C899" s="1" t="s">
        <v>3548</v>
      </c>
      <c r="D899" s="1" t="s">
        <v>402</v>
      </c>
      <c r="E899" s="1">
        <v>16000000</v>
      </c>
    </row>
    <row r="900" spans="1:5" ht="14.4" x14ac:dyDescent="0.3">
      <c r="A900" s="20" t="s">
        <v>7319</v>
      </c>
      <c r="B900" s="1" t="s">
        <v>264</v>
      </c>
      <c r="C900" s="1" t="s">
        <v>2899</v>
      </c>
      <c r="D900" s="1" t="s">
        <v>283</v>
      </c>
      <c r="E900" s="1">
        <v>18200000</v>
      </c>
    </row>
    <row r="901" spans="1:5" ht="14.4" x14ac:dyDescent="0.3">
      <c r="A901" s="20" t="s">
        <v>7320</v>
      </c>
      <c r="B901" s="1" t="s">
        <v>334</v>
      </c>
      <c r="C901" s="1" t="s">
        <v>3274</v>
      </c>
      <c r="D901" s="1" t="s">
        <v>430</v>
      </c>
      <c r="E901" s="1">
        <v>27600000</v>
      </c>
    </row>
    <row r="902" spans="1:5" ht="14.4" x14ac:dyDescent="0.3">
      <c r="A902" s="20" t="s">
        <v>7321</v>
      </c>
      <c r="B902" s="1" t="s">
        <v>188</v>
      </c>
      <c r="C902" s="1">
        <v>7</v>
      </c>
      <c r="D902" s="1" t="s">
        <v>569</v>
      </c>
      <c r="E902" s="1">
        <v>17500000</v>
      </c>
    </row>
    <row r="903" spans="1:5" ht="14.4" x14ac:dyDescent="0.3">
      <c r="A903" s="20" t="s">
        <v>7322</v>
      </c>
      <c r="B903" s="1" t="s">
        <v>30</v>
      </c>
      <c r="C903" s="1" t="s">
        <v>41</v>
      </c>
      <c r="D903" s="1" t="s">
        <v>570</v>
      </c>
      <c r="E903" s="1">
        <v>13800000</v>
      </c>
    </row>
    <row r="904" spans="1:5" ht="14.4" x14ac:dyDescent="0.3">
      <c r="A904" s="20" t="s">
        <v>7323</v>
      </c>
      <c r="B904" s="1" t="s">
        <v>93</v>
      </c>
      <c r="C904" s="1" t="s">
        <v>131</v>
      </c>
      <c r="D904" s="1" t="s">
        <v>565</v>
      </c>
      <c r="E904" s="1">
        <v>18600000</v>
      </c>
    </row>
    <row r="905" spans="1:5" ht="14.4" x14ac:dyDescent="0.3">
      <c r="A905" s="20" t="s">
        <v>7324</v>
      </c>
      <c r="B905" s="1" t="s">
        <v>93</v>
      </c>
      <c r="C905" s="1" t="s">
        <v>2918</v>
      </c>
      <c r="D905" s="1" t="s">
        <v>535</v>
      </c>
      <c r="E905" s="1">
        <v>50000000</v>
      </c>
    </row>
    <row r="906" spans="1:5" ht="14.4" x14ac:dyDescent="0.3">
      <c r="A906" s="20" t="s">
        <v>7325</v>
      </c>
      <c r="B906" s="1" t="s">
        <v>30</v>
      </c>
      <c r="C906" s="1" t="s">
        <v>2908</v>
      </c>
      <c r="D906" s="1" t="s">
        <v>542</v>
      </c>
      <c r="E906" s="1">
        <v>7140000</v>
      </c>
    </row>
    <row r="907" spans="1:5" ht="14.4" x14ac:dyDescent="0.3">
      <c r="A907" s="20" t="s">
        <v>7326</v>
      </c>
      <c r="B907" s="1" t="s">
        <v>2910</v>
      </c>
      <c r="C907" s="1" t="s">
        <v>3075</v>
      </c>
      <c r="D907" s="1" t="s">
        <v>3549</v>
      </c>
      <c r="E907" s="1">
        <v>10200000</v>
      </c>
    </row>
    <row r="908" spans="1:5" ht="14.4" x14ac:dyDescent="0.3">
      <c r="A908" s="20" t="s">
        <v>7327</v>
      </c>
      <c r="B908" s="1" t="s">
        <v>30</v>
      </c>
      <c r="C908" s="1" t="s">
        <v>2902</v>
      </c>
      <c r="D908" s="1" t="s">
        <v>3550</v>
      </c>
      <c r="E908" s="1">
        <v>14700000</v>
      </c>
    </row>
    <row r="909" spans="1:5" ht="14.4" x14ac:dyDescent="0.3">
      <c r="A909" s="20" t="s">
        <v>7328</v>
      </c>
      <c r="B909" s="1" t="s">
        <v>93</v>
      </c>
      <c r="C909" s="1" t="s">
        <v>131</v>
      </c>
      <c r="D909" s="1" t="s">
        <v>435</v>
      </c>
      <c r="E909" s="1">
        <v>14500000</v>
      </c>
    </row>
    <row r="910" spans="1:5" ht="14.4" x14ac:dyDescent="0.3">
      <c r="A910" s="20" t="s">
        <v>7329</v>
      </c>
      <c r="B910" s="1" t="s">
        <v>167</v>
      </c>
      <c r="C910" s="1" t="s">
        <v>2984</v>
      </c>
      <c r="D910" s="1" t="s">
        <v>3551</v>
      </c>
      <c r="E910" s="1">
        <v>9400000</v>
      </c>
    </row>
    <row r="911" spans="1:5" ht="14.4" x14ac:dyDescent="0.3">
      <c r="A911" s="20" t="s">
        <v>7330</v>
      </c>
      <c r="B911" s="1" t="s">
        <v>2910</v>
      </c>
      <c r="C911" s="1" t="s">
        <v>218</v>
      </c>
      <c r="D911" s="1" t="s">
        <v>220</v>
      </c>
      <c r="E911" s="1">
        <v>20100000</v>
      </c>
    </row>
    <row r="912" spans="1:5" ht="14.4" x14ac:dyDescent="0.3">
      <c r="A912" s="20" t="s">
        <v>7331</v>
      </c>
      <c r="B912" s="1" t="s">
        <v>181</v>
      </c>
      <c r="C912" s="1" t="s">
        <v>185</v>
      </c>
      <c r="D912" s="1" t="s">
        <v>3552</v>
      </c>
      <c r="E912" s="1">
        <v>13000000</v>
      </c>
    </row>
    <row r="913" spans="1:5" ht="14.4" x14ac:dyDescent="0.3">
      <c r="A913" s="20" t="s">
        <v>7332</v>
      </c>
      <c r="B913" s="1" t="s">
        <v>2961</v>
      </c>
      <c r="C913" s="1" t="s">
        <v>3067</v>
      </c>
      <c r="D913" s="1" t="s">
        <v>3553</v>
      </c>
      <c r="E913" s="1">
        <v>13700000</v>
      </c>
    </row>
    <row r="914" spans="1:5" ht="14.4" x14ac:dyDescent="0.3">
      <c r="A914" s="20" t="s">
        <v>7333</v>
      </c>
      <c r="B914" s="1" t="s">
        <v>327</v>
      </c>
      <c r="C914" s="1" t="s">
        <v>3554</v>
      </c>
      <c r="D914" s="1" t="s">
        <v>3555</v>
      </c>
      <c r="E914" s="1">
        <v>7000000</v>
      </c>
    </row>
    <row r="915" spans="1:5" ht="14.4" x14ac:dyDescent="0.3">
      <c r="A915" s="20" t="s">
        <v>7334</v>
      </c>
      <c r="B915" s="1" t="s">
        <v>264</v>
      </c>
      <c r="C915" s="1">
        <v>3008</v>
      </c>
      <c r="D915" s="1" t="s">
        <v>3556</v>
      </c>
      <c r="E915" s="1">
        <v>26700000</v>
      </c>
    </row>
    <row r="916" spans="1:5" ht="14.4" x14ac:dyDescent="0.3">
      <c r="A916" s="20" t="s">
        <v>7335</v>
      </c>
      <c r="B916" s="1" t="s">
        <v>2961</v>
      </c>
      <c r="C916" s="1" t="s">
        <v>2962</v>
      </c>
      <c r="D916" s="1" t="s">
        <v>3557</v>
      </c>
      <c r="E916" s="1">
        <v>17200000</v>
      </c>
    </row>
    <row r="917" spans="1:5" ht="14.4" x14ac:dyDescent="0.3">
      <c r="A917" s="20" t="s">
        <v>7336</v>
      </c>
      <c r="B917" s="1" t="s">
        <v>334</v>
      </c>
      <c r="C917" s="1" t="s">
        <v>3199</v>
      </c>
      <c r="D917" s="1" t="s">
        <v>3558</v>
      </c>
      <c r="E917" s="1">
        <v>16400000</v>
      </c>
    </row>
    <row r="918" spans="1:5" ht="14.4" x14ac:dyDescent="0.3">
      <c r="A918" s="20" t="s">
        <v>7337</v>
      </c>
      <c r="B918" s="1" t="s">
        <v>15</v>
      </c>
      <c r="C918" s="1" t="s">
        <v>16</v>
      </c>
      <c r="D918" s="1" t="s">
        <v>3559</v>
      </c>
      <c r="E918" s="1">
        <v>7770000</v>
      </c>
    </row>
    <row r="919" spans="1:5" ht="14.4" x14ac:dyDescent="0.3">
      <c r="A919" s="20" t="s">
        <v>7338</v>
      </c>
      <c r="B919" s="1" t="s">
        <v>167</v>
      </c>
      <c r="C919" s="1" t="s">
        <v>3324</v>
      </c>
      <c r="D919" s="1" t="s">
        <v>3560</v>
      </c>
      <c r="E919" s="1">
        <v>15100000</v>
      </c>
    </row>
    <row r="920" spans="1:5" ht="14.4" x14ac:dyDescent="0.3">
      <c r="A920" s="20" t="s">
        <v>7339</v>
      </c>
      <c r="B920" s="1" t="s">
        <v>264</v>
      </c>
      <c r="C920" s="1" t="s">
        <v>2899</v>
      </c>
      <c r="D920" s="1" t="s">
        <v>431</v>
      </c>
      <c r="E920" s="1">
        <v>21000000</v>
      </c>
    </row>
    <row r="921" spans="1:5" ht="14.4" x14ac:dyDescent="0.3">
      <c r="A921" s="20" t="s">
        <v>7340</v>
      </c>
      <c r="B921" s="1" t="s">
        <v>93</v>
      </c>
      <c r="C921" s="1" t="s">
        <v>100</v>
      </c>
      <c r="D921" s="1" t="s">
        <v>3561</v>
      </c>
      <c r="E921" s="1">
        <v>29800000</v>
      </c>
    </row>
    <row r="922" spans="1:5" ht="14.4" x14ac:dyDescent="0.3">
      <c r="A922" s="20" t="s">
        <v>7341</v>
      </c>
      <c r="B922" s="1" t="s">
        <v>64</v>
      </c>
      <c r="C922" s="1" t="s">
        <v>3562</v>
      </c>
      <c r="D922" s="1" t="s">
        <v>3563</v>
      </c>
      <c r="E922" s="1">
        <v>11900000</v>
      </c>
    </row>
    <row r="923" spans="1:5" ht="14.4" x14ac:dyDescent="0.3">
      <c r="A923" s="20" t="s">
        <v>7342</v>
      </c>
      <c r="B923" s="1" t="s">
        <v>93</v>
      </c>
      <c r="C923" s="1" t="s">
        <v>2919</v>
      </c>
      <c r="D923" s="1" t="s">
        <v>1082</v>
      </c>
      <c r="E923" s="1">
        <v>35400000</v>
      </c>
    </row>
    <row r="924" spans="1:5" ht="14.4" x14ac:dyDescent="0.3">
      <c r="A924" s="20" t="s">
        <v>7343</v>
      </c>
      <c r="B924" s="1" t="s">
        <v>64</v>
      </c>
      <c r="C924" s="1" t="s">
        <v>3266</v>
      </c>
      <c r="D924" s="1" t="s">
        <v>437</v>
      </c>
      <c r="E924" s="1">
        <v>20600000</v>
      </c>
    </row>
    <row r="925" spans="1:5" ht="14.4" x14ac:dyDescent="0.3">
      <c r="A925" s="20" t="s">
        <v>7344</v>
      </c>
      <c r="B925" s="1" t="s">
        <v>64</v>
      </c>
      <c r="C925" s="1" t="s">
        <v>2932</v>
      </c>
      <c r="D925" s="1" t="s">
        <v>3564</v>
      </c>
      <c r="E925" s="1">
        <v>18400000</v>
      </c>
    </row>
    <row r="926" spans="1:5" ht="14.4" x14ac:dyDescent="0.3">
      <c r="A926" s="20" t="s">
        <v>7345</v>
      </c>
      <c r="B926" s="1" t="s">
        <v>2910</v>
      </c>
      <c r="C926" s="1" t="s">
        <v>215</v>
      </c>
      <c r="D926" s="1" t="s">
        <v>3565</v>
      </c>
      <c r="E926" s="1">
        <v>16900000</v>
      </c>
    </row>
    <row r="927" spans="1:5" ht="14.4" x14ac:dyDescent="0.3">
      <c r="A927" s="20" t="s">
        <v>7346</v>
      </c>
      <c r="B927" s="1" t="s">
        <v>264</v>
      </c>
      <c r="C927" s="1" t="s">
        <v>2899</v>
      </c>
      <c r="D927" s="1" t="s">
        <v>431</v>
      </c>
      <c r="E927" s="1">
        <v>21000000</v>
      </c>
    </row>
    <row r="928" spans="1:5" ht="14.4" x14ac:dyDescent="0.3">
      <c r="A928" s="20" t="s">
        <v>7347</v>
      </c>
      <c r="B928" s="1" t="s">
        <v>157</v>
      </c>
      <c r="C928" s="1" t="s">
        <v>161</v>
      </c>
      <c r="D928" s="1" t="s">
        <v>421</v>
      </c>
      <c r="E928" s="1">
        <v>11200000</v>
      </c>
    </row>
    <row r="929" spans="1:5" ht="14.4" x14ac:dyDescent="0.3">
      <c r="A929" s="20" t="s">
        <v>7348</v>
      </c>
      <c r="B929" s="1" t="s">
        <v>2938</v>
      </c>
      <c r="C929" s="1" t="s">
        <v>3566</v>
      </c>
      <c r="D929" s="1" t="s">
        <v>3567</v>
      </c>
      <c r="E929" s="1">
        <v>4510000</v>
      </c>
    </row>
    <row r="930" spans="1:5" ht="14.4" x14ac:dyDescent="0.3">
      <c r="A930" s="20" t="s">
        <v>7349</v>
      </c>
      <c r="B930" s="1" t="s">
        <v>167</v>
      </c>
      <c r="C930" s="1" t="s">
        <v>3125</v>
      </c>
      <c r="D930" s="1" t="s">
        <v>3568</v>
      </c>
      <c r="E930" s="1">
        <v>8500000</v>
      </c>
    </row>
    <row r="931" spans="1:5" ht="14.4" x14ac:dyDescent="0.3">
      <c r="A931" s="20" t="s">
        <v>7350</v>
      </c>
      <c r="B931" s="1" t="s">
        <v>64</v>
      </c>
      <c r="C931" s="1" t="s">
        <v>3266</v>
      </c>
      <c r="D931" s="1" t="s">
        <v>437</v>
      </c>
      <c r="E931" s="1">
        <v>20600000</v>
      </c>
    </row>
    <row r="932" spans="1:5" ht="14.4" x14ac:dyDescent="0.3">
      <c r="A932" s="20" t="s">
        <v>7351</v>
      </c>
      <c r="B932" s="1" t="s">
        <v>229</v>
      </c>
      <c r="C932" s="1">
        <v>3</v>
      </c>
      <c r="D932" s="1" t="s">
        <v>2889</v>
      </c>
      <c r="E932" s="1">
        <v>14300000</v>
      </c>
    </row>
    <row r="933" spans="1:5" ht="14.4" x14ac:dyDescent="0.3">
      <c r="A933" s="20" t="s">
        <v>7352</v>
      </c>
      <c r="B933" s="1" t="s">
        <v>2945</v>
      </c>
      <c r="C933" s="1" t="s">
        <v>3011</v>
      </c>
      <c r="D933" s="1" t="s">
        <v>370</v>
      </c>
      <c r="E933" s="1">
        <v>7710000</v>
      </c>
    </row>
    <row r="934" spans="1:5" ht="14.4" x14ac:dyDescent="0.3">
      <c r="A934" s="20" t="s">
        <v>7353</v>
      </c>
      <c r="B934" s="1" t="s">
        <v>2910</v>
      </c>
      <c r="C934" s="1" t="s">
        <v>218</v>
      </c>
      <c r="D934" s="1" t="s">
        <v>3569</v>
      </c>
      <c r="E934" s="1">
        <v>13400000</v>
      </c>
    </row>
    <row r="935" spans="1:5" ht="14.4" x14ac:dyDescent="0.3">
      <c r="A935" s="20" t="s">
        <v>7354</v>
      </c>
      <c r="B935" s="1" t="s">
        <v>2933</v>
      </c>
      <c r="C935" s="1" t="s">
        <v>2934</v>
      </c>
      <c r="D935" s="1" t="s">
        <v>423</v>
      </c>
      <c r="E935" s="1">
        <v>16700000</v>
      </c>
    </row>
    <row r="936" spans="1:5" ht="14.4" x14ac:dyDescent="0.3">
      <c r="A936" s="20" t="s">
        <v>7355</v>
      </c>
      <c r="B936" s="1" t="s">
        <v>2910</v>
      </c>
      <c r="C936" s="1" t="s">
        <v>3570</v>
      </c>
      <c r="D936" s="1" t="s">
        <v>3571</v>
      </c>
      <c r="E936" s="1">
        <v>7170000</v>
      </c>
    </row>
    <row r="937" spans="1:5" ht="14.4" x14ac:dyDescent="0.3">
      <c r="A937" s="20" t="s">
        <v>7356</v>
      </c>
      <c r="B937" s="1" t="s">
        <v>229</v>
      </c>
      <c r="C937" s="1" t="s">
        <v>3218</v>
      </c>
      <c r="D937" s="1" t="s">
        <v>3572</v>
      </c>
      <c r="E937" s="1">
        <v>20300000</v>
      </c>
    </row>
    <row r="938" spans="1:5" ht="14.4" x14ac:dyDescent="0.3">
      <c r="A938" s="20" t="s">
        <v>7357</v>
      </c>
      <c r="B938" s="1" t="s">
        <v>317</v>
      </c>
      <c r="C938" s="1" t="s">
        <v>3573</v>
      </c>
      <c r="D938" s="1" t="s">
        <v>3574</v>
      </c>
      <c r="E938" s="1">
        <v>25800000</v>
      </c>
    </row>
    <row r="939" spans="1:5" ht="14.4" x14ac:dyDescent="0.3">
      <c r="A939" s="20" t="s">
        <v>7358</v>
      </c>
      <c r="B939" s="1" t="s">
        <v>242</v>
      </c>
      <c r="C939" s="1" t="s">
        <v>2904</v>
      </c>
      <c r="D939" s="1" t="s">
        <v>3575</v>
      </c>
      <c r="E939" s="1">
        <v>21600000</v>
      </c>
    </row>
    <row r="940" spans="1:5" ht="14.4" x14ac:dyDescent="0.3">
      <c r="A940" s="20" t="s">
        <v>7359</v>
      </c>
      <c r="B940" s="1" t="s">
        <v>264</v>
      </c>
      <c r="C940" s="1" t="s">
        <v>3576</v>
      </c>
      <c r="D940" s="1" t="s">
        <v>3577</v>
      </c>
      <c r="E940" s="1">
        <v>23400000</v>
      </c>
    </row>
    <row r="941" spans="1:5" ht="14.4" x14ac:dyDescent="0.3">
      <c r="A941" s="20" t="s">
        <v>7360</v>
      </c>
      <c r="B941" s="1" t="s">
        <v>93</v>
      </c>
      <c r="C941" s="1" t="s">
        <v>100</v>
      </c>
      <c r="D941" s="1" t="s">
        <v>3561</v>
      </c>
      <c r="E941" s="1">
        <v>29500000</v>
      </c>
    </row>
    <row r="942" spans="1:5" ht="14.4" x14ac:dyDescent="0.3">
      <c r="A942" s="20" t="s">
        <v>7361</v>
      </c>
      <c r="B942" s="1" t="s">
        <v>30</v>
      </c>
      <c r="C942" s="1" t="s">
        <v>3578</v>
      </c>
      <c r="D942" s="1" t="s">
        <v>2889</v>
      </c>
      <c r="E942" s="1">
        <v>18600000</v>
      </c>
    </row>
    <row r="943" spans="1:5" ht="14.4" x14ac:dyDescent="0.3">
      <c r="A943" s="20" t="s">
        <v>7362</v>
      </c>
      <c r="B943" s="1" t="s">
        <v>303</v>
      </c>
      <c r="C943" s="1" t="s">
        <v>2942</v>
      </c>
      <c r="D943" s="1" t="s">
        <v>3579</v>
      </c>
      <c r="E943" s="1">
        <v>34600000</v>
      </c>
    </row>
    <row r="944" spans="1:5" ht="14.4" x14ac:dyDescent="0.3">
      <c r="A944" s="20" t="s">
        <v>7363</v>
      </c>
      <c r="B944" s="1" t="s">
        <v>2933</v>
      </c>
      <c r="C944" s="1" t="s">
        <v>2934</v>
      </c>
      <c r="D944" s="1" t="s">
        <v>3580</v>
      </c>
      <c r="E944" s="1">
        <v>15800000</v>
      </c>
    </row>
    <row r="945" spans="1:5" ht="14.4" x14ac:dyDescent="0.3">
      <c r="A945" s="20" t="s">
        <v>7364</v>
      </c>
      <c r="B945" s="1" t="s">
        <v>93</v>
      </c>
      <c r="C945" s="1" t="s">
        <v>110</v>
      </c>
      <c r="D945" s="1" t="s">
        <v>112</v>
      </c>
      <c r="E945" s="1">
        <v>15500000</v>
      </c>
    </row>
    <row r="946" spans="1:5" ht="14.4" x14ac:dyDescent="0.3">
      <c r="A946" s="20" t="s">
        <v>7365</v>
      </c>
      <c r="B946" s="1" t="s">
        <v>30</v>
      </c>
      <c r="C946" s="1" t="s">
        <v>3578</v>
      </c>
      <c r="D946" s="1" t="s">
        <v>2889</v>
      </c>
      <c r="E946" s="1">
        <v>18600000</v>
      </c>
    </row>
    <row r="947" spans="1:5" ht="14.4" x14ac:dyDescent="0.3">
      <c r="A947" s="20" t="s">
        <v>7366</v>
      </c>
      <c r="B947" s="1" t="s">
        <v>264</v>
      </c>
      <c r="C947" s="1" t="s">
        <v>293</v>
      </c>
      <c r="D947" s="1" t="s">
        <v>1019</v>
      </c>
      <c r="E947" s="1">
        <v>21400000</v>
      </c>
    </row>
    <row r="948" spans="1:5" ht="14.4" x14ac:dyDescent="0.3">
      <c r="A948" s="20" t="s">
        <v>7367</v>
      </c>
      <c r="B948" s="1" t="s">
        <v>2886</v>
      </c>
      <c r="C948" s="1" t="s">
        <v>3097</v>
      </c>
      <c r="D948" s="1" t="s">
        <v>3581</v>
      </c>
      <c r="E948" s="1">
        <v>15300000</v>
      </c>
    </row>
    <row r="949" spans="1:5" ht="14.4" x14ac:dyDescent="0.3">
      <c r="A949" s="20" t="s">
        <v>7368</v>
      </c>
      <c r="B949" s="1" t="s">
        <v>260</v>
      </c>
      <c r="C949" s="1" t="s">
        <v>3582</v>
      </c>
      <c r="D949" s="1" t="s">
        <v>3583</v>
      </c>
      <c r="E949" s="1">
        <v>19500000</v>
      </c>
    </row>
    <row r="950" spans="1:5" ht="14.4" x14ac:dyDescent="0.3">
      <c r="A950" s="20" t="s">
        <v>7369</v>
      </c>
      <c r="B950" s="1" t="s">
        <v>260</v>
      </c>
      <c r="C950" s="1" t="s">
        <v>69</v>
      </c>
      <c r="D950" s="1" t="s">
        <v>3584</v>
      </c>
      <c r="E950" s="1">
        <v>15700000</v>
      </c>
    </row>
    <row r="951" spans="1:5" ht="14.4" x14ac:dyDescent="0.3">
      <c r="A951" s="20" t="s">
        <v>7370</v>
      </c>
      <c r="B951" s="1" t="s">
        <v>188</v>
      </c>
      <c r="C951" s="1">
        <v>5</v>
      </c>
      <c r="D951" s="1" t="s">
        <v>2889</v>
      </c>
      <c r="E951" s="1">
        <v>16300000</v>
      </c>
    </row>
    <row r="952" spans="1:5" ht="14.4" x14ac:dyDescent="0.3">
      <c r="A952" s="20" t="s">
        <v>7371</v>
      </c>
      <c r="B952" s="1" t="s">
        <v>188</v>
      </c>
      <c r="C952" s="1">
        <v>7</v>
      </c>
      <c r="D952" s="1" t="s">
        <v>3585</v>
      </c>
      <c r="E952" s="1">
        <v>24500000</v>
      </c>
    </row>
    <row r="953" spans="1:5" ht="14.4" x14ac:dyDescent="0.3">
      <c r="A953" s="20" t="s">
        <v>7372</v>
      </c>
      <c r="B953" s="1" t="s">
        <v>30</v>
      </c>
      <c r="C953" s="1" t="s">
        <v>3586</v>
      </c>
      <c r="D953" s="1" t="s">
        <v>3587</v>
      </c>
      <c r="E953" s="1">
        <v>7420000</v>
      </c>
    </row>
    <row r="954" spans="1:5" ht="14.4" x14ac:dyDescent="0.3">
      <c r="A954" s="20" t="s">
        <v>7373</v>
      </c>
      <c r="B954" s="1" t="s">
        <v>229</v>
      </c>
      <c r="C954" s="1" t="s">
        <v>3588</v>
      </c>
      <c r="D954" s="1" t="s">
        <v>3589</v>
      </c>
      <c r="E954" s="1">
        <v>16700000</v>
      </c>
    </row>
    <row r="955" spans="1:5" ht="14.4" x14ac:dyDescent="0.3">
      <c r="A955" s="20" t="s">
        <v>7374</v>
      </c>
      <c r="B955" s="1" t="s">
        <v>93</v>
      </c>
      <c r="C955" s="1" t="s">
        <v>3294</v>
      </c>
      <c r="D955" s="1" t="s">
        <v>117</v>
      </c>
      <c r="E955" s="1">
        <v>25300000</v>
      </c>
    </row>
    <row r="956" spans="1:5" ht="14.4" x14ac:dyDescent="0.3">
      <c r="A956" s="20" t="s">
        <v>7375</v>
      </c>
      <c r="B956" s="1" t="s">
        <v>264</v>
      </c>
      <c r="C956" s="1">
        <v>2008</v>
      </c>
      <c r="D956" s="1" t="s">
        <v>3590</v>
      </c>
      <c r="E956" s="1">
        <v>8900000</v>
      </c>
    </row>
    <row r="957" spans="1:5" ht="14.4" x14ac:dyDescent="0.3">
      <c r="A957" s="20" t="s">
        <v>7376</v>
      </c>
      <c r="B957" s="1" t="s">
        <v>93</v>
      </c>
      <c r="C957" s="1" t="s">
        <v>2919</v>
      </c>
      <c r="D957" s="1" t="s">
        <v>433</v>
      </c>
      <c r="E957" s="1">
        <v>30600000</v>
      </c>
    </row>
    <row r="958" spans="1:5" ht="14.4" x14ac:dyDescent="0.3">
      <c r="A958" s="20" t="s">
        <v>7377</v>
      </c>
      <c r="B958" s="1" t="s">
        <v>264</v>
      </c>
      <c r="C958" s="1" t="s">
        <v>2896</v>
      </c>
      <c r="D958" s="1" t="s">
        <v>760</v>
      </c>
      <c r="E958" s="1">
        <v>18200000</v>
      </c>
    </row>
    <row r="959" spans="1:5" ht="14.4" x14ac:dyDescent="0.3">
      <c r="A959" s="20" t="s">
        <v>7378</v>
      </c>
      <c r="B959" s="1" t="s">
        <v>264</v>
      </c>
      <c r="C959" s="1">
        <v>3008</v>
      </c>
      <c r="D959" s="1" t="s">
        <v>3591</v>
      </c>
      <c r="E959" s="1">
        <v>16200000</v>
      </c>
    </row>
    <row r="960" spans="1:5" ht="14.4" x14ac:dyDescent="0.3">
      <c r="A960" s="20" t="s">
        <v>7379</v>
      </c>
      <c r="B960" s="1" t="s">
        <v>314</v>
      </c>
      <c r="C960" s="1" t="s">
        <v>3413</v>
      </c>
      <c r="D960" s="1" t="s">
        <v>3592</v>
      </c>
      <c r="E960" s="1">
        <v>18000000</v>
      </c>
    </row>
    <row r="961" spans="1:5" ht="14.4" x14ac:dyDescent="0.3">
      <c r="A961" s="20" t="s">
        <v>7380</v>
      </c>
      <c r="B961" s="1" t="s">
        <v>151</v>
      </c>
      <c r="C961" s="1" t="s">
        <v>154</v>
      </c>
      <c r="D961" s="1" t="s">
        <v>3593</v>
      </c>
      <c r="E961" s="1">
        <v>19600000</v>
      </c>
    </row>
    <row r="962" spans="1:5" ht="14.4" x14ac:dyDescent="0.3">
      <c r="A962" s="20" t="s">
        <v>7381</v>
      </c>
      <c r="B962" s="1" t="s">
        <v>264</v>
      </c>
      <c r="C962" s="1" t="s">
        <v>2899</v>
      </c>
      <c r="D962" s="1" t="s">
        <v>3001</v>
      </c>
      <c r="E962" s="1">
        <v>15000000</v>
      </c>
    </row>
    <row r="963" spans="1:5" ht="14.4" x14ac:dyDescent="0.3">
      <c r="A963" s="20" t="s">
        <v>7382</v>
      </c>
      <c r="B963" s="1" t="s">
        <v>93</v>
      </c>
      <c r="C963" s="1" t="s">
        <v>110</v>
      </c>
      <c r="D963" s="1" t="s">
        <v>112</v>
      </c>
      <c r="E963" s="1">
        <v>15300000</v>
      </c>
    </row>
    <row r="964" spans="1:5" ht="14.4" x14ac:dyDescent="0.3">
      <c r="A964" s="20" t="s">
        <v>7383</v>
      </c>
      <c r="B964" s="1" t="s">
        <v>264</v>
      </c>
      <c r="C964" s="1" t="s">
        <v>2890</v>
      </c>
      <c r="D964" s="1" t="s">
        <v>3037</v>
      </c>
      <c r="E964" s="1">
        <v>16500000</v>
      </c>
    </row>
    <row r="965" spans="1:5" ht="14.4" x14ac:dyDescent="0.3">
      <c r="A965" s="20" t="s">
        <v>7384</v>
      </c>
      <c r="B965" s="1" t="s">
        <v>303</v>
      </c>
      <c r="C965" s="1" t="s">
        <v>311</v>
      </c>
      <c r="D965" s="1" t="s">
        <v>3518</v>
      </c>
      <c r="E965" s="1">
        <v>27800000</v>
      </c>
    </row>
    <row r="966" spans="1:5" ht="14.4" x14ac:dyDescent="0.3">
      <c r="A966" s="20" t="s">
        <v>7385</v>
      </c>
      <c r="B966" s="1" t="s">
        <v>264</v>
      </c>
      <c r="C966" s="1">
        <v>2008</v>
      </c>
      <c r="D966" s="1" t="s">
        <v>3093</v>
      </c>
      <c r="E966" s="1">
        <v>16200000</v>
      </c>
    </row>
    <row r="967" spans="1:5" ht="14.4" x14ac:dyDescent="0.3">
      <c r="A967" s="20" t="s">
        <v>7386</v>
      </c>
      <c r="B967" s="1" t="s">
        <v>93</v>
      </c>
      <c r="C967" s="1" t="s">
        <v>100</v>
      </c>
      <c r="D967" s="1" t="s">
        <v>102</v>
      </c>
      <c r="E967" s="1">
        <v>25700000</v>
      </c>
    </row>
    <row r="968" spans="1:5" ht="14.4" x14ac:dyDescent="0.3">
      <c r="A968" s="20" t="s">
        <v>7387</v>
      </c>
      <c r="B968" s="1" t="s">
        <v>242</v>
      </c>
      <c r="C968" s="1" t="s">
        <v>246</v>
      </c>
      <c r="D968" s="1" t="s">
        <v>1477</v>
      </c>
      <c r="E968" s="1">
        <v>21400000</v>
      </c>
    </row>
    <row r="969" spans="1:5" ht="14.4" x14ac:dyDescent="0.3">
      <c r="A969" s="20" t="s">
        <v>7388</v>
      </c>
      <c r="B969" s="1" t="s">
        <v>2905</v>
      </c>
      <c r="C969" s="1" t="s">
        <v>2986</v>
      </c>
      <c r="D969" s="1" t="s">
        <v>2889</v>
      </c>
      <c r="E969" s="1">
        <v>19600000</v>
      </c>
    </row>
    <row r="970" spans="1:5" ht="14.4" x14ac:dyDescent="0.3">
      <c r="A970" s="20" t="s">
        <v>7389</v>
      </c>
      <c r="B970" s="1" t="s">
        <v>264</v>
      </c>
      <c r="C970" s="1">
        <v>3008</v>
      </c>
      <c r="D970" s="1" t="s">
        <v>3059</v>
      </c>
      <c r="E970" s="1">
        <v>16300000</v>
      </c>
    </row>
    <row r="971" spans="1:5" ht="14.4" x14ac:dyDescent="0.3">
      <c r="A971" s="20" t="s">
        <v>7390</v>
      </c>
      <c r="B971" s="1" t="s">
        <v>264</v>
      </c>
      <c r="C971" s="1" t="s">
        <v>3033</v>
      </c>
      <c r="D971" s="1" t="s">
        <v>3034</v>
      </c>
      <c r="E971" s="1">
        <v>21700000</v>
      </c>
    </row>
    <row r="972" spans="1:5" ht="14.4" x14ac:dyDescent="0.3">
      <c r="A972" s="20" t="s">
        <v>7391</v>
      </c>
      <c r="B972" s="1" t="s">
        <v>30</v>
      </c>
      <c r="C972" s="1" t="s">
        <v>2902</v>
      </c>
      <c r="D972" s="1" t="s">
        <v>3550</v>
      </c>
      <c r="E972" s="1">
        <v>14700000</v>
      </c>
    </row>
    <row r="973" spans="1:5" ht="14.4" x14ac:dyDescent="0.3">
      <c r="A973" s="20" t="s">
        <v>7392</v>
      </c>
      <c r="B973" s="1" t="s">
        <v>264</v>
      </c>
      <c r="C973" s="1">
        <v>208</v>
      </c>
      <c r="D973" s="1" t="s">
        <v>3061</v>
      </c>
      <c r="E973" s="1">
        <v>13900000</v>
      </c>
    </row>
    <row r="974" spans="1:5" ht="14.4" x14ac:dyDescent="0.3">
      <c r="A974" s="20" t="s">
        <v>7393</v>
      </c>
      <c r="B974" s="1" t="s">
        <v>264</v>
      </c>
      <c r="C974" s="1" t="s">
        <v>293</v>
      </c>
      <c r="D974" s="1" t="s">
        <v>3030</v>
      </c>
      <c r="E974" s="1">
        <v>19800000</v>
      </c>
    </row>
    <row r="975" spans="1:5" ht="14.4" x14ac:dyDescent="0.3">
      <c r="A975" s="20" t="s">
        <v>7394</v>
      </c>
      <c r="B975" s="1" t="s">
        <v>317</v>
      </c>
      <c r="C975" s="1" t="s">
        <v>3573</v>
      </c>
      <c r="D975" s="1" t="s">
        <v>3594</v>
      </c>
      <c r="E975" s="1">
        <v>24800000</v>
      </c>
    </row>
    <row r="976" spans="1:5" ht="14.4" x14ac:dyDescent="0.3">
      <c r="A976" s="20" t="s">
        <v>7395</v>
      </c>
      <c r="B976" s="1" t="s">
        <v>264</v>
      </c>
      <c r="C976" s="1" t="s">
        <v>3005</v>
      </c>
      <c r="D976" s="1" t="s">
        <v>3006</v>
      </c>
      <c r="E976" s="1">
        <v>16500000</v>
      </c>
    </row>
    <row r="977" spans="1:5" ht="14.4" x14ac:dyDescent="0.3">
      <c r="A977" s="20" t="s">
        <v>7396</v>
      </c>
      <c r="B977" s="1" t="s">
        <v>264</v>
      </c>
      <c r="C977" s="1">
        <v>3008</v>
      </c>
      <c r="D977" s="1" t="s">
        <v>3031</v>
      </c>
      <c r="E977" s="1">
        <v>17200000</v>
      </c>
    </row>
    <row r="978" spans="1:5" ht="14.4" x14ac:dyDescent="0.3">
      <c r="A978" s="20" t="s">
        <v>7397</v>
      </c>
      <c r="B978" s="1" t="s">
        <v>264</v>
      </c>
      <c r="C978" s="1" t="s">
        <v>300</v>
      </c>
      <c r="D978" s="1" t="s">
        <v>3595</v>
      </c>
      <c r="E978" s="1">
        <v>13800000</v>
      </c>
    </row>
    <row r="979" spans="1:5" ht="14.4" x14ac:dyDescent="0.3">
      <c r="A979" s="20" t="s">
        <v>7398</v>
      </c>
      <c r="B979" s="1" t="s">
        <v>2910</v>
      </c>
      <c r="C979" s="1" t="s">
        <v>2975</v>
      </c>
      <c r="D979" s="1" t="s">
        <v>3596</v>
      </c>
      <c r="E979" s="1">
        <v>16300000</v>
      </c>
    </row>
    <row r="980" spans="1:5" ht="14.4" x14ac:dyDescent="0.3">
      <c r="A980" s="20" t="s">
        <v>7399</v>
      </c>
      <c r="B980" s="1" t="s">
        <v>151</v>
      </c>
      <c r="C980" s="1" t="s">
        <v>154</v>
      </c>
      <c r="D980" s="1" t="s">
        <v>3593</v>
      </c>
      <c r="E980" s="1">
        <v>19600000</v>
      </c>
    </row>
    <row r="981" spans="1:5" ht="14.4" x14ac:dyDescent="0.3">
      <c r="A981" s="20" t="s">
        <v>7400</v>
      </c>
      <c r="B981" s="1" t="s">
        <v>264</v>
      </c>
      <c r="C981" s="1">
        <v>5008</v>
      </c>
      <c r="D981" s="1" t="s">
        <v>3597</v>
      </c>
      <c r="E981" s="1">
        <v>19400000</v>
      </c>
    </row>
    <row r="982" spans="1:5" ht="14.4" x14ac:dyDescent="0.3">
      <c r="A982" s="20" t="s">
        <v>7401</v>
      </c>
      <c r="B982" s="1" t="s">
        <v>242</v>
      </c>
      <c r="C982" s="1" t="s">
        <v>254</v>
      </c>
      <c r="D982" s="1" t="s">
        <v>411</v>
      </c>
      <c r="E982" s="1">
        <v>11600000</v>
      </c>
    </row>
    <row r="983" spans="1:5" ht="14.4" x14ac:dyDescent="0.3">
      <c r="A983" s="20" t="s">
        <v>7402</v>
      </c>
      <c r="B983" s="1" t="s">
        <v>264</v>
      </c>
      <c r="C983" s="1" t="s">
        <v>3005</v>
      </c>
      <c r="D983" s="1" t="s">
        <v>3598</v>
      </c>
      <c r="E983" s="1">
        <v>17000000</v>
      </c>
    </row>
    <row r="984" spans="1:5" ht="14.4" x14ac:dyDescent="0.3">
      <c r="A984" s="20" t="s">
        <v>7403</v>
      </c>
      <c r="B984" s="1" t="s">
        <v>229</v>
      </c>
      <c r="C984" s="1" t="s">
        <v>3588</v>
      </c>
      <c r="D984" s="1" t="s">
        <v>3599</v>
      </c>
      <c r="E984" s="1">
        <v>14700000</v>
      </c>
    </row>
    <row r="985" spans="1:5" ht="14.4" x14ac:dyDescent="0.3">
      <c r="A985" s="20" t="s">
        <v>7404</v>
      </c>
      <c r="B985" s="1" t="s">
        <v>242</v>
      </c>
      <c r="C985" s="1" t="s">
        <v>254</v>
      </c>
      <c r="D985" s="1" t="s">
        <v>411</v>
      </c>
      <c r="E985" s="1">
        <v>11600000</v>
      </c>
    </row>
    <row r="986" spans="1:5" ht="14.4" x14ac:dyDescent="0.3">
      <c r="A986" s="20" t="s">
        <v>7405</v>
      </c>
      <c r="B986" s="1" t="s">
        <v>2910</v>
      </c>
      <c r="C986" s="1" t="s">
        <v>3075</v>
      </c>
      <c r="D986" s="1" t="s">
        <v>3600</v>
      </c>
      <c r="E986" s="1">
        <v>8200000</v>
      </c>
    </row>
    <row r="987" spans="1:5" ht="14.4" x14ac:dyDescent="0.3">
      <c r="A987" s="20" t="s">
        <v>7406</v>
      </c>
      <c r="B987" s="1" t="s">
        <v>242</v>
      </c>
      <c r="C987" s="1" t="s">
        <v>3094</v>
      </c>
      <c r="D987" s="1" t="s">
        <v>3601</v>
      </c>
      <c r="E987" s="1">
        <v>20600000</v>
      </c>
    </row>
    <row r="988" spans="1:5" ht="14.4" x14ac:dyDescent="0.3">
      <c r="A988" s="20" t="s">
        <v>7407</v>
      </c>
      <c r="B988" s="1" t="s">
        <v>48</v>
      </c>
      <c r="C988" s="1" t="s">
        <v>49</v>
      </c>
      <c r="D988" s="1" t="s">
        <v>422</v>
      </c>
      <c r="E988" s="1">
        <v>11600000</v>
      </c>
    </row>
    <row r="989" spans="1:5" ht="14.4" x14ac:dyDescent="0.3">
      <c r="A989" s="20" t="s">
        <v>7408</v>
      </c>
      <c r="B989" s="1" t="s">
        <v>2933</v>
      </c>
      <c r="C989" s="1" t="s">
        <v>2955</v>
      </c>
      <c r="D989" s="1" t="s">
        <v>3602</v>
      </c>
      <c r="E989" s="1">
        <v>12500000</v>
      </c>
    </row>
    <row r="990" spans="1:5" ht="14.4" x14ac:dyDescent="0.3">
      <c r="A990" s="20" t="s">
        <v>7409</v>
      </c>
      <c r="B990" s="1" t="s">
        <v>72</v>
      </c>
      <c r="C990" s="1">
        <v>500</v>
      </c>
      <c r="D990" s="1" t="s">
        <v>3603</v>
      </c>
      <c r="E990" s="1">
        <v>8500000</v>
      </c>
    </row>
    <row r="991" spans="1:5" ht="14.4" x14ac:dyDescent="0.3">
      <c r="A991" s="20" t="s">
        <v>7410</v>
      </c>
      <c r="B991" s="1" t="s">
        <v>181</v>
      </c>
      <c r="C991" s="1" t="s">
        <v>3604</v>
      </c>
      <c r="D991" s="1" t="s">
        <v>3605</v>
      </c>
      <c r="E991" s="1">
        <v>10200000</v>
      </c>
    </row>
    <row r="992" spans="1:5" ht="14.4" x14ac:dyDescent="0.3">
      <c r="A992" s="20" t="s">
        <v>7411</v>
      </c>
      <c r="B992" s="1" t="s">
        <v>2910</v>
      </c>
      <c r="C992" s="1" t="s">
        <v>206</v>
      </c>
      <c r="D992" s="1" t="s">
        <v>418</v>
      </c>
      <c r="E992" s="1">
        <v>10000000</v>
      </c>
    </row>
    <row r="993" spans="1:5" ht="14.4" x14ac:dyDescent="0.3">
      <c r="A993" s="20" t="s">
        <v>7412</v>
      </c>
      <c r="B993" s="1" t="s">
        <v>2910</v>
      </c>
      <c r="C993" s="1" t="s">
        <v>215</v>
      </c>
      <c r="D993" s="1" t="s">
        <v>3606</v>
      </c>
      <c r="E993" s="1">
        <v>22100000</v>
      </c>
    </row>
    <row r="994" spans="1:5" ht="14.4" x14ac:dyDescent="0.3">
      <c r="A994" s="20" t="s">
        <v>7413</v>
      </c>
      <c r="B994" s="1" t="s">
        <v>2910</v>
      </c>
      <c r="C994" s="1" t="s">
        <v>3607</v>
      </c>
      <c r="D994" s="1" t="s">
        <v>3608</v>
      </c>
      <c r="E994" s="1">
        <v>19900000</v>
      </c>
    </row>
    <row r="995" spans="1:5" ht="14.4" x14ac:dyDescent="0.3">
      <c r="A995" s="20" t="s">
        <v>7414</v>
      </c>
      <c r="B995" s="1" t="s">
        <v>242</v>
      </c>
      <c r="C995" s="1" t="s">
        <v>2988</v>
      </c>
      <c r="D995" s="1" t="s">
        <v>3609</v>
      </c>
      <c r="E995" s="1">
        <v>19300000</v>
      </c>
    </row>
    <row r="996" spans="1:5" ht="14.4" x14ac:dyDescent="0.3">
      <c r="A996" s="20" t="s">
        <v>7415</v>
      </c>
      <c r="B996" s="1" t="s">
        <v>48</v>
      </c>
      <c r="C996" s="1" t="s">
        <v>49</v>
      </c>
      <c r="D996" s="1" t="s">
        <v>3610</v>
      </c>
      <c r="E996" s="1">
        <v>11800000</v>
      </c>
    </row>
    <row r="997" spans="1:5" ht="14.4" x14ac:dyDescent="0.3">
      <c r="A997" s="20" t="s">
        <v>7416</v>
      </c>
      <c r="B997" s="1" t="s">
        <v>93</v>
      </c>
      <c r="C997" s="1" t="s">
        <v>143</v>
      </c>
      <c r="D997" s="1" t="s">
        <v>3611</v>
      </c>
      <c r="E997" s="1">
        <v>13500000</v>
      </c>
    </row>
    <row r="998" spans="1:5" ht="14.4" x14ac:dyDescent="0.3">
      <c r="A998" s="20" t="s">
        <v>7417</v>
      </c>
      <c r="B998" s="1" t="s">
        <v>64</v>
      </c>
      <c r="C998" s="1" t="s">
        <v>3612</v>
      </c>
      <c r="D998" s="1" t="s">
        <v>3613</v>
      </c>
      <c r="E998" s="1">
        <v>10200000</v>
      </c>
    </row>
    <row r="999" spans="1:5" ht="14.4" x14ac:dyDescent="0.3">
      <c r="A999" s="20" t="s">
        <v>7418</v>
      </c>
      <c r="B999" s="1" t="s">
        <v>334</v>
      </c>
      <c r="C999" s="1" t="s">
        <v>3274</v>
      </c>
      <c r="D999" s="1" t="s">
        <v>3614</v>
      </c>
      <c r="E999" s="1">
        <v>30200000</v>
      </c>
    </row>
    <row r="1000" spans="1:5" ht="14.4" x14ac:dyDescent="0.3">
      <c r="A1000" s="20" t="s">
        <v>7419</v>
      </c>
      <c r="B1000" s="1" t="s">
        <v>2945</v>
      </c>
      <c r="C1000" s="1" t="s">
        <v>2946</v>
      </c>
      <c r="D1000" s="1" t="s">
        <v>3615</v>
      </c>
      <c r="E1000" s="1">
        <v>9000000</v>
      </c>
    </row>
    <row r="1001" spans="1:5" ht="14.4" x14ac:dyDescent="0.3">
      <c r="A1001" s="20" t="s">
        <v>7420</v>
      </c>
      <c r="B1001" s="1" t="s">
        <v>327</v>
      </c>
      <c r="C1001" s="1" t="s">
        <v>3544</v>
      </c>
      <c r="D1001" s="1" t="s">
        <v>3616</v>
      </c>
      <c r="E1001" s="1">
        <v>7590000</v>
      </c>
    </row>
    <row r="1002" spans="1:5" ht="14.4" x14ac:dyDescent="0.3">
      <c r="A1002" s="20" t="s">
        <v>7421</v>
      </c>
      <c r="B1002" s="1" t="s">
        <v>93</v>
      </c>
      <c r="C1002" s="1" t="s">
        <v>97</v>
      </c>
      <c r="D1002" s="1" t="s">
        <v>3617</v>
      </c>
      <c r="E1002" s="1">
        <v>11800000</v>
      </c>
    </row>
    <row r="1003" spans="1:5" ht="14.4" x14ac:dyDescent="0.3">
      <c r="A1003" s="20" t="s">
        <v>7422</v>
      </c>
      <c r="B1003" s="1" t="s">
        <v>2910</v>
      </c>
      <c r="C1003" s="1" t="s">
        <v>3618</v>
      </c>
      <c r="D1003" s="1" t="s">
        <v>417</v>
      </c>
      <c r="E1003" s="1">
        <v>8800000</v>
      </c>
    </row>
    <row r="1004" spans="1:5" ht="14.4" x14ac:dyDescent="0.3">
      <c r="A1004" s="20" t="s">
        <v>7423</v>
      </c>
      <c r="B1004" s="1" t="s">
        <v>2910</v>
      </c>
      <c r="C1004" s="1" t="s">
        <v>206</v>
      </c>
      <c r="D1004" s="1" t="s">
        <v>420</v>
      </c>
      <c r="E1004" s="1">
        <v>7720000</v>
      </c>
    </row>
    <row r="1005" spans="1:5" ht="14.4" x14ac:dyDescent="0.3">
      <c r="A1005" s="20" t="s">
        <v>7424</v>
      </c>
      <c r="B1005" s="1" t="s">
        <v>242</v>
      </c>
      <c r="C1005" s="1" t="s">
        <v>2981</v>
      </c>
      <c r="D1005" s="1" t="s">
        <v>3619</v>
      </c>
      <c r="E1005" s="1">
        <v>11500000</v>
      </c>
    </row>
    <row r="1006" spans="1:5" ht="14.4" x14ac:dyDescent="0.3">
      <c r="A1006" s="20" t="s">
        <v>7425</v>
      </c>
      <c r="B1006" s="1" t="s">
        <v>167</v>
      </c>
      <c r="C1006" s="1" t="s">
        <v>3437</v>
      </c>
      <c r="D1006" s="1" t="s">
        <v>3620</v>
      </c>
      <c r="E1006" s="1">
        <v>21100000</v>
      </c>
    </row>
    <row r="1007" spans="1:5" ht="14.4" x14ac:dyDescent="0.3">
      <c r="A1007" s="20" t="s">
        <v>7426</v>
      </c>
      <c r="B1007" s="1" t="s">
        <v>260</v>
      </c>
      <c r="C1007" s="1" t="s">
        <v>69</v>
      </c>
      <c r="D1007" s="1" t="s">
        <v>3621</v>
      </c>
      <c r="E1007" s="1">
        <v>15800000</v>
      </c>
    </row>
    <row r="1008" spans="1:5" ht="14.4" x14ac:dyDescent="0.3">
      <c r="A1008" s="20" t="s">
        <v>7427</v>
      </c>
      <c r="B1008" s="1" t="s">
        <v>30</v>
      </c>
      <c r="C1008" s="1" t="s">
        <v>34</v>
      </c>
      <c r="D1008" s="1" t="s">
        <v>3622</v>
      </c>
      <c r="E1008" s="1">
        <v>8600000</v>
      </c>
    </row>
    <row r="1009" spans="1:5" ht="14.4" x14ac:dyDescent="0.3">
      <c r="A1009" s="20" t="s">
        <v>7428</v>
      </c>
      <c r="B1009" s="1" t="s">
        <v>327</v>
      </c>
      <c r="C1009" s="1" t="s">
        <v>3623</v>
      </c>
      <c r="D1009" s="1" t="s">
        <v>3624</v>
      </c>
      <c r="E1009" s="1">
        <v>5970000</v>
      </c>
    </row>
    <row r="1010" spans="1:5" ht="14.4" x14ac:dyDescent="0.3">
      <c r="A1010" s="20" t="s">
        <v>7429</v>
      </c>
      <c r="B1010" s="1" t="s">
        <v>72</v>
      </c>
      <c r="C1010" s="1">
        <v>560</v>
      </c>
      <c r="D1010" s="1" t="s">
        <v>3625</v>
      </c>
      <c r="E1010" s="1">
        <v>9300000</v>
      </c>
    </row>
    <row r="1011" spans="1:5" ht="14.4" x14ac:dyDescent="0.3">
      <c r="A1011" s="20" t="s">
        <v>7430</v>
      </c>
      <c r="B1011" s="1" t="s">
        <v>167</v>
      </c>
      <c r="C1011" s="1" t="s">
        <v>3508</v>
      </c>
      <c r="D1011" s="1" t="s">
        <v>3626</v>
      </c>
      <c r="E1011" s="1">
        <v>19000000</v>
      </c>
    </row>
    <row r="1012" spans="1:5" ht="14.4" x14ac:dyDescent="0.3">
      <c r="A1012" s="20" t="s">
        <v>7431</v>
      </c>
      <c r="B1012" s="1" t="s">
        <v>264</v>
      </c>
      <c r="C1012" s="1" t="s">
        <v>2899</v>
      </c>
      <c r="D1012" s="1" t="s">
        <v>3627</v>
      </c>
      <c r="E1012" s="1">
        <v>14700000</v>
      </c>
    </row>
    <row r="1013" spans="1:5" ht="14.4" x14ac:dyDescent="0.3">
      <c r="A1013" s="20" t="s">
        <v>7432</v>
      </c>
      <c r="B1013" s="1" t="s">
        <v>3020</v>
      </c>
      <c r="C1013" s="1" t="s">
        <v>3628</v>
      </c>
      <c r="D1013" s="1" t="s">
        <v>3629</v>
      </c>
      <c r="E1013" s="1">
        <v>15500000</v>
      </c>
    </row>
    <row r="1014" spans="1:5" ht="14.4" x14ac:dyDescent="0.3">
      <c r="A1014" s="20" t="s">
        <v>7433</v>
      </c>
      <c r="B1014" s="1" t="s">
        <v>3630</v>
      </c>
      <c r="C1014" s="1" t="s">
        <v>3631</v>
      </c>
      <c r="D1014" s="1" t="s">
        <v>3632</v>
      </c>
      <c r="E1014" s="1">
        <v>11800000</v>
      </c>
    </row>
    <row r="1015" spans="1:5" ht="14.4" x14ac:dyDescent="0.3">
      <c r="A1015" s="20" t="s">
        <v>7434</v>
      </c>
      <c r="B1015" s="1" t="s">
        <v>236</v>
      </c>
      <c r="C1015" s="1" t="s">
        <v>2979</v>
      </c>
      <c r="D1015" s="1" t="s">
        <v>3633</v>
      </c>
      <c r="E1015" s="1">
        <v>17400000</v>
      </c>
    </row>
    <row r="1016" spans="1:5" ht="14.4" x14ac:dyDescent="0.3">
      <c r="A1016" s="20" t="s">
        <v>7435</v>
      </c>
      <c r="B1016" s="1" t="s">
        <v>167</v>
      </c>
      <c r="C1016" s="1" t="s">
        <v>3529</v>
      </c>
      <c r="D1016" s="1" t="s">
        <v>3634</v>
      </c>
      <c r="E1016" s="1">
        <v>12800000</v>
      </c>
    </row>
    <row r="1017" spans="1:5" ht="14.4" x14ac:dyDescent="0.3">
      <c r="A1017" s="20" t="s">
        <v>7436</v>
      </c>
      <c r="B1017" s="1" t="s">
        <v>167</v>
      </c>
      <c r="C1017" s="1" t="s">
        <v>3119</v>
      </c>
      <c r="D1017" s="1" t="s">
        <v>401</v>
      </c>
      <c r="E1017" s="1">
        <v>7850000</v>
      </c>
    </row>
    <row r="1018" spans="1:5" ht="14.4" x14ac:dyDescent="0.3">
      <c r="A1018" s="20" t="s">
        <v>7437</v>
      </c>
      <c r="B1018" s="1" t="s">
        <v>93</v>
      </c>
      <c r="C1018" s="1" t="s">
        <v>3635</v>
      </c>
      <c r="D1018" s="1" t="s">
        <v>109</v>
      </c>
      <c r="E1018" s="1">
        <v>23600000</v>
      </c>
    </row>
    <row r="1019" spans="1:5" ht="14.4" x14ac:dyDescent="0.3">
      <c r="A1019" s="20" t="s">
        <v>7438</v>
      </c>
      <c r="B1019" s="1" t="s">
        <v>264</v>
      </c>
      <c r="C1019" s="1" t="s">
        <v>2899</v>
      </c>
      <c r="D1019" s="1" t="s">
        <v>3636</v>
      </c>
      <c r="E1019" s="1">
        <v>18900000</v>
      </c>
    </row>
    <row r="1020" spans="1:5" ht="14.4" x14ac:dyDescent="0.3">
      <c r="A1020" s="20" t="s">
        <v>7439</v>
      </c>
      <c r="B1020" s="1" t="s">
        <v>167</v>
      </c>
      <c r="C1020" s="1" t="s">
        <v>3324</v>
      </c>
      <c r="D1020" s="1" t="s">
        <v>3560</v>
      </c>
      <c r="E1020" s="1">
        <v>14400000</v>
      </c>
    </row>
    <row r="1021" spans="1:5" ht="14.4" x14ac:dyDescent="0.3">
      <c r="A1021" s="20" t="s">
        <v>7440</v>
      </c>
      <c r="B1021" s="1" t="s">
        <v>327</v>
      </c>
      <c r="C1021" s="1" t="s">
        <v>3147</v>
      </c>
      <c r="D1021" s="1" t="s">
        <v>383</v>
      </c>
      <c r="E1021" s="1">
        <v>7200000</v>
      </c>
    </row>
    <row r="1022" spans="1:5" ht="14.4" x14ac:dyDescent="0.3">
      <c r="A1022" s="20" t="s">
        <v>7441</v>
      </c>
      <c r="B1022" s="1" t="s">
        <v>236</v>
      </c>
      <c r="C1022" s="1" t="s">
        <v>237</v>
      </c>
      <c r="D1022" s="1" t="s">
        <v>3637</v>
      </c>
      <c r="E1022" s="1">
        <v>10400000</v>
      </c>
    </row>
    <row r="1023" spans="1:5" ht="14.4" x14ac:dyDescent="0.3">
      <c r="A1023" s="20" t="s">
        <v>7442</v>
      </c>
      <c r="B1023" s="1" t="s">
        <v>3433</v>
      </c>
      <c r="C1023" s="1" t="s">
        <v>3638</v>
      </c>
      <c r="D1023" s="1" t="s">
        <v>3639</v>
      </c>
      <c r="E1023" s="1">
        <v>72000000</v>
      </c>
    </row>
    <row r="1024" spans="1:5" ht="14.4" x14ac:dyDescent="0.3">
      <c r="A1024" s="20" t="s">
        <v>7443</v>
      </c>
      <c r="B1024" s="1" t="s">
        <v>30</v>
      </c>
      <c r="C1024" s="1" t="s">
        <v>2987</v>
      </c>
      <c r="D1024" s="1" t="s">
        <v>413</v>
      </c>
      <c r="E1024" s="1">
        <v>8200000</v>
      </c>
    </row>
    <row r="1025" spans="1:5" ht="14.4" x14ac:dyDescent="0.3">
      <c r="A1025" s="20" t="s">
        <v>7444</v>
      </c>
      <c r="B1025" s="1" t="s">
        <v>264</v>
      </c>
      <c r="C1025" s="1" t="s">
        <v>3640</v>
      </c>
      <c r="D1025" s="1" t="s">
        <v>3641</v>
      </c>
      <c r="E1025" s="1">
        <v>19600000</v>
      </c>
    </row>
    <row r="1026" spans="1:5" ht="14.4" x14ac:dyDescent="0.3">
      <c r="A1026" s="20" t="s">
        <v>7445</v>
      </c>
      <c r="B1026" s="1" t="s">
        <v>2910</v>
      </c>
      <c r="C1026" s="1" t="s">
        <v>2999</v>
      </c>
      <c r="D1026" s="1" t="s">
        <v>3642</v>
      </c>
      <c r="E1026" s="1">
        <v>15000000</v>
      </c>
    </row>
    <row r="1027" spans="1:5" ht="14.4" x14ac:dyDescent="0.3">
      <c r="A1027" s="20" t="s">
        <v>7446</v>
      </c>
      <c r="B1027" s="1" t="s">
        <v>48</v>
      </c>
      <c r="C1027" s="1" t="s">
        <v>2892</v>
      </c>
      <c r="D1027" s="1" t="s">
        <v>412</v>
      </c>
      <c r="E1027" s="1">
        <v>12100000</v>
      </c>
    </row>
    <row r="1028" spans="1:5" ht="14.4" x14ac:dyDescent="0.3">
      <c r="A1028" s="20" t="s">
        <v>7447</v>
      </c>
      <c r="B1028" s="1" t="s">
        <v>48</v>
      </c>
      <c r="C1028" s="1" t="s">
        <v>49</v>
      </c>
      <c r="D1028" s="1" t="s">
        <v>422</v>
      </c>
      <c r="E1028" s="1">
        <v>12000000</v>
      </c>
    </row>
    <row r="1029" spans="1:5" ht="14.4" x14ac:dyDescent="0.3">
      <c r="A1029" s="20" t="s">
        <v>7448</v>
      </c>
      <c r="B1029" s="1" t="s">
        <v>317</v>
      </c>
      <c r="C1029" s="1" t="s">
        <v>3492</v>
      </c>
      <c r="D1029" s="1" t="s">
        <v>3643</v>
      </c>
      <c r="E1029" s="1">
        <v>17100000</v>
      </c>
    </row>
    <row r="1030" spans="1:5" ht="14.4" x14ac:dyDescent="0.3">
      <c r="A1030" s="20" t="s">
        <v>7449</v>
      </c>
      <c r="B1030" s="1" t="s">
        <v>2910</v>
      </c>
      <c r="C1030" s="1" t="s">
        <v>3548</v>
      </c>
      <c r="D1030" s="1" t="s">
        <v>3644</v>
      </c>
      <c r="E1030" s="1">
        <v>15600000</v>
      </c>
    </row>
    <row r="1031" spans="1:5" ht="14.4" x14ac:dyDescent="0.3">
      <c r="A1031" s="20" t="s">
        <v>7450</v>
      </c>
      <c r="B1031" s="1" t="s">
        <v>167</v>
      </c>
      <c r="C1031" s="1" t="s">
        <v>2891</v>
      </c>
      <c r="D1031" s="1" t="s">
        <v>3645</v>
      </c>
      <c r="E1031" s="1">
        <v>8500000</v>
      </c>
    </row>
    <row r="1032" spans="1:5" ht="14.4" x14ac:dyDescent="0.3">
      <c r="A1032" s="20" t="s">
        <v>7451</v>
      </c>
      <c r="B1032" s="1" t="s">
        <v>30</v>
      </c>
      <c r="C1032" s="1" t="s">
        <v>41</v>
      </c>
      <c r="D1032" s="1" t="s">
        <v>3646</v>
      </c>
      <c r="E1032" s="1">
        <v>11900000</v>
      </c>
    </row>
    <row r="1033" spans="1:5" ht="14.4" x14ac:dyDescent="0.3">
      <c r="A1033" s="20" t="s">
        <v>7452</v>
      </c>
      <c r="B1033" s="1" t="s">
        <v>264</v>
      </c>
      <c r="C1033" s="1" t="s">
        <v>2917</v>
      </c>
      <c r="D1033" s="1" t="s">
        <v>3647</v>
      </c>
      <c r="E1033" s="1">
        <v>21900000</v>
      </c>
    </row>
    <row r="1034" spans="1:5" ht="14.4" x14ac:dyDescent="0.3">
      <c r="A1034" s="20" t="s">
        <v>7453</v>
      </c>
      <c r="B1034" s="1" t="s">
        <v>151</v>
      </c>
      <c r="C1034" s="1" t="s">
        <v>154</v>
      </c>
      <c r="D1034" s="1" t="s">
        <v>3648</v>
      </c>
      <c r="E1034" s="1">
        <v>19400000</v>
      </c>
    </row>
    <row r="1035" spans="1:5" ht="14.4" x14ac:dyDescent="0.3">
      <c r="A1035" s="20" t="s">
        <v>7454</v>
      </c>
      <c r="B1035" s="1" t="s">
        <v>93</v>
      </c>
      <c r="C1035" s="1" t="s">
        <v>3649</v>
      </c>
      <c r="D1035" s="1" t="s">
        <v>3650</v>
      </c>
      <c r="E1035" s="1">
        <v>12800000</v>
      </c>
    </row>
    <row r="1036" spans="1:5" ht="14.4" x14ac:dyDescent="0.3">
      <c r="A1036" s="20" t="s">
        <v>7455</v>
      </c>
      <c r="B1036" s="1" t="s">
        <v>236</v>
      </c>
      <c r="C1036" s="1" t="s">
        <v>2972</v>
      </c>
      <c r="D1036" s="1" t="s">
        <v>239</v>
      </c>
      <c r="E1036" s="1">
        <v>18100000</v>
      </c>
    </row>
    <row r="1037" spans="1:5" ht="14.4" x14ac:dyDescent="0.3">
      <c r="A1037" s="20" t="s">
        <v>7456</v>
      </c>
      <c r="B1037" s="1" t="s">
        <v>167</v>
      </c>
      <c r="C1037" s="1" t="s">
        <v>3484</v>
      </c>
      <c r="D1037" s="1" t="s">
        <v>3651</v>
      </c>
      <c r="E1037" s="1">
        <v>11300000</v>
      </c>
    </row>
    <row r="1038" spans="1:5" ht="14.4" x14ac:dyDescent="0.3">
      <c r="A1038" s="20" t="s">
        <v>7457</v>
      </c>
      <c r="B1038" s="1" t="s">
        <v>48</v>
      </c>
      <c r="C1038" s="1" t="s">
        <v>3652</v>
      </c>
      <c r="D1038" s="1" t="s">
        <v>3653</v>
      </c>
      <c r="E1038" s="1">
        <v>6370000</v>
      </c>
    </row>
    <row r="1039" spans="1:5" ht="14.4" x14ac:dyDescent="0.3">
      <c r="A1039" s="20" t="s">
        <v>7458</v>
      </c>
      <c r="B1039" s="1" t="s">
        <v>303</v>
      </c>
      <c r="C1039" s="1">
        <v>700</v>
      </c>
      <c r="D1039" s="1" t="s">
        <v>3654</v>
      </c>
      <c r="E1039" s="1">
        <v>9500000</v>
      </c>
    </row>
    <row r="1040" spans="1:5" ht="14.4" x14ac:dyDescent="0.3">
      <c r="A1040" s="20" t="s">
        <v>7459</v>
      </c>
      <c r="B1040" s="1" t="s">
        <v>72</v>
      </c>
      <c r="C1040" s="1" t="s">
        <v>2980</v>
      </c>
      <c r="D1040" s="1" t="s">
        <v>3655</v>
      </c>
      <c r="E1040" s="1">
        <v>7700000</v>
      </c>
    </row>
    <row r="1041" spans="1:5" ht="14.4" x14ac:dyDescent="0.3">
      <c r="A1041" s="20" t="s">
        <v>7460</v>
      </c>
      <c r="B1041" s="1" t="s">
        <v>2906</v>
      </c>
      <c r="C1041" s="1" t="s">
        <v>3656</v>
      </c>
      <c r="D1041" s="1" t="s">
        <v>416</v>
      </c>
      <c r="E1041" s="1">
        <v>8900000</v>
      </c>
    </row>
    <row r="1042" spans="1:5" ht="14.4" x14ac:dyDescent="0.3">
      <c r="A1042" s="20" t="s">
        <v>7461</v>
      </c>
      <c r="B1042" s="1" t="s">
        <v>2910</v>
      </c>
      <c r="C1042" s="1" t="s">
        <v>218</v>
      </c>
      <c r="D1042" s="1" t="s">
        <v>222</v>
      </c>
      <c r="E1042" s="1">
        <v>18600000</v>
      </c>
    </row>
    <row r="1043" spans="1:5" ht="14.4" x14ac:dyDescent="0.3">
      <c r="A1043" s="20" t="s">
        <v>7462</v>
      </c>
      <c r="B1043" s="1" t="s">
        <v>93</v>
      </c>
      <c r="C1043" s="1" t="s">
        <v>113</v>
      </c>
      <c r="D1043" s="1" t="s">
        <v>3657</v>
      </c>
      <c r="E1043" s="1">
        <v>33700000</v>
      </c>
    </row>
    <row r="1044" spans="1:5" ht="14.4" x14ac:dyDescent="0.3">
      <c r="A1044" s="20" t="s">
        <v>7463</v>
      </c>
      <c r="B1044" s="1" t="s">
        <v>3658</v>
      </c>
      <c r="C1044" s="1" t="s">
        <v>3659</v>
      </c>
      <c r="D1044" s="1" t="s">
        <v>3660</v>
      </c>
      <c r="E1044" s="1">
        <v>6660000</v>
      </c>
    </row>
    <row r="1045" spans="1:5" ht="14.4" x14ac:dyDescent="0.3">
      <c r="A1045" s="20" t="s">
        <v>7464</v>
      </c>
      <c r="B1045" s="1" t="s">
        <v>72</v>
      </c>
      <c r="C1045" s="1" t="s">
        <v>3661</v>
      </c>
      <c r="D1045" s="1" t="s">
        <v>88</v>
      </c>
      <c r="E1045" s="1">
        <v>16500000</v>
      </c>
    </row>
    <row r="1046" spans="1:5" ht="14.4" x14ac:dyDescent="0.3">
      <c r="A1046" s="20" t="s">
        <v>7465</v>
      </c>
      <c r="B1046" s="1" t="s">
        <v>167</v>
      </c>
      <c r="C1046" s="1" t="s">
        <v>3125</v>
      </c>
      <c r="D1046" s="1" t="s">
        <v>3662</v>
      </c>
      <c r="E1046" s="1">
        <v>8300000</v>
      </c>
    </row>
    <row r="1047" spans="1:5" ht="14.4" x14ac:dyDescent="0.3">
      <c r="A1047" s="20" t="s">
        <v>7466</v>
      </c>
      <c r="B1047" s="1" t="s">
        <v>2906</v>
      </c>
      <c r="C1047" s="1" t="s">
        <v>3399</v>
      </c>
      <c r="D1047" s="1" t="s">
        <v>419</v>
      </c>
      <c r="E1047" s="1">
        <v>7740000</v>
      </c>
    </row>
    <row r="1048" spans="1:5" ht="14.4" x14ac:dyDescent="0.3">
      <c r="A1048" s="20" t="s">
        <v>7467</v>
      </c>
      <c r="B1048" s="1" t="s">
        <v>2961</v>
      </c>
      <c r="C1048" s="1" t="s">
        <v>3453</v>
      </c>
      <c r="D1048" s="1" t="s">
        <v>3663</v>
      </c>
      <c r="E1048" s="1">
        <v>12600000</v>
      </c>
    </row>
    <row r="1049" spans="1:5" ht="14.4" x14ac:dyDescent="0.3">
      <c r="A1049" s="20" t="s">
        <v>7468</v>
      </c>
      <c r="B1049" s="1" t="s">
        <v>167</v>
      </c>
      <c r="C1049" s="1" t="s">
        <v>3125</v>
      </c>
      <c r="D1049" s="1" t="s">
        <v>3662</v>
      </c>
      <c r="E1049" s="1">
        <v>8300000</v>
      </c>
    </row>
    <row r="1050" spans="1:5" ht="14.4" x14ac:dyDescent="0.3">
      <c r="A1050" s="20" t="s">
        <v>7469</v>
      </c>
      <c r="B1050" s="1" t="s">
        <v>264</v>
      </c>
      <c r="C1050" s="1" t="s">
        <v>293</v>
      </c>
      <c r="D1050" s="1" t="s">
        <v>3664</v>
      </c>
      <c r="E1050" s="1">
        <v>19900000</v>
      </c>
    </row>
    <row r="1051" spans="1:5" ht="14.4" x14ac:dyDescent="0.3">
      <c r="A1051" s="20" t="s">
        <v>7470</v>
      </c>
      <c r="B1051" s="1" t="s">
        <v>317</v>
      </c>
      <c r="C1051" s="1" t="s">
        <v>3573</v>
      </c>
      <c r="D1051" s="1" t="s">
        <v>3574</v>
      </c>
      <c r="E1051" s="1">
        <v>26300000</v>
      </c>
    </row>
    <row r="1052" spans="1:5" ht="14.4" x14ac:dyDescent="0.3">
      <c r="A1052" s="20" t="s">
        <v>7471</v>
      </c>
      <c r="B1052" s="1" t="s">
        <v>264</v>
      </c>
      <c r="C1052" s="1" t="s">
        <v>293</v>
      </c>
      <c r="D1052" s="1" t="s">
        <v>3664</v>
      </c>
      <c r="E1052" s="1">
        <v>19900000</v>
      </c>
    </row>
    <row r="1053" spans="1:5" ht="14.4" x14ac:dyDescent="0.3">
      <c r="A1053" s="20" t="s">
        <v>7472</v>
      </c>
      <c r="B1053" s="1" t="s">
        <v>48</v>
      </c>
      <c r="C1053" s="1" t="s">
        <v>3234</v>
      </c>
      <c r="D1053" s="1" t="s">
        <v>3665</v>
      </c>
      <c r="E1053" s="1">
        <v>6960000</v>
      </c>
    </row>
    <row r="1054" spans="1:5" ht="14.4" x14ac:dyDescent="0.3">
      <c r="A1054" s="20" t="s">
        <v>7473</v>
      </c>
      <c r="B1054" s="1" t="s">
        <v>167</v>
      </c>
      <c r="C1054" s="1" t="s">
        <v>3070</v>
      </c>
      <c r="D1054" s="1" t="s">
        <v>3666</v>
      </c>
      <c r="E1054" s="1">
        <v>17600000</v>
      </c>
    </row>
    <row r="1055" spans="1:5" ht="14.4" x14ac:dyDescent="0.3">
      <c r="A1055" s="20" t="s">
        <v>7474</v>
      </c>
      <c r="B1055" s="1" t="s">
        <v>181</v>
      </c>
      <c r="C1055" s="1" t="s">
        <v>182</v>
      </c>
      <c r="D1055" s="1" t="s">
        <v>3667</v>
      </c>
      <c r="E1055" s="1">
        <v>8600000</v>
      </c>
    </row>
    <row r="1056" spans="1:5" ht="14.4" x14ac:dyDescent="0.3">
      <c r="A1056" s="20" t="s">
        <v>7475</v>
      </c>
      <c r="B1056" s="1" t="s">
        <v>236</v>
      </c>
      <c r="C1056" s="1" t="s">
        <v>2972</v>
      </c>
      <c r="D1056" s="1" t="s">
        <v>239</v>
      </c>
      <c r="E1056" s="1">
        <v>13200000</v>
      </c>
    </row>
    <row r="1057" spans="1:5" ht="14.4" x14ac:dyDescent="0.3">
      <c r="A1057" s="20" t="s">
        <v>7476</v>
      </c>
      <c r="B1057" s="1" t="s">
        <v>334</v>
      </c>
      <c r="C1057" s="1" t="s">
        <v>3274</v>
      </c>
      <c r="D1057" s="1" t="s">
        <v>3668</v>
      </c>
      <c r="E1057" s="1">
        <v>11700000</v>
      </c>
    </row>
    <row r="1058" spans="1:5" ht="14.4" x14ac:dyDescent="0.3">
      <c r="A1058" s="20" t="s">
        <v>7477</v>
      </c>
      <c r="B1058" s="1" t="s">
        <v>2910</v>
      </c>
      <c r="C1058" s="1" t="s">
        <v>218</v>
      </c>
      <c r="D1058" s="1" t="s">
        <v>3669</v>
      </c>
      <c r="E1058" s="1">
        <v>12100000</v>
      </c>
    </row>
    <row r="1059" spans="1:5" ht="14.4" x14ac:dyDescent="0.3">
      <c r="A1059" s="20" t="s">
        <v>7478</v>
      </c>
      <c r="B1059" s="1" t="s">
        <v>2945</v>
      </c>
      <c r="C1059" s="1" t="s">
        <v>3018</v>
      </c>
      <c r="D1059" s="1" t="s">
        <v>1585</v>
      </c>
      <c r="E1059" s="1">
        <v>9300000</v>
      </c>
    </row>
    <row r="1060" spans="1:5" ht="14.4" x14ac:dyDescent="0.3">
      <c r="A1060" s="20" t="s">
        <v>7479</v>
      </c>
      <c r="B1060" s="1" t="s">
        <v>2938</v>
      </c>
      <c r="C1060" s="1" t="s">
        <v>3670</v>
      </c>
      <c r="D1060" s="1" t="s">
        <v>3671</v>
      </c>
      <c r="E1060" s="1">
        <v>7130000</v>
      </c>
    </row>
    <row r="1061" spans="1:5" ht="14.4" x14ac:dyDescent="0.3">
      <c r="A1061" s="20" t="s">
        <v>7480</v>
      </c>
      <c r="B1061" s="1" t="s">
        <v>242</v>
      </c>
      <c r="C1061" s="1" t="s">
        <v>254</v>
      </c>
      <c r="D1061" s="1" t="s">
        <v>3672</v>
      </c>
      <c r="E1061" s="1">
        <v>11000000</v>
      </c>
    </row>
    <row r="1062" spans="1:5" ht="14.4" x14ac:dyDescent="0.3">
      <c r="A1062" s="20" t="s">
        <v>7481</v>
      </c>
      <c r="B1062" s="1" t="s">
        <v>2910</v>
      </c>
      <c r="C1062" s="1" t="s">
        <v>3673</v>
      </c>
      <c r="D1062" s="1" t="s">
        <v>3674</v>
      </c>
      <c r="E1062" s="1">
        <v>10100000</v>
      </c>
    </row>
    <row r="1063" spans="1:5" ht="14.4" x14ac:dyDescent="0.3">
      <c r="A1063" s="20" t="s">
        <v>7482</v>
      </c>
      <c r="B1063" s="1" t="s">
        <v>195</v>
      </c>
      <c r="C1063" s="1" t="s">
        <v>196</v>
      </c>
      <c r="D1063" s="1" t="s">
        <v>3675</v>
      </c>
      <c r="E1063" s="1">
        <v>14300000</v>
      </c>
    </row>
    <row r="1064" spans="1:5" ht="14.4" x14ac:dyDescent="0.3">
      <c r="A1064" s="20" t="s">
        <v>7483</v>
      </c>
      <c r="B1064" s="1" t="s">
        <v>93</v>
      </c>
      <c r="C1064" s="1" t="s">
        <v>3205</v>
      </c>
      <c r="D1064" s="1" t="s">
        <v>3676</v>
      </c>
      <c r="E1064" s="1">
        <v>16200000</v>
      </c>
    </row>
    <row r="1065" spans="1:5" ht="14.4" x14ac:dyDescent="0.3">
      <c r="A1065" s="20" t="s">
        <v>7484</v>
      </c>
      <c r="B1065" s="1" t="s">
        <v>93</v>
      </c>
      <c r="C1065" s="1" t="s">
        <v>113</v>
      </c>
      <c r="D1065" s="1" t="s">
        <v>3677</v>
      </c>
      <c r="E1065" s="1">
        <v>28400000</v>
      </c>
    </row>
    <row r="1066" spans="1:5" ht="14.4" x14ac:dyDescent="0.3">
      <c r="A1066" s="20" t="s">
        <v>7485</v>
      </c>
      <c r="B1066" s="1" t="s">
        <v>264</v>
      </c>
      <c r="C1066" s="1" t="s">
        <v>2896</v>
      </c>
      <c r="D1066" s="1" t="s">
        <v>3678</v>
      </c>
      <c r="E1066" s="1">
        <v>13300000</v>
      </c>
    </row>
    <row r="1067" spans="1:5" ht="14.4" x14ac:dyDescent="0.3">
      <c r="A1067" s="20" t="s">
        <v>7486</v>
      </c>
      <c r="B1067" s="1" t="s">
        <v>93</v>
      </c>
      <c r="C1067" s="1" t="s">
        <v>3205</v>
      </c>
      <c r="D1067" s="1" t="s">
        <v>3676</v>
      </c>
      <c r="E1067" s="1">
        <v>16200000</v>
      </c>
    </row>
    <row r="1068" spans="1:5" ht="14.4" x14ac:dyDescent="0.3">
      <c r="A1068" s="20" t="s">
        <v>7487</v>
      </c>
      <c r="B1068" s="1" t="s">
        <v>167</v>
      </c>
      <c r="C1068" s="1" t="s">
        <v>3508</v>
      </c>
      <c r="D1068" s="1" t="s">
        <v>3679</v>
      </c>
      <c r="E1068" s="1">
        <v>16800000</v>
      </c>
    </row>
    <row r="1069" spans="1:5" ht="14.4" x14ac:dyDescent="0.3">
      <c r="A1069" s="20" t="s">
        <v>7488</v>
      </c>
      <c r="B1069" s="1" t="s">
        <v>48</v>
      </c>
      <c r="C1069" s="1" t="s">
        <v>49</v>
      </c>
      <c r="D1069" s="1" t="s">
        <v>3680</v>
      </c>
      <c r="E1069" s="1">
        <v>11300000</v>
      </c>
    </row>
    <row r="1070" spans="1:5" ht="14.4" x14ac:dyDescent="0.3">
      <c r="A1070" s="20" t="s">
        <v>7489</v>
      </c>
      <c r="B1070" s="1" t="s">
        <v>229</v>
      </c>
      <c r="C1070" s="1">
        <v>3</v>
      </c>
      <c r="D1070" s="1" t="s">
        <v>2889</v>
      </c>
      <c r="E1070" s="1">
        <v>14200000</v>
      </c>
    </row>
    <row r="1071" spans="1:5" ht="14.4" x14ac:dyDescent="0.3">
      <c r="A1071" s="20" t="s">
        <v>7490</v>
      </c>
      <c r="B1071" s="1" t="s">
        <v>264</v>
      </c>
      <c r="C1071" s="1" t="s">
        <v>3681</v>
      </c>
      <c r="D1071" s="1" t="s">
        <v>3682</v>
      </c>
      <c r="E1071" s="1">
        <v>25100000</v>
      </c>
    </row>
    <row r="1072" spans="1:5" ht="14.4" x14ac:dyDescent="0.3">
      <c r="A1072" s="20" t="s">
        <v>7491</v>
      </c>
      <c r="B1072" s="1" t="s">
        <v>48</v>
      </c>
      <c r="C1072" s="1" t="s">
        <v>3176</v>
      </c>
      <c r="D1072" s="1" t="s">
        <v>3683</v>
      </c>
      <c r="E1072" s="1">
        <v>11500000</v>
      </c>
    </row>
    <row r="1073" spans="1:5" ht="14.4" x14ac:dyDescent="0.3">
      <c r="A1073" s="20" t="s">
        <v>7492</v>
      </c>
      <c r="B1073" s="1" t="s">
        <v>260</v>
      </c>
      <c r="C1073" s="1" t="s">
        <v>69</v>
      </c>
      <c r="D1073" s="1" t="s">
        <v>3684</v>
      </c>
      <c r="E1073" s="1">
        <v>14200000</v>
      </c>
    </row>
    <row r="1074" spans="1:5" ht="14.4" x14ac:dyDescent="0.3">
      <c r="A1074" s="20" t="s">
        <v>7493</v>
      </c>
      <c r="B1074" s="1" t="s">
        <v>2910</v>
      </c>
      <c r="C1074" s="1" t="s">
        <v>2975</v>
      </c>
      <c r="D1074" s="1" t="s">
        <v>3685</v>
      </c>
      <c r="E1074" s="1">
        <v>13600000</v>
      </c>
    </row>
    <row r="1075" spans="1:5" ht="14.4" x14ac:dyDescent="0.3">
      <c r="A1075" s="20" t="s">
        <v>7494</v>
      </c>
      <c r="B1075" s="1" t="s">
        <v>48</v>
      </c>
      <c r="C1075" s="1" t="s">
        <v>3407</v>
      </c>
      <c r="D1075" s="1" t="s">
        <v>3686</v>
      </c>
      <c r="E1075" s="1">
        <v>8500000</v>
      </c>
    </row>
    <row r="1076" spans="1:5" ht="14.4" x14ac:dyDescent="0.3">
      <c r="A1076" s="20" t="s">
        <v>7495</v>
      </c>
      <c r="B1076" s="1" t="s">
        <v>3228</v>
      </c>
      <c r="C1076" s="1" t="s">
        <v>3515</v>
      </c>
      <c r="D1076" s="1" t="s">
        <v>3687</v>
      </c>
      <c r="E1076" s="1">
        <v>14500000</v>
      </c>
    </row>
    <row r="1077" spans="1:5" ht="14.4" x14ac:dyDescent="0.3">
      <c r="A1077" s="20" t="s">
        <v>7496</v>
      </c>
      <c r="B1077" s="1" t="s">
        <v>3362</v>
      </c>
      <c r="C1077" s="1" t="s">
        <v>3363</v>
      </c>
      <c r="D1077" s="1" t="s">
        <v>3688</v>
      </c>
      <c r="E1077" s="1">
        <v>11000000</v>
      </c>
    </row>
    <row r="1078" spans="1:5" ht="14.4" x14ac:dyDescent="0.3">
      <c r="A1078" s="20" t="s">
        <v>7497</v>
      </c>
      <c r="B1078" s="1" t="s">
        <v>2945</v>
      </c>
      <c r="C1078" s="1" t="s">
        <v>2983</v>
      </c>
      <c r="D1078" s="1" t="s">
        <v>3689</v>
      </c>
      <c r="E1078" s="1">
        <v>8900000</v>
      </c>
    </row>
    <row r="1079" spans="1:5" ht="14.4" x14ac:dyDescent="0.3">
      <c r="A1079" s="20" t="s">
        <v>7498</v>
      </c>
      <c r="B1079" s="1" t="s">
        <v>64</v>
      </c>
      <c r="C1079" s="1" t="s">
        <v>65</v>
      </c>
      <c r="D1079" s="1" t="s">
        <v>3690</v>
      </c>
      <c r="E1079" s="1">
        <v>8600000</v>
      </c>
    </row>
    <row r="1080" spans="1:5" ht="14.4" x14ac:dyDescent="0.3">
      <c r="A1080" s="20" t="s">
        <v>7499</v>
      </c>
      <c r="B1080" s="1" t="s">
        <v>167</v>
      </c>
      <c r="C1080" s="1" t="s">
        <v>3437</v>
      </c>
      <c r="D1080" s="1" t="s">
        <v>3691</v>
      </c>
      <c r="E1080" s="1">
        <v>25000000</v>
      </c>
    </row>
    <row r="1081" spans="1:5" ht="14.4" x14ac:dyDescent="0.3">
      <c r="A1081" s="20" t="s">
        <v>7500</v>
      </c>
      <c r="B1081" s="1" t="s">
        <v>242</v>
      </c>
      <c r="C1081" s="1" t="s">
        <v>254</v>
      </c>
      <c r="D1081" s="1" t="s">
        <v>3692</v>
      </c>
      <c r="E1081" s="1">
        <v>11000000</v>
      </c>
    </row>
    <row r="1082" spans="1:5" ht="14.4" x14ac:dyDescent="0.3">
      <c r="A1082" s="20" t="s">
        <v>7501</v>
      </c>
      <c r="B1082" s="1" t="s">
        <v>72</v>
      </c>
      <c r="C1082" s="1">
        <v>560</v>
      </c>
      <c r="D1082" s="1" t="s">
        <v>3693</v>
      </c>
      <c r="E1082" s="1">
        <v>8200000</v>
      </c>
    </row>
    <row r="1083" spans="1:5" ht="14.4" x14ac:dyDescent="0.3">
      <c r="A1083" s="20" t="s">
        <v>7502</v>
      </c>
      <c r="B1083" s="1" t="s">
        <v>93</v>
      </c>
      <c r="C1083" s="1" t="s">
        <v>113</v>
      </c>
      <c r="D1083" s="1" t="s">
        <v>3677</v>
      </c>
      <c r="E1083" s="1">
        <v>24600000</v>
      </c>
    </row>
    <row r="1084" spans="1:5" ht="14.4" x14ac:dyDescent="0.3">
      <c r="A1084" s="20" t="s">
        <v>7503</v>
      </c>
      <c r="B1084" s="1" t="s">
        <v>242</v>
      </c>
      <c r="C1084" s="1" t="s">
        <v>2904</v>
      </c>
      <c r="D1084" s="1" t="s">
        <v>3694</v>
      </c>
      <c r="E1084" s="1">
        <v>24500000</v>
      </c>
    </row>
    <row r="1085" spans="1:5" ht="14.4" x14ac:dyDescent="0.3">
      <c r="A1085" s="20" t="s">
        <v>7504</v>
      </c>
      <c r="B1085" s="1" t="s">
        <v>314</v>
      </c>
      <c r="C1085" s="1" t="s">
        <v>2895</v>
      </c>
      <c r="D1085" s="1" t="s">
        <v>3695</v>
      </c>
      <c r="E1085" s="1">
        <v>7910000</v>
      </c>
    </row>
    <row r="1086" spans="1:5" ht="14.4" x14ac:dyDescent="0.3">
      <c r="A1086" s="20" t="s">
        <v>7505</v>
      </c>
      <c r="B1086" s="1" t="s">
        <v>15</v>
      </c>
      <c r="C1086" s="1" t="s">
        <v>16</v>
      </c>
      <c r="D1086" s="1" t="s">
        <v>3696</v>
      </c>
      <c r="E1086" s="1">
        <v>7810000</v>
      </c>
    </row>
    <row r="1087" spans="1:5" ht="14.4" x14ac:dyDescent="0.3">
      <c r="A1087" s="20" t="s">
        <v>7506</v>
      </c>
      <c r="B1087" s="1" t="s">
        <v>334</v>
      </c>
      <c r="C1087" s="1" t="s">
        <v>3274</v>
      </c>
      <c r="D1087" s="1" t="s">
        <v>3697</v>
      </c>
      <c r="E1087" s="1">
        <v>18900000</v>
      </c>
    </row>
    <row r="1088" spans="1:5" ht="14.4" x14ac:dyDescent="0.3">
      <c r="A1088" s="20" t="s">
        <v>7507</v>
      </c>
      <c r="B1088" s="1" t="s">
        <v>30</v>
      </c>
      <c r="C1088" s="1" t="s">
        <v>2908</v>
      </c>
      <c r="D1088" s="1" t="s">
        <v>3698</v>
      </c>
      <c r="E1088" s="1">
        <v>5360000</v>
      </c>
    </row>
    <row r="1089" spans="1:5" ht="14.4" x14ac:dyDescent="0.3">
      <c r="A1089" s="20" t="s">
        <v>7508</v>
      </c>
      <c r="B1089" s="1" t="s">
        <v>30</v>
      </c>
      <c r="C1089" s="1" t="s">
        <v>38</v>
      </c>
      <c r="D1089" s="1" t="s">
        <v>3699</v>
      </c>
      <c r="E1089" s="1">
        <v>10500000</v>
      </c>
    </row>
    <row r="1090" spans="1:5" ht="14.4" x14ac:dyDescent="0.3">
      <c r="A1090" s="20" t="s">
        <v>7509</v>
      </c>
      <c r="B1090" s="1" t="s">
        <v>30</v>
      </c>
      <c r="C1090" s="1" t="s">
        <v>2987</v>
      </c>
      <c r="D1090" s="1" t="s">
        <v>3700</v>
      </c>
      <c r="E1090" s="1">
        <v>7370000</v>
      </c>
    </row>
    <row r="1091" spans="1:5" ht="14.4" x14ac:dyDescent="0.3">
      <c r="A1091" s="20" t="s">
        <v>7510</v>
      </c>
      <c r="B1091" s="1" t="s">
        <v>30</v>
      </c>
      <c r="C1091" s="1" t="s">
        <v>2908</v>
      </c>
      <c r="D1091" s="1" t="s">
        <v>3701</v>
      </c>
      <c r="E1091" s="1">
        <v>7230000</v>
      </c>
    </row>
    <row r="1092" spans="1:5" ht="14.4" x14ac:dyDescent="0.3">
      <c r="A1092" s="20" t="s">
        <v>7511</v>
      </c>
      <c r="B1092" s="1" t="s">
        <v>2910</v>
      </c>
      <c r="C1092" s="1" t="s">
        <v>3702</v>
      </c>
      <c r="D1092" s="1" t="s">
        <v>3703</v>
      </c>
      <c r="E1092" s="1">
        <v>12700000</v>
      </c>
    </row>
    <row r="1093" spans="1:5" ht="14.4" x14ac:dyDescent="0.3">
      <c r="A1093" s="20" t="s">
        <v>7512</v>
      </c>
      <c r="B1093" s="1" t="s">
        <v>167</v>
      </c>
      <c r="C1093" s="1" t="s">
        <v>3201</v>
      </c>
      <c r="D1093" s="1" t="s">
        <v>3704</v>
      </c>
      <c r="E1093" s="1">
        <v>17100000</v>
      </c>
    </row>
    <row r="1094" spans="1:5" ht="14.4" x14ac:dyDescent="0.3">
      <c r="A1094" s="20" t="s">
        <v>7513</v>
      </c>
      <c r="B1094" s="1" t="s">
        <v>2905</v>
      </c>
      <c r="C1094" s="1" t="s">
        <v>90</v>
      </c>
      <c r="D1094" s="1" t="s">
        <v>3705</v>
      </c>
      <c r="E1094" s="1">
        <v>14500000</v>
      </c>
    </row>
    <row r="1095" spans="1:5" ht="14.4" x14ac:dyDescent="0.3">
      <c r="A1095" s="20" t="s">
        <v>7514</v>
      </c>
      <c r="B1095" s="1" t="s">
        <v>30</v>
      </c>
      <c r="C1095" s="1" t="s">
        <v>34</v>
      </c>
      <c r="D1095" s="1" t="s">
        <v>3706</v>
      </c>
      <c r="E1095" s="1">
        <v>8700000</v>
      </c>
    </row>
    <row r="1096" spans="1:5" ht="14.4" x14ac:dyDescent="0.3">
      <c r="A1096" s="20" t="s">
        <v>7515</v>
      </c>
      <c r="B1096" s="1" t="s">
        <v>2945</v>
      </c>
      <c r="C1096" s="1" t="s">
        <v>2983</v>
      </c>
      <c r="D1096" s="1" t="s">
        <v>414</v>
      </c>
      <c r="E1096" s="1">
        <v>8300000</v>
      </c>
    </row>
    <row r="1097" spans="1:5" ht="14.4" x14ac:dyDescent="0.3">
      <c r="A1097" s="20" t="s">
        <v>7516</v>
      </c>
      <c r="B1097" s="1" t="s">
        <v>2910</v>
      </c>
      <c r="C1097" s="1" t="s">
        <v>2911</v>
      </c>
      <c r="D1097" s="1" t="s">
        <v>3707</v>
      </c>
      <c r="E1097" s="1">
        <v>10000000</v>
      </c>
    </row>
    <row r="1098" spans="1:5" ht="14.4" x14ac:dyDescent="0.3">
      <c r="A1098" s="20" t="s">
        <v>7517</v>
      </c>
      <c r="B1098" s="1" t="s">
        <v>2910</v>
      </c>
      <c r="C1098" s="1" t="s">
        <v>2935</v>
      </c>
      <c r="D1098" s="1" t="s">
        <v>3708</v>
      </c>
      <c r="E1098" s="1">
        <v>7340000</v>
      </c>
    </row>
    <row r="1099" spans="1:5" ht="14.4" x14ac:dyDescent="0.3">
      <c r="A1099" s="20" t="s">
        <v>7518</v>
      </c>
      <c r="B1099" s="1" t="s">
        <v>93</v>
      </c>
      <c r="C1099" s="1" t="s">
        <v>131</v>
      </c>
      <c r="D1099" s="1" t="s">
        <v>3709</v>
      </c>
      <c r="E1099" s="1">
        <v>10600000</v>
      </c>
    </row>
    <row r="1100" spans="1:5" ht="14.4" x14ac:dyDescent="0.3">
      <c r="A1100" s="20" t="s">
        <v>7519</v>
      </c>
      <c r="B1100" s="1" t="s">
        <v>72</v>
      </c>
      <c r="C1100" s="1" t="s">
        <v>2980</v>
      </c>
      <c r="D1100" s="1" t="s">
        <v>386</v>
      </c>
      <c r="E1100" s="1">
        <v>7880000</v>
      </c>
    </row>
    <row r="1101" spans="1:5" ht="14.4" x14ac:dyDescent="0.3">
      <c r="A1101" s="20" t="s">
        <v>7520</v>
      </c>
      <c r="B1101" s="1" t="s">
        <v>2961</v>
      </c>
      <c r="C1101" s="1" t="s">
        <v>3067</v>
      </c>
      <c r="D1101" s="1" t="s">
        <v>3710</v>
      </c>
      <c r="E1101" s="1">
        <v>13400000</v>
      </c>
    </row>
    <row r="1102" spans="1:5" ht="14.4" x14ac:dyDescent="0.3">
      <c r="A1102" s="20" t="s">
        <v>7521</v>
      </c>
      <c r="B1102" s="1" t="s">
        <v>30</v>
      </c>
      <c r="C1102" s="1" t="s">
        <v>41</v>
      </c>
      <c r="D1102" s="1" t="s">
        <v>389</v>
      </c>
      <c r="E1102" s="1">
        <v>12600000</v>
      </c>
    </row>
    <row r="1103" spans="1:5" ht="14.4" x14ac:dyDescent="0.3">
      <c r="A1103" s="20" t="s">
        <v>7522</v>
      </c>
      <c r="B1103" s="1" t="s">
        <v>327</v>
      </c>
      <c r="C1103" s="1" t="s">
        <v>3711</v>
      </c>
      <c r="D1103" s="1" t="s">
        <v>3712</v>
      </c>
      <c r="E1103" s="1">
        <v>13200000</v>
      </c>
    </row>
    <row r="1104" spans="1:5" ht="14.4" x14ac:dyDescent="0.3">
      <c r="A1104" s="20" t="s">
        <v>7523</v>
      </c>
      <c r="B1104" s="1" t="s">
        <v>93</v>
      </c>
      <c r="C1104" s="1" t="s">
        <v>131</v>
      </c>
      <c r="D1104" s="1" t="s">
        <v>3713</v>
      </c>
      <c r="E1104" s="1">
        <v>36400000</v>
      </c>
    </row>
    <row r="1105" spans="1:5" ht="14.4" x14ac:dyDescent="0.3">
      <c r="A1105" s="20" t="s">
        <v>7524</v>
      </c>
      <c r="B1105" s="1" t="s">
        <v>93</v>
      </c>
      <c r="C1105" s="1" t="s">
        <v>3714</v>
      </c>
      <c r="D1105" s="1" t="s">
        <v>388</v>
      </c>
      <c r="E1105" s="1">
        <v>31100000</v>
      </c>
    </row>
    <row r="1106" spans="1:5" ht="14.4" x14ac:dyDescent="0.3">
      <c r="A1106" s="20" t="s">
        <v>7525</v>
      </c>
      <c r="B1106" s="1" t="s">
        <v>15</v>
      </c>
      <c r="C1106" s="1" t="s">
        <v>3715</v>
      </c>
      <c r="D1106" s="1" t="s">
        <v>3716</v>
      </c>
      <c r="E1106" s="1">
        <v>7650000</v>
      </c>
    </row>
    <row r="1107" spans="1:5" ht="14.4" x14ac:dyDescent="0.3">
      <c r="A1107" s="20" t="s">
        <v>7526</v>
      </c>
      <c r="B1107" s="1" t="s">
        <v>48</v>
      </c>
      <c r="C1107" s="1" t="s">
        <v>3717</v>
      </c>
      <c r="D1107" s="1" t="s">
        <v>3718</v>
      </c>
      <c r="E1107" s="1">
        <v>5060000</v>
      </c>
    </row>
    <row r="1108" spans="1:5" ht="14.4" x14ac:dyDescent="0.3">
      <c r="A1108" s="20" t="s">
        <v>7527</v>
      </c>
      <c r="B1108" s="1" t="s">
        <v>2910</v>
      </c>
      <c r="C1108" s="1" t="s">
        <v>218</v>
      </c>
      <c r="D1108" s="1" t="s">
        <v>3719</v>
      </c>
      <c r="E1108" s="1">
        <v>18700000</v>
      </c>
    </row>
    <row r="1109" spans="1:5" ht="14.4" x14ac:dyDescent="0.3">
      <c r="A1109" s="20" t="s">
        <v>7528</v>
      </c>
      <c r="B1109" s="1" t="s">
        <v>93</v>
      </c>
      <c r="C1109" s="1" t="s">
        <v>3714</v>
      </c>
      <c r="D1109" s="1" t="s">
        <v>388</v>
      </c>
      <c r="E1109" s="1">
        <v>31100000</v>
      </c>
    </row>
    <row r="1110" spans="1:5" ht="14.4" x14ac:dyDescent="0.3">
      <c r="A1110" s="20" t="s">
        <v>7529</v>
      </c>
      <c r="B1110" s="1" t="s">
        <v>264</v>
      </c>
      <c r="C1110" s="1" t="s">
        <v>2899</v>
      </c>
      <c r="D1110" s="1" t="s">
        <v>3636</v>
      </c>
      <c r="E1110" s="1">
        <v>19000000</v>
      </c>
    </row>
    <row r="1111" spans="1:5" ht="14.4" x14ac:dyDescent="0.3">
      <c r="A1111" s="20" t="s">
        <v>7530</v>
      </c>
      <c r="B1111" s="1" t="s">
        <v>3720</v>
      </c>
      <c r="C1111" s="1" t="s">
        <v>3721</v>
      </c>
      <c r="D1111" s="1" t="s">
        <v>3722</v>
      </c>
      <c r="E1111" s="1">
        <v>16700000</v>
      </c>
    </row>
    <row r="1112" spans="1:5" ht="14.4" x14ac:dyDescent="0.3">
      <c r="A1112" s="20" t="s">
        <v>7531</v>
      </c>
      <c r="B1112" s="1" t="s">
        <v>2945</v>
      </c>
      <c r="C1112" s="1" t="s">
        <v>2983</v>
      </c>
      <c r="D1112" s="1" t="s">
        <v>3723</v>
      </c>
      <c r="E1112" s="1">
        <v>9000000</v>
      </c>
    </row>
    <row r="1113" spans="1:5" ht="14.4" x14ac:dyDescent="0.3">
      <c r="A1113" s="20" t="s">
        <v>7532</v>
      </c>
      <c r="B1113" s="1" t="s">
        <v>48</v>
      </c>
      <c r="C1113" s="1" t="s">
        <v>3176</v>
      </c>
      <c r="D1113" s="1" t="s">
        <v>3724</v>
      </c>
      <c r="E1113" s="1">
        <v>9100000</v>
      </c>
    </row>
    <row r="1114" spans="1:5" ht="14.4" x14ac:dyDescent="0.3">
      <c r="A1114" s="20" t="s">
        <v>7533</v>
      </c>
      <c r="B1114" s="1" t="s">
        <v>188</v>
      </c>
      <c r="C1114" s="1">
        <v>7</v>
      </c>
      <c r="D1114" s="1" t="s">
        <v>3725</v>
      </c>
      <c r="E1114" s="1">
        <v>20900000</v>
      </c>
    </row>
    <row r="1115" spans="1:5" ht="14.4" x14ac:dyDescent="0.3">
      <c r="A1115" s="20" t="s">
        <v>7534</v>
      </c>
      <c r="B1115" s="1" t="s">
        <v>72</v>
      </c>
      <c r="C1115" s="1">
        <v>580</v>
      </c>
      <c r="D1115" s="1" t="s">
        <v>80</v>
      </c>
      <c r="E1115" s="1">
        <v>8600000</v>
      </c>
    </row>
    <row r="1116" spans="1:5" ht="14.4" x14ac:dyDescent="0.3">
      <c r="A1116" s="20" t="s">
        <v>7535</v>
      </c>
      <c r="B1116" s="1" t="s">
        <v>19</v>
      </c>
      <c r="C1116" s="1" t="s">
        <v>3726</v>
      </c>
      <c r="D1116" s="1" t="s">
        <v>25</v>
      </c>
      <c r="E1116" s="1">
        <v>40600000</v>
      </c>
    </row>
    <row r="1117" spans="1:5" ht="14.4" x14ac:dyDescent="0.3">
      <c r="A1117" s="20" t="s">
        <v>7536</v>
      </c>
      <c r="B1117" s="1" t="s">
        <v>93</v>
      </c>
      <c r="C1117" s="1" t="s">
        <v>3388</v>
      </c>
      <c r="D1117" s="1" t="s">
        <v>399</v>
      </c>
      <c r="E1117" s="1">
        <v>14100000</v>
      </c>
    </row>
    <row r="1118" spans="1:5" ht="14.4" x14ac:dyDescent="0.3">
      <c r="A1118" s="20" t="s">
        <v>7537</v>
      </c>
      <c r="B1118" s="1" t="s">
        <v>2933</v>
      </c>
      <c r="C1118" s="1" t="s">
        <v>3727</v>
      </c>
      <c r="D1118" s="1" t="s">
        <v>3728</v>
      </c>
      <c r="E1118" s="1">
        <v>13000000</v>
      </c>
    </row>
    <row r="1119" spans="1:5" ht="14.4" x14ac:dyDescent="0.3">
      <c r="A1119" s="20" t="s">
        <v>7538</v>
      </c>
      <c r="B1119" s="1" t="s">
        <v>334</v>
      </c>
      <c r="C1119" s="1" t="s">
        <v>3008</v>
      </c>
      <c r="D1119" s="1" t="s">
        <v>3729</v>
      </c>
      <c r="E1119" s="1">
        <v>11600000</v>
      </c>
    </row>
    <row r="1120" spans="1:5" ht="14.4" x14ac:dyDescent="0.3">
      <c r="A1120" s="20" t="s">
        <v>7539</v>
      </c>
      <c r="B1120" s="1" t="s">
        <v>30</v>
      </c>
      <c r="C1120" s="1" t="s">
        <v>38</v>
      </c>
      <c r="D1120" s="1" t="s">
        <v>575</v>
      </c>
      <c r="E1120" s="1">
        <v>10400000</v>
      </c>
    </row>
    <row r="1121" spans="1:5" ht="14.4" x14ac:dyDescent="0.3">
      <c r="A1121" s="20" t="s">
        <v>7540</v>
      </c>
      <c r="B1121" s="1" t="s">
        <v>167</v>
      </c>
      <c r="C1121" s="1" t="s">
        <v>3508</v>
      </c>
      <c r="D1121" s="1" t="s">
        <v>3730</v>
      </c>
      <c r="E1121" s="1">
        <v>19700000</v>
      </c>
    </row>
    <row r="1122" spans="1:5" ht="14.4" x14ac:dyDescent="0.3">
      <c r="A1122" s="20" t="s">
        <v>7541</v>
      </c>
      <c r="B1122" s="1" t="s">
        <v>334</v>
      </c>
      <c r="C1122" s="1" t="s">
        <v>3008</v>
      </c>
      <c r="D1122" s="1" t="s">
        <v>3731</v>
      </c>
      <c r="E1122" s="1">
        <v>12500000</v>
      </c>
    </row>
    <row r="1123" spans="1:5" ht="14.4" x14ac:dyDescent="0.3">
      <c r="A1123" s="20" t="s">
        <v>7542</v>
      </c>
      <c r="B1123" s="1" t="s">
        <v>151</v>
      </c>
      <c r="C1123" s="1" t="s">
        <v>154</v>
      </c>
      <c r="D1123" s="1" t="s">
        <v>153</v>
      </c>
      <c r="E1123" s="1">
        <v>18500000</v>
      </c>
    </row>
    <row r="1124" spans="1:5" ht="14.4" x14ac:dyDescent="0.3">
      <c r="A1124" s="20" t="s">
        <v>7543</v>
      </c>
      <c r="B1124" s="1" t="s">
        <v>48</v>
      </c>
      <c r="C1124" s="1" t="s">
        <v>49</v>
      </c>
      <c r="D1124" s="1" t="s">
        <v>3732</v>
      </c>
      <c r="E1124" s="1">
        <v>11400000</v>
      </c>
    </row>
    <row r="1125" spans="1:5" ht="14.4" x14ac:dyDescent="0.3">
      <c r="A1125" s="20" t="s">
        <v>7544</v>
      </c>
      <c r="B1125" s="1" t="s">
        <v>2910</v>
      </c>
      <c r="C1125" s="1" t="s">
        <v>2911</v>
      </c>
      <c r="D1125" s="1" t="s">
        <v>3733</v>
      </c>
      <c r="E1125" s="1">
        <v>9500000</v>
      </c>
    </row>
    <row r="1126" spans="1:5" ht="14.4" x14ac:dyDescent="0.3">
      <c r="A1126" s="20" t="s">
        <v>7545</v>
      </c>
      <c r="B1126" s="1" t="s">
        <v>242</v>
      </c>
      <c r="C1126" s="1" t="s">
        <v>3141</v>
      </c>
      <c r="D1126" s="1" t="s">
        <v>411</v>
      </c>
      <c r="E1126" s="1">
        <v>12300000</v>
      </c>
    </row>
    <row r="1127" spans="1:5" ht="14.4" x14ac:dyDescent="0.3">
      <c r="A1127" s="20" t="s">
        <v>7546</v>
      </c>
      <c r="B1127" s="1" t="s">
        <v>19</v>
      </c>
      <c r="C1127" s="1" t="s">
        <v>3726</v>
      </c>
      <c r="D1127" s="1" t="s">
        <v>24</v>
      </c>
      <c r="E1127" s="1">
        <v>40300000</v>
      </c>
    </row>
    <row r="1128" spans="1:5" ht="14.4" x14ac:dyDescent="0.3">
      <c r="A1128" s="20" t="s">
        <v>7547</v>
      </c>
      <c r="B1128" s="1" t="s">
        <v>93</v>
      </c>
      <c r="C1128" s="1" t="s">
        <v>118</v>
      </c>
      <c r="D1128" s="1" t="s">
        <v>122</v>
      </c>
      <c r="E1128" s="1">
        <v>33400000</v>
      </c>
    </row>
    <row r="1129" spans="1:5" ht="14.4" x14ac:dyDescent="0.3">
      <c r="A1129" s="20" t="s">
        <v>7548</v>
      </c>
      <c r="B1129" s="1" t="s">
        <v>264</v>
      </c>
      <c r="C1129" s="1" t="s">
        <v>300</v>
      </c>
      <c r="D1129" s="1" t="s">
        <v>3734</v>
      </c>
      <c r="E1129" s="1">
        <v>16500000</v>
      </c>
    </row>
    <row r="1130" spans="1:5" ht="14.4" x14ac:dyDescent="0.3">
      <c r="A1130" s="20" t="s">
        <v>7549</v>
      </c>
      <c r="B1130" s="1" t="s">
        <v>2910</v>
      </c>
      <c r="C1130" s="1" t="s">
        <v>2999</v>
      </c>
      <c r="D1130" s="1" t="s">
        <v>3735</v>
      </c>
      <c r="E1130" s="1">
        <v>15400000</v>
      </c>
    </row>
    <row r="1131" spans="1:5" ht="14.4" x14ac:dyDescent="0.3">
      <c r="A1131" s="20" t="s">
        <v>7550</v>
      </c>
      <c r="B1131" s="1" t="s">
        <v>242</v>
      </c>
      <c r="C1131" s="1" t="s">
        <v>3174</v>
      </c>
      <c r="D1131" s="1" t="s">
        <v>3736</v>
      </c>
      <c r="E1131" s="1">
        <v>13000000</v>
      </c>
    </row>
    <row r="1132" spans="1:5" ht="14.4" x14ac:dyDescent="0.3">
      <c r="A1132" s="20" t="s">
        <v>7551</v>
      </c>
      <c r="B1132" s="1" t="s">
        <v>48</v>
      </c>
      <c r="C1132" s="1" t="s">
        <v>3737</v>
      </c>
      <c r="D1132" s="1" t="s">
        <v>60</v>
      </c>
      <c r="E1132" s="1">
        <v>33500000</v>
      </c>
    </row>
    <row r="1133" spans="1:5" ht="14.4" x14ac:dyDescent="0.3">
      <c r="A1133" s="20" t="s">
        <v>7552</v>
      </c>
      <c r="B1133" s="1" t="s">
        <v>64</v>
      </c>
      <c r="C1133" s="1" t="s">
        <v>3738</v>
      </c>
      <c r="D1133" s="1" t="s">
        <v>3739</v>
      </c>
      <c r="E1133" s="1">
        <v>16200000</v>
      </c>
    </row>
    <row r="1134" spans="1:5" ht="14.4" x14ac:dyDescent="0.3">
      <c r="A1134" s="20" t="s">
        <v>7553</v>
      </c>
      <c r="B1134" s="1" t="s">
        <v>64</v>
      </c>
      <c r="C1134" s="1" t="s">
        <v>3738</v>
      </c>
      <c r="D1134" s="1" t="s">
        <v>3739</v>
      </c>
      <c r="E1134" s="1">
        <v>16200000</v>
      </c>
    </row>
    <row r="1135" spans="1:5" ht="14.4" x14ac:dyDescent="0.3">
      <c r="A1135" s="20" t="s">
        <v>7554</v>
      </c>
      <c r="B1135" s="1" t="s">
        <v>264</v>
      </c>
      <c r="C1135" s="1" t="s">
        <v>2890</v>
      </c>
      <c r="D1135" s="1" t="s">
        <v>3740</v>
      </c>
      <c r="E1135" s="1">
        <v>15500000</v>
      </c>
    </row>
    <row r="1136" spans="1:5" ht="14.4" x14ac:dyDescent="0.3">
      <c r="A1136" s="20" t="s">
        <v>7555</v>
      </c>
      <c r="B1136" s="1" t="s">
        <v>264</v>
      </c>
      <c r="C1136" s="1" t="s">
        <v>2890</v>
      </c>
      <c r="D1136" s="1" t="s">
        <v>3740</v>
      </c>
      <c r="E1136" s="1">
        <v>16400000</v>
      </c>
    </row>
    <row r="1137" spans="1:5" ht="14.4" x14ac:dyDescent="0.3">
      <c r="A1137" s="20" t="s">
        <v>7556</v>
      </c>
      <c r="B1137" s="1" t="s">
        <v>2938</v>
      </c>
      <c r="C1137" s="1" t="s">
        <v>3741</v>
      </c>
      <c r="D1137" s="1" t="s">
        <v>3742</v>
      </c>
      <c r="E1137" s="1">
        <v>11800000</v>
      </c>
    </row>
    <row r="1138" spans="1:5" ht="14.4" x14ac:dyDescent="0.3">
      <c r="A1138" s="20" t="s">
        <v>7557</v>
      </c>
      <c r="B1138" s="1" t="s">
        <v>242</v>
      </c>
      <c r="C1138" s="1" t="s">
        <v>3174</v>
      </c>
      <c r="D1138" s="1" t="s">
        <v>3743</v>
      </c>
      <c r="E1138" s="1">
        <v>12600000</v>
      </c>
    </row>
    <row r="1139" spans="1:5" ht="14.4" x14ac:dyDescent="0.3">
      <c r="A1139" s="20" t="s">
        <v>7558</v>
      </c>
      <c r="B1139" s="1" t="s">
        <v>30</v>
      </c>
      <c r="C1139" s="1" t="s">
        <v>2908</v>
      </c>
      <c r="D1139" s="1" t="s">
        <v>3744</v>
      </c>
      <c r="E1139" s="1">
        <v>6880000</v>
      </c>
    </row>
    <row r="1140" spans="1:5" ht="14.4" x14ac:dyDescent="0.3">
      <c r="A1140" s="20" t="s">
        <v>7559</v>
      </c>
      <c r="B1140" s="1" t="s">
        <v>93</v>
      </c>
      <c r="C1140" s="1" t="s">
        <v>97</v>
      </c>
      <c r="D1140" s="1" t="s">
        <v>3745</v>
      </c>
      <c r="E1140" s="1">
        <v>8200000</v>
      </c>
    </row>
    <row r="1141" spans="1:5" ht="14.4" x14ac:dyDescent="0.3">
      <c r="A1141" s="20" t="s">
        <v>7560</v>
      </c>
      <c r="B1141" s="1" t="s">
        <v>167</v>
      </c>
      <c r="C1141" s="1" t="s">
        <v>3746</v>
      </c>
      <c r="D1141" s="1" t="s">
        <v>1528</v>
      </c>
      <c r="E1141" s="1">
        <v>26200000</v>
      </c>
    </row>
    <row r="1142" spans="1:5" ht="14.4" x14ac:dyDescent="0.3">
      <c r="A1142" s="20" t="s">
        <v>7561</v>
      </c>
      <c r="B1142" s="1" t="s">
        <v>264</v>
      </c>
      <c r="C1142" s="1" t="s">
        <v>2896</v>
      </c>
      <c r="D1142" s="1" t="s">
        <v>3747</v>
      </c>
      <c r="E1142" s="1">
        <v>13200000</v>
      </c>
    </row>
    <row r="1143" spans="1:5" ht="14.4" x14ac:dyDescent="0.3">
      <c r="A1143" s="20" t="s">
        <v>7562</v>
      </c>
      <c r="B1143" s="1" t="s">
        <v>15</v>
      </c>
      <c r="C1143" s="1" t="s">
        <v>3715</v>
      </c>
      <c r="D1143" s="1" t="s">
        <v>3748</v>
      </c>
      <c r="E1143" s="1">
        <v>6720000</v>
      </c>
    </row>
    <row r="1144" spans="1:5" ht="14.4" x14ac:dyDescent="0.3">
      <c r="A1144" s="20" t="s">
        <v>7563</v>
      </c>
      <c r="B1144" s="1" t="s">
        <v>334</v>
      </c>
      <c r="C1144" s="1" t="s">
        <v>3274</v>
      </c>
      <c r="D1144" s="1" t="s">
        <v>3749</v>
      </c>
      <c r="E1144" s="1">
        <v>17800000</v>
      </c>
    </row>
    <row r="1145" spans="1:5" ht="14.4" x14ac:dyDescent="0.3">
      <c r="A1145" s="20" t="s">
        <v>7564</v>
      </c>
      <c r="B1145" s="1" t="s">
        <v>3367</v>
      </c>
      <c r="C1145" s="1" t="s">
        <v>2930</v>
      </c>
      <c r="D1145" s="1" t="s">
        <v>3750</v>
      </c>
      <c r="E1145" s="1">
        <v>6990000</v>
      </c>
    </row>
    <row r="1146" spans="1:5" ht="14.4" x14ac:dyDescent="0.3">
      <c r="A1146" s="20" t="s">
        <v>7565</v>
      </c>
      <c r="B1146" s="1" t="s">
        <v>30</v>
      </c>
      <c r="C1146" s="1" t="s">
        <v>45</v>
      </c>
      <c r="D1146" s="1" t="s">
        <v>3751</v>
      </c>
      <c r="E1146" s="1">
        <v>11900000</v>
      </c>
    </row>
    <row r="1147" spans="1:5" ht="14.4" x14ac:dyDescent="0.3">
      <c r="A1147" s="20" t="s">
        <v>7566</v>
      </c>
      <c r="B1147" s="1" t="s">
        <v>181</v>
      </c>
      <c r="C1147" s="1" t="s">
        <v>182</v>
      </c>
      <c r="D1147" s="1" t="s">
        <v>3752</v>
      </c>
      <c r="E1147" s="1">
        <v>10100000</v>
      </c>
    </row>
    <row r="1148" spans="1:5" ht="14.4" x14ac:dyDescent="0.3">
      <c r="A1148" s="20" t="s">
        <v>7567</v>
      </c>
      <c r="B1148" s="1" t="s">
        <v>30</v>
      </c>
      <c r="C1148" s="1" t="s">
        <v>45</v>
      </c>
      <c r="D1148" s="1" t="s">
        <v>3753</v>
      </c>
      <c r="E1148" s="1">
        <v>11200000</v>
      </c>
    </row>
    <row r="1149" spans="1:5" ht="14.4" x14ac:dyDescent="0.3">
      <c r="A1149" s="20" t="s">
        <v>7568</v>
      </c>
      <c r="B1149" s="1" t="s">
        <v>264</v>
      </c>
      <c r="C1149" s="1" t="s">
        <v>293</v>
      </c>
      <c r="D1149" s="1" t="s">
        <v>3754</v>
      </c>
      <c r="E1149" s="1">
        <v>21200000</v>
      </c>
    </row>
    <row r="1150" spans="1:5" ht="14.4" x14ac:dyDescent="0.3">
      <c r="A1150" s="20" t="s">
        <v>7569</v>
      </c>
      <c r="B1150" s="1" t="s">
        <v>72</v>
      </c>
      <c r="C1150" s="1" t="s">
        <v>3755</v>
      </c>
      <c r="D1150" s="1" t="s">
        <v>3756</v>
      </c>
      <c r="E1150" s="1">
        <v>6210000</v>
      </c>
    </row>
    <row r="1151" spans="1:5" ht="14.4" x14ac:dyDescent="0.3">
      <c r="A1151" s="20" t="s">
        <v>7570</v>
      </c>
      <c r="B1151" s="1" t="s">
        <v>30</v>
      </c>
      <c r="C1151" s="1" t="s">
        <v>2908</v>
      </c>
      <c r="D1151" s="1" t="s">
        <v>410</v>
      </c>
      <c r="E1151" s="1">
        <v>7390000</v>
      </c>
    </row>
    <row r="1152" spans="1:5" ht="14.4" x14ac:dyDescent="0.3">
      <c r="A1152" s="20" t="s">
        <v>7571</v>
      </c>
      <c r="B1152" s="1" t="s">
        <v>195</v>
      </c>
      <c r="C1152" s="1" t="s">
        <v>3085</v>
      </c>
      <c r="D1152" s="1" t="s">
        <v>3757</v>
      </c>
      <c r="E1152" s="1">
        <v>13600000</v>
      </c>
    </row>
    <row r="1153" spans="1:5" ht="14.4" x14ac:dyDescent="0.3">
      <c r="A1153" s="20" t="s">
        <v>7572</v>
      </c>
      <c r="B1153" s="1" t="s">
        <v>3433</v>
      </c>
      <c r="C1153" s="1" t="s">
        <v>3758</v>
      </c>
      <c r="D1153" s="1" t="s">
        <v>3759</v>
      </c>
      <c r="E1153" s="1">
        <v>31800000</v>
      </c>
    </row>
    <row r="1154" spans="1:5" ht="14.4" x14ac:dyDescent="0.3">
      <c r="A1154" s="20" t="s">
        <v>7573</v>
      </c>
      <c r="B1154" s="1" t="s">
        <v>334</v>
      </c>
      <c r="C1154" s="1" t="s">
        <v>3274</v>
      </c>
      <c r="D1154" s="1" t="s">
        <v>3760</v>
      </c>
      <c r="E1154" s="1">
        <v>18500000</v>
      </c>
    </row>
    <row r="1155" spans="1:5" ht="14.4" x14ac:dyDescent="0.3">
      <c r="A1155" s="20" t="s">
        <v>7574</v>
      </c>
      <c r="B1155" s="1" t="s">
        <v>30</v>
      </c>
      <c r="C1155" s="1" t="s">
        <v>45</v>
      </c>
      <c r="D1155" s="1" t="s">
        <v>403</v>
      </c>
      <c r="E1155" s="1">
        <v>11300000</v>
      </c>
    </row>
    <row r="1156" spans="1:5" ht="14.4" x14ac:dyDescent="0.3">
      <c r="A1156" s="20" t="s">
        <v>7575</v>
      </c>
      <c r="B1156" s="1" t="s">
        <v>327</v>
      </c>
      <c r="C1156" s="1" t="s">
        <v>3337</v>
      </c>
      <c r="D1156" s="1" t="s">
        <v>3761</v>
      </c>
      <c r="E1156" s="1">
        <v>12100000</v>
      </c>
    </row>
    <row r="1157" spans="1:5" ht="14.4" x14ac:dyDescent="0.3">
      <c r="A1157" s="20" t="s">
        <v>7576</v>
      </c>
      <c r="B1157" s="1" t="s">
        <v>242</v>
      </c>
      <c r="C1157" s="1" t="s">
        <v>2981</v>
      </c>
      <c r="D1157" s="1" t="s">
        <v>3762</v>
      </c>
      <c r="E1157" s="1">
        <v>9400000</v>
      </c>
    </row>
    <row r="1158" spans="1:5" ht="14.4" x14ac:dyDescent="0.3">
      <c r="A1158" s="20" t="s">
        <v>7577</v>
      </c>
      <c r="B1158" s="1" t="s">
        <v>167</v>
      </c>
      <c r="C1158" s="1" t="s">
        <v>3763</v>
      </c>
      <c r="D1158" s="1" t="s">
        <v>3764</v>
      </c>
      <c r="E1158" s="1">
        <v>19300000</v>
      </c>
    </row>
    <row r="1159" spans="1:5" ht="14.4" x14ac:dyDescent="0.3">
      <c r="A1159" s="20" t="s">
        <v>7578</v>
      </c>
      <c r="B1159" s="1" t="s">
        <v>30</v>
      </c>
      <c r="C1159" s="1" t="s">
        <v>45</v>
      </c>
      <c r="D1159" s="1" t="s">
        <v>3765</v>
      </c>
      <c r="E1159" s="1">
        <v>10400000</v>
      </c>
    </row>
    <row r="1160" spans="1:5" ht="14.4" x14ac:dyDescent="0.3">
      <c r="A1160" s="20" t="s">
        <v>7579</v>
      </c>
      <c r="B1160" s="1" t="s">
        <v>188</v>
      </c>
      <c r="C1160" s="1">
        <v>7</v>
      </c>
      <c r="D1160" s="1" t="s">
        <v>3766</v>
      </c>
      <c r="E1160" s="1">
        <v>17500000</v>
      </c>
    </row>
    <row r="1161" spans="1:5" ht="14.4" x14ac:dyDescent="0.3">
      <c r="A1161" s="20" t="s">
        <v>7580</v>
      </c>
      <c r="B1161" s="1" t="s">
        <v>181</v>
      </c>
      <c r="C1161" s="1" t="s">
        <v>2941</v>
      </c>
      <c r="D1161" s="1" t="s">
        <v>409</v>
      </c>
      <c r="E1161" s="1">
        <v>7930000</v>
      </c>
    </row>
    <row r="1162" spans="1:5" ht="14.4" x14ac:dyDescent="0.3">
      <c r="A1162" s="20" t="s">
        <v>7581</v>
      </c>
      <c r="B1162" s="1" t="s">
        <v>30</v>
      </c>
      <c r="C1162" s="1" t="s">
        <v>34</v>
      </c>
      <c r="D1162" s="1" t="s">
        <v>3767</v>
      </c>
      <c r="E1162" s="1">
        <v>8700000</v>
      </c>
    </row>
    <row r="1163" spans="1:5" ht="14.4" x14ac:dyDescent="0.3">
      <c r="A1163" s="20" t="s">
        <v>7582</v>
      </c>
      <c r="B1163" s="1" t="s">
        <v>242</v>
      </c>
      <c r="C1163" s="1" t="s">
        <v>3768</v>
      </c>
      <c r="D1163" s="1" t="s">
        <v>3769</v>
      </c>
      <c r="E1163" s="1">
        <v>27600000</v>
      </c>
    </row>
    <row r="1164" spans="1:5" ht="14.4" x14ac:dyDescent="0.3">
      <c r="A1164" s="20" t="s">
        <v>7583</v>
      </c>
      <c r="B1164" s="1" t="s">
        <v>30</v>
      </c>
      <c r="C1164" s="1" t="s">
        <v>45</v>
      </c>
      <c r="D1164" s="1" t="s">
        <v>403</v>
      </c>
      <c r="E1164" s="1">
        <v>11300000</v>
      </c>
    </row>
    <row r="1165" spans="1:5" ht="14.4" x14ac:dyDescent="0.3">
      <c r="A1165" s="20" t="s">
        <v>7584</v>
      </c>
      <c r="B1165" s="1" t="s">
        <v>181</v>
      </c>
      <c r="C1165" s="1" t="s">
        <v>3770</v>
      </c>
      <c r="D1165" s="1" t="s">
        <v>3771</v>
      </c>
      <c r="E1165" s="1">
        <v>6000000</v>
      </c>
    </row>
    <row r="1166" spans="1:5" ht="14.4" x14ac:dyDescent="0.3">
      <c r="A1166" s="20" t="s">
        <v>7585</v>
      </c>
      <c r="B1166" s="1" t="s">
        <v>30</v>
      </c>
      <c r="C1166" s="1" t="s">
        <v>45</v>
      </c>
      <c r="D1166" s="1" t="s">
        <v>403</v>
      </c>
      <c r="E1166" s="1">
        <v>11300000</v>
      </c>
    </row>
    <row r="1167" spans="1:5" ht="14.4" x14ac:dyDescent="0.3">
      <c r="A1167" s="20" t="s">
        <v>7586</v>
      </c>
      <c r="B1167" s="1" t="s">
        <v>236</v>
      </c>
      <c r="C1167" s="1" t="s">
        <v>3772</v>
      </c>
      <c r="D1167" s="1" t="s">
        <v>367</v>
      </c>
      <c r="E1167" s="1">
        <v>15800000</v>
      </c>
    </row>
    <row r="1168" spans="1:5" ht="14.4" x14ac:dyDescent="0.3">
      <c r="A1168" s="20" t="s">
        <v>7587</v>
      </c>
      <c r="B1168" s="1" t="s">
        <v>242</v>
      </c>
      <c r="C1168" s="1" t="s">
        <v>3141</v>
      </c>
      <c r="D1168" s="1" t="s">
        <v>3773</v>
      </c>
      <c r="E1168" s="1">
        <v>12600000</v>
      </c>
    </row>
    <row r="1169" spans="1:5" ht="14.4" x14ac:dyDescent="0.3">
      <c r="A1169" s="20" t="s">
        <v>7588</v>
      </c>
      <c r="B1169" s="1" t="s">
        <v>93</v>
      </c>
      <c r="C1169" s="1" t="s">
        <v>2888</v>
      </c>
      <c r="D1169" s="1" t="s">
        <v>3774</v>
      </c>
      <c r="E1169" s="1">
        <v>24700000</v>
      </c>
    </row>
    <row r="1170" spans="1:5" ht="14.4" x14ac:dyDescent="0.3">
      <c r="A1170" s="20" t="s">
        <v>7589</v>
      </c>
      <c r="B1170" s="1" t="s">
        <v>30</v>
      </c>
      <c r="C1170" s="1" t="s">
        <v>45</v>
      </c>
      <c r="D1170" s="1" t="s">
        <v>403</v>
      </c>
      <c r="E1170" s="1">
        <v>11300000</v>
      </c>
    </row>
    <row r="1171" spans="1:5" ht="14.4" x14ac:dyDescent="0.3">
      <c r="A1171" s="20" t="s">
        <v>7590</v>
      </c>
      <c r="B1171" s="1" t="s">
        <v>229</v>
      </c>
      <c r="C1171" s="1" t="s">
        <v>3588</v>
      </c>
      <c r="D1171" s="1" t="s">
        <v>3599</v>
      </c>
      <c r="E1171" s="1">
        <v>14200000</v>
      </c>
    </row>
    <row r="1172" spans="1:5" ht="14.4" x14ac:dyDescent="0.3">
      <c r="A1172" s="20" t="s">
        <v>7591</v>
      </c>
      <c r="B1172" s="1" t="s">
        <v>181</v>
      </c>
      <c r="C1172" s="1" t="s">
        <v>3775</v>
      </c>
      <c r="D1172" s="1" t="s">
        <v>3776</v>
      </c>
      <c r="E1172" s="1">
        <v>7990000</v>
      </c>
    </row>
    <row r="1173" spans="1:5" ht="14.4" x14ac:dyDescent="0.3">
      <c r="A1173" s="20" t="s">
        <v>7592</v>
      </c>
      <c r="B1173" s="1" t="s">
        <v>93</v>
      </c>
      <c r="C1173" s="1" t="s">
        <v>2888</v>
      </c>
      <c r="D1173" s="1" t="s">
        <v>3777</v>
      </c>
      <c r="E1173" s="1">
        <v>37300000</v>
      </c>
    </row>
    <row r="1174" spans="1:5" ht="14.4" x14ac:dyDescent="0.3">
      <c r="A1174" s="20" t="s">
        <v>7593</v>
      </c>
      <c r="B1174" s="1" t="s">
        <v>264</v>
      </c>
      <c r="C1174" s="1" t="s">
        <v>2913</v>
      </c>
      <c r="D1174" s="1" t="s">
        <v>3778</v>
      </c>
      <c r="E1174" s="1">
        <v>23000000</v>
      </c>
    </row>
    <row r="1175" spans="1:5" ht="14.4" x14ac:dyDescent="0.3">
      <c r="A1175" s="20" t="s">
        <v>7594</v>
      </c>
      <c r="B1175" s="1" t="s">
        <v>64</v>
      </c>
      <c r="C1175" s="1" t="s">
        <v>3779</v>
      </c>
      <c r="D1175" s="1" t="s">
        <v>3780</v>
      </c>
      <c r="E1175" s="1">
        <v>22700000</v>
      </c>
    </row>
    <row r="1176" spans="1:5" ht="14.4" x14ac:dyDescent="0.3">
      <c r="A1176" s="20" t="s">
        <v>7595</v>
      </c>
      <c r="B1176" s="1" t="s">
        <v>3781</v>
      </c>
      <c r="C1176" s="1" t="s">
        <v>3782</v>
      </c>
      <c r="D1176" s="1" t="s">
        <v>2889</v>
      </c>
      <c r="E1176" s="1">
        <v>9900000</v>
      </c>
    </row>
    <row r="1177" spans="1:5" ht="14.4" x14ac:dyDescent="0.3">
      <c r="A1177" s="20" t="s">
        <v>7596</v>
      </c>
      <c r="B1177" s="1" t="s">
        <v>72</v>
      </c>
      <c r="C1177" s="1">
        <v>560</v>
      </c>
      <c r="D1177" s="1" t="s">
        <v>415</v>
      </c>
      <c r="E1177" s="1">
        <v>9300000</v>
      </c>
    </row>
    <row r="1178" spans="1:5" ht="14.4" x14ac:dyDescent="0.3">
      <c r="A1178" s="20" t="s">
        <v>7597</v>
      </c>
      <c r="B1178" s="1" t="s">
        <v>93</v>
      </c>
      <c r="C1178" s="1" t="s">
        <v>2916</v>
      </c>
      <c r="D1178" s="1" t="s">
        <v>2889</v>
      </c>
      <c r="E1178" s="1">
        <v>77000000</v>
      </c>
    </row>
    <row r="1179" spans="1:5" ht="14.4" x14ac:dyDescent="0.3">
      <c r="A1179" s="20" t="s">
        <v>7598</v>
      </c>
      <c r="B1179" s="1" t="s">
        <v>30</v>
      </c>
      <c r="C1179" s="1" t="s">
        <v>2987</v>
      </c>
      <c r="D1179" s="1" t="s">
        <v>400</v>
      </c>
      <c r="E1179" s="1">
        <v>8100000</v>
      </c>
    </row>
    <row r="1180" spans="1:5" ht="14.4" x14ac:dyDescent="0.3">
      <c r="A1180" s="20" t="s">
        <v>7599</v>
      </c>
      <c r="B1180" s="1" t="s">
        <v>3367</v>
      </c>
      <c r="C1180" s="1" t="s">
        <v>2930</v>
      </c>
      <c r="D1180" s="1" t="s">
        <v>3783</v>
      </c>
      <c r="E1180" s="1">
        <v>8700000</v>
      </c>
    </row>
    <row r="1181" spans="1:5" ht="14.4" x14ac:dyDescent="0.3">
      <c r="A1181" s="20" t="s">
        <v>7600</v>
      </c>
      <c r="B1181" s="1" t="s">
        <v>334</v>
      </c>
      <c r="C1181" s="1" t="s">
        <v>3008</v>
      </c>
      <c r="D1181" s="1" t="s">
        <v>3784</v>
      </c>
      <c r="E1181" s="1">
        <v>13300000</v>
      </c>
    </row>
    <row r="1182" spans="1:5" ht="14.4" x14ac:dyDescent="0.3">
      <c r="A1182" s="20" t="s">
        <v>7601</v>
      </c>
      <c r="B1182" s="1" t="s">
        <v>236</v>
      </c>
      <c r="C1182" s="1" t="s">
        <v>3216</v>
      </c>
      <c r="D1182" s="1" t="s">
        <v>3785</v>
      </c>
      <c r="E1182" s="1">
        <v>20300000</v>
      </c>
    </row>
    <row r="1183" spans="1:5" ht="14.4" x14ac:dyDescent="0.3">
      <c r="A1183" s="20" t="s">
        <v>7602</v>
      </c>
      <c r="B1183" s="1" t="s">
        <v>2906</v>
      </c>
      <c r="C1183" s="1" t="s">
        <v>3786</v>
      </c>
      <c r="D1183" s="1" t="s">
        <v>3787</v>
      </c>
      <c r="E1183" s="1">
        <v>7410000</v>
      </c>
    </row>
    <row r="1184" spans="1:5" ht="14.4" x14ac:dyDescent="0.3">
      <c r="A1184" s="20" t="s">
        <v>7603</v>
      </c>
      <c r="B1184" s="1" t="s">
        <v>242</v>
      </c>
      <c r="C1184" s="1" t="s">
        <v>243</v>
      </c>
      <c r="D1184" s="1" t="s">
        <v>245</v>
      </c>
      <c r="E1184" s="1">
        <v>8800000</v>
      </c>
    </row>
    <row r="1185" spans="1:5" ht="14.4" x14ac:dyDescent="0.3">
      <c r="A1185" s="20" t="s">
        <v>7604</v>
      </c>
      <c r="B1185" s="1" t="s">
        <v>242</v>
      </c>
      <c r="C1185" s="1" t="s">
        <v>3511</v>
      </c>
      <c r="D1185" s="1" t="s">
        <v>3788</v>
      </c>
      <c r="E1185" s="1">
        <v>10800000</v>
      </c>
    </row>
    <row r="1186" spans="1:5" ht="14.4" x14ac:dyDescent="0.3">
      <c r="A1186" s="20" t="s">
        <v>7605</v>
      </c>
      <c r="B1186" s="1" t="s">
        <v>242</v>
      </c>
      <c r="C1186" s="1" t="s">
        <v>3511</v>
      </c>
      <c r="D1186" s="1" t="s">
        <v>3788</v>
      </c>
      <c r="E1186" s="1">
        <v>11000000</v>
      </c>
    </row>
    <row r="1187" spans="1:5" ht="14.4" x14ac:dyDescent="0.3">
      <c r="A1187" s="20" t="s">
        <v>7606</v>
      </c>
      <c r="B1187" s="1" t="s">
        <v>181</v>
      </c>
      <c r="C1187" s="1" t="s">
        <v>182</v>
      </c>
      <c r="D1187" s="1" t="s">
        <v>3789</v>
      </c>
      <c r="E1187" s="1">
        <v>8500000</v>
      </c>
    </row>
    <row r="1188" spans="1:5" ht="14.4" x14ac:dyDescent="0.3">
      <c r="A1188" s="20" t="s">
        <v>7607</v>
      </c>
      <c r="B1188" s="1" t="s">
        <v>339</v>
      </c>
      <c r="C1188" s="1" t="s">
        <v>3790</v>
      </c>
      <c r="D1188" s="1" t="s">
        <v>406</v>
      </c>
      <c r="E1188" s="1">
        <v>24800000</v>
      </c>
    </row>
    <row r="1189" spans="1:5" ht="14.4" x14ac:dyDescent="0.3">
      <c r="A1189" s="20" t="s">
        <v>7608</v>
      </c>
      <c r="B1189" s="1" t="s">
        <v>339</v>
      </c>
      <c r="C1189" s="1" t="s">
        <v>3790</v>
      </c>
      <c r="D1189" s="1" t="s">
        <v>406</v>
      </c>
      <c r="E1189" s="1">
        <v>23100000</v>
      </c>
    </row>
    <row r="1190" spans="1:5" ht="14.4" x14ac:dyDescent="0.3">
      <c r="A1190" s="20" t="s">
        <v>7609</v>
      </c>
      <c r="B1190" s="1" t="s">
        <v>181</v>
      </c>
      <c r="C1190" s="1" t="s">
        <v>182</v>
      </c>
      <c r="D1190" s="1" t="s">
        <v>3791</v>
      </c>
      <c r="E1190" s="1">
        <v>9900000</v>
      </c>
    </row>
    <row r="1191" spans="1:5" ht="14.4" x14ac:dyDescent="0.3">
      <c r="A1191" s="20" t="s">
        <v>7610</v>
      </c>
      <c r="B1191" s="1" t="s">
        <v>167</v>
      </c>
      <c r="C1191" s="1" t="s">
        <v>3508</v>
      </c>
      <c r="D1191" s="1" t="s">
        <v>3792</v>
      </c>
      <c r="E1191" s="1">
        <v>19700000</v>
      </c>
    </row>
    <row r="1192" spans="1:5" ht="14.4" x14ac:dyDescent="0.3">
      <c r="A1192" s="20" t="s">
        <v>7611</v>
      </c>
      <c r="B1192" s="1" t="s">
        <v>2957</v>
      </c>
      <c r="C1192" s="1" t="s">
        <v>3268</v>
      </c>
      <c r="D1192" s="1" t="s">
        <v>3793</v>
      </c>
      <c r="E1192" s="1">
        <v>24200000</v>
      </c>
    </row>
    <row r="1193" spans="1:5" ht="14.4" x14ac:dyDescent="0.3">
      <c r="A1193" s="20" t="s">
        <v>7612</v>
      </c>
      <c r="B1193" s="1" t="s">
        <v>93</v>
      </c>
      <c r="C1193" s="1" t="s">
        <v>3480</v>
      </c>
      <c r="D1193" s="1" t="s">
        <v>3794</v>
      </c>
      <c r="E1193" s="1">
        <v>14500000</v>
      </c>
    </row>
    <row r="1194" spans="1:5" ht="14.4" x14ac:dyDescent="0.3">
      <c r="A1194" s="20" t="s">
        <v>7613</v>
      </c>
      <c r="B1194" s="1" t="s">
        <v>264</v>
      </c>
      <c r="C1194" s="1" t="s">
        <v>293</v>
      </c>
      <c r="D1194" s="1" t="s">
        <v>297</v>
      </c>
      <c r="E1194" s="1">
        <v>21500000</v>
      </c>
    </row>
    <row r="1195" spans="1:5" ht="14.4" x14ac:dyDescent="0.3">
      <c r="A1195" s="20" t="s">
        <v>7614</v>
      </c>
      <c r="B1195" s="1" t="s">
        <v>327</v>
      </c>
      <c r="C1195" s="1" t="s">
        <v>3418</v>
      </c>
      <c r="D1195" s="1" t="s">
        <v>3795</v>
      </c>
      <c r="E1195" s="1">
        <v>8700000</v>
      </c>
    </row>
    <row r="1196" spans="1:5" ht="14.4" x14ac:dyDescent="0.3">
      <c r="A1196" s="20" t="s">
        <v>7615</v>
      </c>
      <c r="B1196" s="1" t="s">
        <v>30</v>
      </c>
      <c r="C1196" s="1" t="s">
        <v>2908</v>
      </c>
      <c r="D1196" s="1" t="s">
        <v>3796</v>
      </c>
      <c r="E1196" s="1">
        <v>7000000</v>
      </c>
    </row>
    <row r="1197" spans="1:5" ht="14.4" x14ac:dyDescent="0.3">
      <c r="A1197" s="20" t="s">
        <v>7616</v>
      </c>
      <c r="B1197" s="1" t="s">
        <v>334</v>
      </c>
      <c r="C1197" s="1" t="s">
        <v>3008</v>
      </c>
      <c r="D1197" s="1" t="s">
        <v>3784</v>
      </c>
      <c r="E1197" s="1">
        <v>13300000</v>
      </c>
    </row>
    <row r="1198" spans="1:5" ht="14.4" x14ac:dyDescent="0.3">
      <c r="A1198" s="20" t="s">
        <v>7617</v>
      </c>
      <c r="B1198" s="1" t="s">
        <v>334</v>
      </c>
      <c r="C1198" s="1" t="s">
        <v>3008</v>
      </c>
      <c r="D1198" s="1" t="s">
        <v>3784</v>
      </c>
      <c r="E1198" s="1">
        <v>13300000</v>
      </c>
    </row>
    <row r="1199" spans="1:5" ht="14.4" x14ac:dyDescent="0.3">
      <c r="A1199" s="20" t="s">
        <v>7618</v>
      </c>
      <c r="B1199" s="1" t="s">
        <v>15</v>
      </c>
      <c r="C1199" s="1" t="s">
        <v>3715</v>
      </c>
      <c r="D1199" s="1" t="s">
        <v>3797</v>
      </c>
      <c r="E1199" s="1">
        <v>4910000</v>
      </c>
    </row>
    <row r="1200" spans="1:5" ht="14.4" x14ac:dyDescent="0.3">
      <c r="A1200" s="20" t="s">
        <v>7619</v>
      </c>
      <c r="B1200" s="1" t="s">
        <v>2957</v>
      </c>
      <c r="C1200" s="1" t="s">
        <v>3268</v>
      </c>
      <c r="D1200" s="1" t="s">
        <v>2889</v>
      </c>
      <c r="E1200" s="1">
        <v>22800000</v>
      </c>
    </row>
    <row r="1201" spans="1:5" ht="14.4" x14ac:dyDescent="0.3">
      <c r="A1201" s="20" t="s">
        <v>7620</v>
      </c>
      <c r="B1201" s="1" t="s">
        <v>260</v>
      </c>
      <c r="C1201" s="1" t="s">
        <v>69</v>
      </c>
      <c r="D1201" s="1" t="s">
        <v>263</v>
      </c>
      <c r="E1201" s="1">
        <v>14700000</v>
      </c>
    </row>
    <row r="1202" spans="1:5" ht="14.4" x14ac:dyDescent="0.3">
      <c r="A1202" s="20" t="s">
        <v>7621</v>
      </c>
      <c r="B1202" s="1" t="s">
        <v>93</v>
      </c>
      <c r="C1202" s="1" t="s">
        <v>3159</v>
      </c>
      <c r="D1202" s="1" t="s">
        <v>3798</v>
      </c>
      <c r="E1202" s="1">
        <v>9800000</v>
      </c>
    </row>
    <row r="1203" spans="1:5" ht="14.4" x14ac:dyDescent="0.3">
      <c r="A1203" s="20" t="s">
        <v>7622</v>
      </c>
      <c r="B1203" s="1" t="s">
        <v>2945</v>
      </c>
      <c r="C1203" s="1" t="s">
        <v>2983</v>
      </c>
      <c r="D1203" s="1" t="s">
        <v>3799</v>
      </c>
      <c r="E1203" s="1">
        <v>8200000</v>
      </c>
    </row>
    <row r="1204" spans="1:5" ht="14.4" x14ac:dyDescent="0.3">
      <c r="A1204" s="20" t="s">
        <v>7623</v>
      </c>
      <c r="B1204" s="1" t="s">
        <v>236</v>
      </c>
      <c r="C1204" s="1" t="s">
        <v>237</v>
      </c>
      <c r="D1204" s="1" t="s">
        <v>3800</v>
      </c>
      <c r="E1204" s="1">
        <v>14100000</v>
      </c>
    </row>
    <row r="1205" spans="1:5" ht="14.4" x14ac:dyDescent="0.3">
      <c r="A1205" s="20" t="s">
        <v>7624</v>
      </c>
      <c r="B1205" s="1" t="s">
        <v>188</v>
      </c>
      <c r="C1205" s="1">
        <v>7</v>
      </c>
      <c r="D1205" s="1" t="s">
        <v>193</v>
      </c>
      <c r="E1205" s="1">
        <v>17500000</v>
      </c>
    </row>
    <row r="1206" spans="1:5" ht="14.4" x14ac:dyDescent="0.3">
      <c r="A1206" s="20" t="s">
        <v>7625</v>
      </c>
      <c r="B1206" s="1" t="s">
        <v>19</v>
      </c>
      <c r="C1206" s="1" t="s">
        <v>3726</v>
      </c>
      <c r="D1206" s="1" t="s">
        <v>25</v>
      </c>
      <c r="E1206" s="1">
        <v>39400000</v>
      </c>
    </row>
    <row r="1207" spans="1:5" ht="14.4" x14ac:dyDescent="0.3">
      <c r="A1207" s="20" t="s">
        <v>7626</v>
      </c>
      <c r="B1207" s="1" t="s">
        <v>264</v>
      </c>
      <c r="C1207" s="1" t="s">
        <v>3005</v>
      </c>
      <c r="D1207" s="1" t="s">
        <v>3734</v>
      </c>
      <c r="E1207" s="1">
        <v>16400000</v>
      </c>
    </row>
    <row r="1208" spans="1:5" ht="14.4" x14ac:dyDescent="0.3">
      <c r="A1208" s="20" t="s">
        <v>7627</v>
      </c>
      <c r="B1208" s="1" t="s">
        <v>167</v>
      </c>
      <c r="C1208" s="1" t="s">
        <v>2891</v>
      </c>
      <c r="D1208" s="1" t="s">
        <v>3801</v>
      </c>
      <c r="E1208" s="1">
        <v>12000000</v>
      </c>
    </row>
    <row r="1209" spans="1:5" ht="14.4" x14ac:dyDescent="0.3">
      <c r="A1209" s="20" t="s">
        <v>7628</v>
      </c>
      <c r="B1209" s="1" t="s">
        <v>48</v>
      </c>
      <c r="C1209" s="1" t="s">
        <v>3176</v>
      </c>
      <c r="D1209" s="1" t="s">
        <v>3802</v>
      </c>
      <c r="E1209" s="1">
        <v>11200000</v>
      </c>
    </row>
    <row r="1210" spans="1:5" ht="14.4" x14ac:dyDescent="0.3">
      <c r="A1210" s="20" t="s">
        <v>7629</v>
      </c>
      <c r="B1210" s="1" t="s">
        <v>317</v>
      </c>
      <c r="C1210" s="1" t="s">
        <v>3573</v>
      </c>
      <c r="D1210" s="1" t="s">
        <v>384</v>
      </c>
      <c r="E1210" s="1">
        <v>25100000</v>
      </c>
    </row>
    <row r="1211" spans="1:5" ht="14.4" x14ac:dyDescent="0.3">
      <c r="A1211" s="20" t="s">
        <v>7630</v>
      </c>
      <c r="B1211" s="1" t="s">
        <v>181</v>
      </c>
      <c r="C1211" s="1" t="s">
        <v>2941</v>
      </c>
      <c r="D1211" s="1" t="s">
        <v>3803</v>
      </c>
      <c r="E1211" s="1">
        <v>9500000</v>
      </c>
    </row>
    <row r="1212" spans="1:5" ht="14.4" x14ac:dyDescent="0.3">
      <c r="A1212" s="20" t="s">
        <v>7631</v>
      </c>
      <c r="B1212" s="1" t="s">
        <v>242</v>
      </c>
      <c r="C1212" s="1" t="s">
        <v>3174</v>
      </c>
      <c r="D1212" s="1" t="s">
        <v>3804</v>
      </c>
      <c r="E1212" s="1">
        <v>16100000</v>
      </c>
    </row>
    <row r="1213" spans="1:5" ht="14.4" x14ac:dyDescent="0.3">
      <c r="A1213" s="20" t="s">
        <v>7632</v>
      </c>
      <c r="B1213" s="1" t="s">
        <v>242</v>
      </c>
      <c r="C1213" s="1" t="s">
        <v>3094</v>
      </c>
      <c r="D1213" s="1" t="s">
        <v>3805</v>
      </c>
      <c r="E1213" s="1">
        <v>17700000</v>
      </c>
    </row>
    <row r="1214" spans="1:5" ht="14.4" x14ac:dyDescent="0.3">
      <c r="A1214" s="20" t="s">
        <v>7633</v>
      </c>
      <c r="B1214" s="1" t="s">
        <v>151</v>
      </c>
      <c r="C1214" s="1" t="s">
        <v>154</v>
      </c>
      <c r="D1214" s="1" t="s">
        <v>3806</v>
      </c>
      <c r="E1214" s="1">
        <v>13100000</v>
      </c>
    </row>
    <row r="1215" spans="1:5" ht="14.4" x14ac:dyDescent="0.3">
      <c r="A1215" s="20" t="s">
        <v>7634</v>
      </c>
      <c r="B1215" s="1" t="s">
        <v>181</v>
      </c>
      <c r="C1215" s="1" t="s">
        <v>3807</v>
      </c>
      <c r="D1215" s="1" t="s">
        <v>3808</v>
      </c>
      <c r="E1215" s="1">
        <v>6730000</v>
      </c>
    </row>
    <row r="1216" spans="1:5" ht="14.4" x14ac:dyDescent="0.3">
      <c r="A1216" s="20" t="s">
        <v>7635</v>
      </c>
      <c r="B1216" s="1" t="s">
        <v>64</v>
      </c>
      <c r="C1216" s="1" t="s">
        <v>3266</v>
      </c>
      <c r="D1216" s="1" t="s">
        <v>3809</v>
      </c>
      <c r="E1216" s="1">
        <v>14800000</v>
      </c>
    </row>
    <row r="1217" spans="1:5" ht="14.4" x14ac:dyDescent="0.3">
      <c r="A1217" s="20" t="s">
        <v>7636</v>
      </c>
      <c r="B1217" s="1" t="s">
        <v>2957</v>
      </c>
      <c r="C1217" s="1" t="s">
        <v>3810</v>
      </c>
      <c r="D1217" s="1" t="s">
        <v>3811</v>
      </c>
      <c r="E1217" s="1">
        <v>33300000</v>
      </c>
    </row>
    <row r="1218" spans="1:5" ht="14.4" x14ac:dyDescent="0.3">
      <c r="A1218" s="20" t="s">
        <v>7637</v>
      </c>
      <c r="B1218" s="1" t="s">
        <v>30</v>
      </c>
      <c r="C1218" s="1" t="s">
        <v>41</v>
      </c>
      <c r="D1218" s="1" t="s">
        <v>3812</v>
      </c>
      <c r="E1218" s="1">
        <v>12200000</v>
      </c>
    </row>
    <row r="1219" spans="1:5" ht="14.4" x14ac:dyDescent="0.3">
      <c r="A1219" s="20" t="s">
        <v>7638</v>
      </c>
      <c r="B1219" s="1" t="s">
        <v>30</v>
      </c>
      <c r="C1219" s="1" t="s">
        <v>41</v>
      </c>
      <c r="D1219" s="1" t="s">
        <v>3813</v>
      </c>
      <c r="E1219" s="1">
        <v>12200000</v>
      </c>
    </row>
    <row r="1220" spans="1:5" ht="14.4" x14ac:dyDescent="0.3">
      <c r="A1220" s="20" t="s">
        <v>7639</v>
      </c>
      <c r="B1220" s="1" t="s">
        <v>72</v>
      </c>
      <c r="C1220" s="1">
        <v>580</v>
      </c>
      <c r="D1220" s="1" t="s">
        <v>3814</v>
      </c>
      <c r="E1220" s="1">
        <v>9000000</v>
      </c>
    </row>
    <row r="1221" spans="1:5" ht="14.4" x14ac:dyDescent="0.3">
      <c r="A1221" s="20" t="s">
        <v>7640</v>
      </c>
      <c r="B1221" s="1" t="s">
        <v>2910</v>
      </c>
      <c r="C1221" s="1" t="s">
        <v>2999</v>
      </c>
      <c r="D1221" s="1" t="s">
        <v>3815</v>
      </c>
      <c r="E1221" s="1">
        <v>22600000</v>
      </c>
    </row>
    <row r="1222" spans="1:5" ht="14.4" x14ac:dyDescent="0.3">
      <c r="A1222" s="20" t="s">
        <v>7641</v>
      </c>
      <c r="B1222" s="1" t="s">
        <v>30</v>
      </c>
      <c r="C1222" s="1" t="s">
        <v>41</v>
      </c>
      <c r="D1222" s="1" t="s">
        <v>3816</v>
      </c>
      <c r="E1222" s="1">
        <v>13000000</v>
      </c>
    </row>
    <row r="1223" spans="1:5" ht="14.4" x14ac:dyDescent="0.3">
      <c r="A1223" s="20" t="s">
        <v>7642</v>
      </c>
      <c r="B1223" s="1" t="s">
        <v>2906</v>
      </c>
      <c r="C1223" s="1" t="s">
        <v>3223</v>
      </c>
      <c r="D1223" s="1" t="s">
        <v>3817</v>
      </c>
      <c r="E1223" s="1">
        <v>12900000</v>
      </c>
    </row>
    <row r="1224" spans="1:5" ht="14.4" x14ac:dyDescent="0.3">
      <c r="A1224" s="20" t="s">
        <v>7643</v>
      </c>
      <c r="B1224" s="1" t="s">
        <v>48</v>
      </c>
      <c r="C1224" s="1" t="s">
        <v>3132</v>
      </c>
      <c r="D1224" s="1" t="s">
        <v>3818</v>
      </c>
      <c r="E1224" s="1">
        <v>17500000</v>
      </c>
    </row>
    <row r="1225" spans="1:5" ht="14.4" x14ac:dyDescent="0.3">
      <c r="A1225" s="20" t="s">
        <v>7644</v>
      </c>
      <c r="B1225" s="1" t="s">
        <v>30</v>
      </c>
      <c r="C1225" s="1" t="s">
        <v>3819</v>
      </c>
      <c r="D1225" s="1" t="s">
        <v>3820</v>
      </c>
      <c r="E1225" s="1">
        <v>9100000</v>
      </c>
    </row>
    <row r="1226" spans="1:5" ht="14.4" x14ac:dyDescent="0.3">
      <c r="A1226" s="20" t="s">
        <v>7645</v>
      </c>
      <c r="B1226" s="1" t="s">
        <v>242</v>
      </c>
      <c r="C1226" s="1" t="s">
        <v>2981</v>
      </c>
      <c r="D1226" s="1" t="s">
        <v>3821</v>
      </c>
      <c r="E1226" s="1">
        <v>9600000</v>
      </c>
    </row>
    <row r="1227" spans="1:5" ht="14.4" x14ac:dyDescent="0.3">
      <c r="A1227" s="20" t="s">
        <v>7646</v>
      </c>
      <c r="B1227" s="1" t="s">
        <v>48</v>
      </c>
      <c r="C1227" s="1" t="s">
        <v>3737</v>
      </c>
      <c r="D1227" s="1" t="s">
        <v>60</v>
      </c>
      <c r="E1227" s="1">
        <v>32700000</v>
      </c>
    </row>
    <row r="1228" spans="1:5" ht="14.4" x14ac:dyDescent="0.3">
      <c r="A1228" s="20" t="s">
        <v>7647</v>
      </c>
      <c r="B1228" s="1" t="s">
        <v>317</v>
      </c>
      <c r="C1228" s="1" t="s">
        <v>3573</v>
      </c>
      <c r="D1228" s="1" t="s">
        <v>384</v>
      </c>
      <c r="E1228" s="1">
        <v>25100000</v>
      </c>
    </row>
    <row r="1229" spans="1:5" ht="14.4" x14ac:dyDescent="0.3">
      <c r="A1229" s="20" t="s">
        <v>7648</v>
      </c>
      <c r="B1229" s="1" t="s">
        <v>48</v>
      </c>
      <c r="C1229" s="1" t="s">
        <v>52</v>
      </c>
      <c r="D1229" s="1" t="s">
        <v>3822</v>
      </c>
      <c r="E1229" s="1">
        <v>48600000</v>
      </c>
    </row>
    <row r="1230" spans="1:5" ht="14.4" x14ac:dyDescent="0.3">
      <c r="A1230" s="20" t="s">
        <v>7649</v>
      </c>
      <c r="B1230" s="1" t="s">
        <v>236</v>
      </c>
      <c r="C1230" s="1" t="s">
        <v>2972</v>
      </c>
      <c r="D1230" s="1" t="s">
        <v>3823</v>
      </c>
      <c r="E1230" s="1">
        <v>12200000</v>
      </c>
    </row>
    <row r="1231" spans="1:5" ht="14.4" x14ac:dyDescent="0.3">
      <c r="A1231" s="20" t="s">
        <v>7650</v>
      </c>
      <c r="B1231" s="1" t="s">
        <v>93</v>
      </c>
      <c r="C1231" s="1" t="s">
        <v>143</v>
      </c>
      <c r="D1231" s="1" t="s">
        <v>3824</v>
      </c>
      <c r="E1231" s="1">
        <v>12600000</v>
      </c>
    </row>
    <row r="1232" spans="1:5" ht="14.4" x14ac:dyDescent="0.3">
      <c r="A1232" s="20" t="s">
        <v>7651</v>
      </c>
      <c r="B1232" s="1" t="s">
        <v>188</v>
      </c>
      <c r="C1232" s="1" t="s">
        <v>3825</v>
      </c>
      <c r="D1232" s="1" t="s">
        <v>193</v>
      </c>
      <c r="E1232" s="1">
        <v>16500000</v>
      </c>
    </row>
    <row r="1233" spans="1:5" ht="14.4" x14ac:dyDescent="0.3">
      <c r="A1233" s="20" t="s">
        <v>7652</v>
      </c>
      <c r="B1233" s="1" t="s">
        <v>327</v>
      </c>
      <c r="C1233" s="1" t="s">
        <v>3065</v>
      </c>
      <c r="D1233" s="1" t="s">
        <v>2889</v>
      </c>
      <c r="E1233" s="1">
        <v>8600000</v>
      </c>
    </row>
    <row r="1234" spans="1:5" ht="14.4" x14ac:dyDescent="0.3">
      <c r="A1234" s="20" t="s">
        <v>7653</v>
      </c>
      <c r="B1234" s="1" t="s">
        <v>167</v>
      </c>
      <c r="C1234" s="1" t="s">
        <v>3508</v>
      </c>
      <c r="D1234" s="1" t="s">
        <v>3826</v>
      </c>
      <c r="E1234" s="1">
        <v>14500000</v>
      </c>
    </row>
    <row r="1235" spans="1:5" ht="14.4" x14ac:dyDescent="0.3">
      <c r="A1235" s="20" t="s">
        <v>7654</v>
      </c>
      <c r="B1235" s="1" t="s">
        <v>2910</v>
      </c>
      <c r="C1235" s="1" t="s">
        <v>3607</v>
      </c>
      <c r="D1235" s="1" t="s">
        <v>3827</v>
      </c>
      <c r="E1235" s="1">
        <v>16100000</v>
      </c>
    </row>
    <row r="1236" spans="1:5" ht="14.4" x14ac:dyDescent="0.3">
      <c r="A1236" s="20" t="s">
        <v>7655</v>
      </c>
      <c r="B1236" s="1" t="s">
        <v>264</v>
      </c>
      <c r="C1236" s="1" t="s">
        <v>2890</v>
      </c>
      <c r="D1236" s="1" t="s">
        <v>3828</v>
      </c>
      <c r="E1236" s="1">
        <v>16800000</v>
      </c>
    </row>
    <row r="1237" spans="1:5" ht="14.4" x14ac:dyDescent="0.3">
      <c r="A1237" s="20" t="s">
        <v>7656</v>
      </c>
      <c r="B1237" s="1" t="s">
        <v>167</v>
      </c>
      <c r="C1237" s="1" t="s">
        <v>3324</v>
      </c>
      <c r="D1237" s="1" t="s">
        <v>1837</v>
      </c>
      <c r="E1237" s="1">
        <v>16300000</v>
      </c>
    </row>
    <row r="1238" spans="1:5" ht="14.4" x14ac:dyDescent="0.3">
      <c r="A1238" s="20" t="s">
        <v>7657</v>
      </c>
      <c r="B1238" s="1" t="s">
        <v>2910</v>
      </c>
      <c r="C1238" s="1" t="s">
        <v>2911</v>
      </c>
      <c r="D1238" s="1" t="s">
        <v>3829</v>
      </c>
      <c r="E1238" s="1">
        <v>10000000</v>
      </c>
    </row>
    <row r="1239" spans="1:5" ht="14.4" x14ac:dyDescent="0.3">
      <c r="A1239" s="20" t="s">
        <v>7658</v>
      </c>
      <c r="B1239" s="1" t="s">
        <v>72</v>
      </c>
      <c r="C1239" s="1">
        <v>560</v>
      </c>
      <c r="D1239" s="1" t="s">
        <v>3830</v>
      </c>
      <c r="E1239" s="1">
        <v>10200000</v>
      </c>
    </row>
    <row r="1240" spans="1:5" ht="14.4" x14ac:dyDescent="0.3">
      <c r="A1240" s="20" t="s">
        <v>7659</v>
      </c>
      <c r="B1240" s="1" t="s">
        <v>195</v>
      </c>
      <c r="C1240" s="1" t="s">
        <v>3831</v>
      </c>
      <c r="D1240" s="1" t="s">
        <v>3832</v>
      </c>
      <c r="E1240" s="1">
        <v>9400000</v>
      </c>
    </row>
    <row r="1241" spans="1:5" ht="14.4" x14ac:dyDescent="0.3">
      <c r="A1241" s="20" t="s">
        <v>7660</v>
      </c>
      <c r="B1241" s="1" t="s">
        <v>2910</v>
      </c>
      <c r="C1241" s="1" t="s">
        <v>206</v>
      </c>
      <c r="D1241" s="1" t="s">
        <v>3833</v>
      </c>
      <c r="E1241" s="1">
        <v>10200000</v>
      </c>
    </row>
    <row r="1242" spans="1:5" ht="14.4" x14ac:dyDescent="0.3">
      <c r="A1242" s="20" t="s">
        <v>7661</v>
      </c>
      <c r="B1242" s="1" t="s">
        <v>3020</v>
      </c>
      <c r="C1242" s="1" t="s">
        <v>3834</v>
      </c>
      <c r="D1242" s="1" t="s">
        <v>3835</v>
      </c>
      <c r="E1242" s="1">
        <v>17500000</v>
      </c>
    </row>
    <row r="1243" spans="1:5" ht="14.4" x14ac:dyDescent="0.3">
      <c r="A1243" s="20" t="s">
        <v>7662</v>
      </c>
      <c r="B1243" s="1" t="s">
        <v>93</v>
      </c>
      <c r="C1243" s="1" t="s">
        <v>143</v>
      </c>
      <c r="D1243" s="1" t="s">
        <v>3836</v>
      </c>
      <c r="E1243" s="1">
        <v>12400000</v>
      </c>
    </row>
    <row r="1244" spans="1:5" ht="14.4" x14ac:dyDescent="0.3">
      <c r="A1244" s="20" t="s">
        <v>7663</v>
      </c>
      <c r="B1244" s="1" t="s">
        <v>93</v>
      </c>
      <c r="C1244" s="1" t="s">
        <v>131</v>
      </c>
      <c r="D1244" s="1" t="s">
        <v>3837</v>
      </c>
      <c r="E1244" s="1">
        <v>25100000</v>
      </c>
    </row>
    <row r="1245" spans="1:5" ht="14.4" x14ac:dyDescent="0.3">
      <c r="A1245" s="20" t="s">
        <v>7664</v>
      </c>
      <c r="B1245" s="1" t="s">
        <v>188</v>
      </c>
      <c r="C1245" s="1">
        <v>7</v>
      </c>
      <c r="D1245" s="1" t="s">
        <v>193</v>
      </c>
      <c r="E1245" s="1">
        <v>17500000</v>
      </c>
    </row>
    <row r="1246" spans="1:5" ht="14.4" x14ac:dyDescent="0.3">
      <c r="A1246" s="20" t="s">
        <v>7665</v>
      </c>
      <c r="B1246" s="1" t="s">
        <v>93</v>
      </c>
      <c r="C1246" s="1" t="s">
        <v>3159</v>
      </c>
      <c r="D1246" s="1" t="s">
        <v>3838</v>
      </c>
      <c r="E1246" s="1">
        <v>11900000</v>
      </c>
    </row>
    <row r="1247" spans="1:5" ht="14.4" x14ac:dyDescent="0.3">
      <c r="A1247" s="20" t="s">
        <v>7666</v>
      </c>
      <c r="B1247" s="1" t="s">
        <v>3839</v>
      </c>
      <c r="C1247" s="1" t="s">
        <v>3840</v>
      </c>
      <c r="D1247" s="1" t="s">
        <v>3841</v>
      </c>
      <c r="E1247" s="1">
        <v>7510000</v>
      </c>
    </row>
    <row r="1248" spans="1:5" ht="14.4" x14ac:dyDescent="0.3">
      <c r="A1248" s="20" t="s">
        <v>7667</v>
      </c>
      <c r="B1248" s="1" t="s">
        <v>19</v>
      </c>
      <c r="C1248" s="1" t="s">
        <v>3053</v>
      </c>
      <c r="D1248" s="1" t="s">
        <v>29</v>
      </c>
      <c r="E1248" s="1">
        <v>19100000</v>
      </c>
    </row>
    <row r="1249" spans="1:5" ht="14.4" x14ac:dyDescent="0.3">
      <c r="A1249" s="20" t="s">
        <v>7668</v>
      </c>
      <c r="B1249" s="1" t="s">
        <v>2910</v>
      </c>
      <c r="C1249" s="1" t="s">
        <v>2975</v>
      </c>
      <c r="D1249" s="1" t="s">
        <v>3842</v>
      </c>
      <c r="E1249" s="1">
        <v>15300000</v>
      </c>
    </row>
    <row r="1250" spans="1:5" ht="14.4" x14ac:dyDescent="0.3">
      <c r="A1250" s="20" t="s">
        <v>7669</v>
      </c>
      <c r="B1250" s="1" t="s">
        <v>327</v>
      </c>
      <c r="C1250" s="1" t="s">
        <v>3147</v>
      </c>
      <c r="D1250" s="1" t="s">
        <v>383</v>
      </c>
      <c r="E1250" s="1">
        <v>7210000</v>
      </c>
    </row>
    <row r="1251" spans="1:5" ht="14.4" x14ac:dyDescent="0.3">
      <c r="A1251" s="20" t="s">
        <v>7670</v>
      </c>
      <c r="B1251" s="1" t="s">
        <v>2957</v>
      </c>
      <c r="C1251" s="1" t="s">
        <v>3843</v>
      </c>
      <c r="D1251" s="1" t="s">
        <v>3844</v>
      </c>
      <c r="E1251" s="1">
        <v>17700000</v>
      </c>
    </row>
    <row r="1252" spans="1:5" ht="14.4" x14ac:dyDescent="0.3">
      <c r="A1252" s="20" t="s">
        <v>7671</v>
      </c>
      <c r="B1252" s="1" t="s">
        <v>264</v>
      </c>
      <c r="C1252" s="1">
        <v>208</v>
      </c>
      <c r="D1252" s="1" t="s">
        <v>3845</v>
      </c>
      <c r="E1252" s="1">
        <v>13300000</v>
      </c>
    </row>
    <row r="1253" spans="1:5" ht="14.4" x14ac:dyDescent="0.3">
      <c r="A1253" s="20" t="s">
        <v>7672</v>
      </c>
      <c r="B1253" s="1" t="s">
        <v>30</v>
      </c>
      <c r="C1253" s="1" t="s">
        <v>41</v>
      </c>
      <c r="D1253" s="1" t="s">
        <v>3846</v>
      </c>
      <c r="E1253" s="1">
        <v>12000000</v>
      </c>
    </row>
    <row r="1254" spans="1:5" ht="14.4" x14ac:dyDescent="0.3">
      <c r="A1254" s="20" t="s">
        <v>7673</v>
      </c>
      <c r="B1254" s="1" t="s">
        <v>48</v>
      </c>
      <c r="C1254" s="1" t="s">
        <v>3176</v>
      </c>
      <c r="D1254" s="1" t="s">
        <v>3847</v>
      </c>
      <c r="E1254" s="1">
        <v>9500000</v>
      </c>
    </row>
    <row r="1255" spans="1:5" ht="14.4" x14ac:dyDescent="0.3">
      <c r="A1255" s="20" t="s">
        <v>7674</v>
      </c>
      <c r="B1255" s="1" t="s">
        <v>2957</v>
      </c>
      <c r="C1255" s="1" t="s">
        <v>3268</v>
      </c>
      <c r="D1255" s="1" t="s">
        <v>398</v>
      </c>
      <c r="E1255" s="1">
        <v>22000000</v>
      </c>
    </row>
    <row r="1256" spans="1:5" ht="14.4" x14ac:dyDescent="0.3">
      <c r="A1256" s="20" t="s">
        <v>7675</v>
      </c>
      <c r="B1256" s="1" t="s">
        <v>93</v>
      </c>
      <c r="C1256" s="1" t="s">
        <v>2919</v>
      </c>
      <c r="D1256" s="1" t="s">
        <v>363</v>
      </c>
      <c r="E1256" s="1">
        <v>24400000</v>
      </c>
    </row>
    <row r="1257" spans="1:5" ht="14.4" x14ac:dyDescent="0.3">
      <c r="A1257" s="20" t="s">
        <v>7676</v>
      </c>
      <c r="B1257" s="1" t="s">
        <v>2957</v>
      </c>
      <c r="C1257" s="1" t="s">
        <v>3268</v>
      </c>
      <c r="D1257" s="1" t="s">
        <v>398</v>
      </c>
      <c r="E1257" s="1">
        <v>21700000</v>
      </c>
    </row>
    <row r="1258" spans="1:5" ht="14.4" x14ac:dyDescent="0.3">
      <c r="A1258" s="20" t="s">
        <v>7677</v>
      </c>
      <c r="B1258" s="1" t="s">
        <v>236</v>
      </c>
      <c r="C1258" s="1" t="s">
        <v>3772</v>
      </c>
      <c r="D1258" s="1" t="s">
        <v>3848</v>
      </c>
      <c r="E1258" s="1">
        <v>14400000</v>
      </c>
    </row>
    <row r="1259" spans="1:5" ht="14.4" x14ac:dyDescent="0.3">
      <c r="A1259" s="20" t="s">
        <v>7678</v>
      </c>
      <c r="B1259" s="1" t="s">
        <v>229</v>
      </c>
      <c r="C1259" s="1" t="s">
        <v>3588</v>
      </c>
      <c r="D1259" s="1" t="s">
        <v>3849</v>
      </c>
      <c r="E1259" s="1">
        <v>18200000</v>
      </c>
    </row>
    <row r="1260" spans="1:5" ht="14.4" x14ac:dyDescent="0.3">
      <c r="A1260" s="20" t="s">
        <v>7679</v>
      </c>
      <c r="B1260" s="1" t="s">
        <v>2957</v>
      </c>
      <c r="C1260" s="1" t="s">
        <v>3268</v>
      </c>
      <c r="D1260" s="1" t="s">
        <v>398</v>
      </c>
      <c r="E1260" s="1">
        <v>21700000</v>
      </c>
    </row>
    <row r="1261" spans="1:5" ht="14.4" x14ac:dyDescent="0.3">
      <c r="A1261" s="20" t="s">
        <v>7680</v>
      </c>
      <c r="B1261" s="1" t="s">
        <v>339</v>
      </c>
      <c r="C1261" s="1" t="s">
        <v>3850</v>
      </c>
      <c r="D1261" s="1" t="s">
        <v>3851</v>
      </c>
      <c r="E1261" s="1">
        <v>7350000</v>
      </c>
    </row>
    <row r="1262" spans="1:5" ht="14.4" x14ac:dyDescent="0.3">
      <c r="A1262" s="20" t="s">
        <v>7681</v>
      </c>
      <c r="B1262" s="1" t="s">
        <v>157</v>
      </c>
      <c r="C1262" s="1" t="s">
        <v>2940</v>
      </c>
      <c r="D1262" s="1" t="s">
        <v>3852</v>
      </c>
      <c r="E1262" s="1">
        <v>18500000</v>
      </c>
    </row>
    <row r="1263" spans="1:5" ht="14.4" x14ac:dyDescent="0.3">
      <c r="A1263" s="20" t="s">
        <v>7682</v>
      </c>
      <c r="B1263" s="1" t="s">
        <v>3077</v>
      </c>
      <c r="C1263" s="1" t="s">
        <v>3853</v>
      </c>
      <c r="D1263" s="1" t="s">
        <v>3854</v>
      </c>
      <c r="E1263" s="1">
        <v>29700000</v>
      </c>
    </row>
    <row r="1264" spans="1:5" ht="14.4" x14ac:dyDescent="0.3">
      <c r="A1264" s="20" t="s">
        <v>7683</v>
      </c>
      <c r="B1264" s="1" t="s">
        <v>30</v>
      </c>
      <c r="C1264" s="1" t="s">
        <v>2902</v>
      </c>
      <c r="D1264" s="1" t="s">
        <v>3855</v>
      </c>
      <c r="E1264" s="1">
        <v>13700000</v>
      </c>
    </row>
    <row r="1265" spans="1:5" ht="14.4" x14ac:dyDescent="0.3">
      <c r="A1265" s="20" t="s">
        <v>7684</v>
      </c>
      <c r="B1265" s="1" t="s">
        <v>260</v>
      </c>
      <c r="C1265" s="1" t="s">
        <v>69</v>
      </c>
      <c r="D1265" s="1" t="s">
        <v>3856</v>
      </c>
      <c r="E1265" s="1">
        <v>11300000</v>
      </c>
    </row>
    <row r="1266" spans="1:5" ht="14.4" x14ac:dyDescent="0.3">
      <c r="A1266" s="20" t="s">
        <v>7685</v>
      </c>
      <c r="B1266" s="1" t="s">
        <v>2910</v>
      </c>
      <c r="C1266" s="1" t="s">
        <v>209</v>
      </c>
      <c r="D1266" s="1" t="s">
        <v>211</v>
      </c>
      <c r="E1266" s="1">
        <v>21700000</v>
      </c>
    </row>
    <row r="1267" spans="1:5" ht="14.4" x14ac:dyDescent="0.3">
      <c r="A1267" s="20" t="s">
        <v>7686</v>
      </c>
      <c r="B1267" s="1" t="s">
        <v>242</v>
      </c>
      <c r="C1267" s="1" t="s">
        <v>2981</v>
      </c>
      <c r="D1267" s="1" t="s">
        <v>429</v>
      </c>
      <c r="E1267" s="1">
        <v>10900000</v>
      </c>
    </row>
    <row r="1268" spans="1:5" ht="14.4" x14ac:dyDescent="0.3">
      <c r="A1268" s="20" t="s">
        <v>7687</v>
      </c>
      <c r="B1268" s="1" t="s">
        <v>229</v>
      </c>
      <c r="C1268" s="1" t="s">
        <v>3857</v>
      </c>
      <c r="D1268" s="1" t="s">
        <v>3858</v>
      </c>
      <c r="E1268" s="1">
        <v>13700000</v>
      </c>
    </row>
    <row r="1269" spans="1:5" ht="14.4" x14ac:dyDescent="0.3">
      <c r="A1269" s="20" t="s">
        <v>7688</v>
      </c>
      <c r="B1269" s="1" t="s">
        <v>2910</v>
      </c>
      <c r="C1269" s="1" t="s">
        <v>3548</v>
      </c>
      <c r="D1269" s="1" t="s">
        <v>402</v>
      </c>
      <c r="E1269" s="1">
        <v>15100000</v>
      </c>
    </row>
    <row r="1270" spans="1:5" ht="14.4" x14ac:dyDescent="0.3">
      <c r="A1270" s="20" t="s">
        <v>7689</v>
      </c>
      <c r="B1270" s="1" t="s">
        <v>264</v>
      </c>
      <c r="C1270" s="1" t="s">
        <v>2897</v>
      </c>
      <c r="D1270" s="1" t="s">
        <v>439</v>
      </c>
      <c r="E1270" s="1">
        <v>14300000</v>
      </c>
    </row>
    <row r="1271" spans="1:5" ht="14.4" x14ac:dyDescent="0.3">
      <c r="A1271" s="20" t="s">
        <v>7690</v>
      </c>
      <c r="B1271" s="1" t="s">
        <v>236</v>
      </c>
      <c r="C1271" s="1" t="s">
        <v>2979</v>
      </c>
      <c r="D1271" s="1" t="s">
        <v>3859</v>
      </c>
      <c r="E1271" s="1">
        <v>14100000</v>
      </c>
    </row>
    <row r="1272" spans="1:5" ht="14.4" x14ac:dyDescent="0.3">
      <c r="A1272" s="20" t="s">
        <v>7691</v>
      </c>
      <c r="B1272" s="1" t="s">
        <v>2933</v>
      </c>
      <c r="C1272" s="1" t="s">
        <v>2934</v>
      </c>
      <c r="D1272" s="1" t="s">
        <v>393</v>
      </c>
      <c r="E1272" s="1">
        <v>22800000</v>
      </c>
    </row>
    <row r="1273" spans="1:5" ht="14.4" x14ac:dyDescent="0.3">
      <c r="A1273" s="20" t="s">
        <v>7692</v>
      </c>
      <c r="B1273" s="1" t="s">
        <v>229</v>
      </c>
      <c r="C1273" s="1" t="s">
        <v>3252</v>
      </c>
      <c r="D1273" s="1" t="s">
        <v>3860</v>
      </c>
      <c r="E1273" s="1">
        <v>16000000</v>
      </c>
    </row>
    <row r="1274" spans="1:5" ht="14.4" x14ac:dyDescent="0.3">
      <c r="A1274" s="20" t="s">
        <v>7693</v>
      </c>
      <c r="B1274" s="1" t="s">
        <v>264</v>
      </c>
      <c r="C1274" s="1">
        <v>2008</v>
      </c>
      <c r="D1274" s="1" t="s">
        <v>602</v>
      </c>
      <c r="E1274" s="1">
        <v>17300000</v>
      </c>
    </row>
    <row r="1275" spans="1:5" ht="14.4" x14ac:dyDescent="0.3">
      <c r="A1275" s="20" t="s">
        <v>7694</v>
      </c>
      <c r="B1275" s="1" t="s">
        <v>48</v>
      </c>
      <c r="C1275" s="1" t="s">
        <v>3234</v>
      </c>
      <c r="D1275" s="1" t="s">
        <v>3861</v>
      </c>
      <c r="E1275" s="1">
        <v>6470000</v>
      </c>
    </row>
    <row r="1276" spans="1:5" ht="14.4" x14ac:dyDescent="0.3">
      <c r="A1276" s="20" t="s">
        <v>7695</v>
      </c>
      <c r="B1276" s="1" t="s">
        <v>242</v>
      </c>
      <c r="C1276" s="1" t="s">
        <v>3141</v>
      </c>
      <c r="D1276" s="1" t="s">
        <v>3862</v>
      </c>
      <c r="E1276" s="1">
        <v>10400000</v>
      </c>
    </row>
    <row r="1277" spans="1:5" ht="14.4" x14ac:dyDescent="0.3">
      <c r="A1277" s="20" t="s">
        <v>7696</v>
      </c>
      <c r="B1277" s="1" t="s">
        <v>93</v>
      </c>
      <c r="C1277" s="1" t="s">
        <v>131</v>
      </c>
      <c r="D1277" s="1" t="s">
        <v>135</v>
      </c>
      <c r="E1277" s="1">
        <v>33500000</v>
      </c>
    </row>
    <row r="1278" spans="1:5" ht="14.4" x14ac:dyDescent="0.3">
      <c r="A1278" s="20" t="s">
        <v>7697</v>
      </c>
      <c r="B1278" s="1" t="s">
        <v>167</v>
      </c>
      <c r="C1278" s="1" t="s">
        <v>3484</v>
      </c>
      <c r="D1278" s="1" t="s">
        <v>2889</v>
      </c>
      <c r="E1278" s="1">
        <v>11000000</v>
      </c>
    </row>
    <row r="1279" spans="1:5" ht="14.4" x14ac:dyDescent="0.3">
      <c r="A1279" s="20" t="s">
        <v>7698</v>
      </c>
      <c r="B1279" s="1" t="s">
        <v>236</v>
      </c>
      <c r="C1279" s="1" t="s">
        <v>2979</v>
      </c>
      <c r="D1279" s="1" t="s">
        <v>3863</v>
      </c>
      <c r="E1279" s="1">
        <v>20500000</v>
      </c>
    </row>
    <row r="1280" spans="1:5" ht="14.4" x14ac:dyDescent="0.3">
      <c r="A1280" s="20" t="s">
        <v>7699</v>
      </c>
      <c r="B1280" s="1" t="s">
        <v>264</v>
      </c>
      <c r="C1280" s="1" t="s">
        <v>2896</v>
      </c>
      <c r="D1280" s="1" t="s">
        <v>3678</v>
      </c>
      <c r="E1280" s="1">
        <v>13100000</v>
      </c>
    </row>
    <row r="1281" spans="1:5" ht="14.4" x14ac:dyDescent="0.3">
      <c r="A1281" s="20" t="s">
        <v>7700</v>
      </c>
      <c r="B1281" s="1" t="s">
        <v>188</v>
      </c>
      <c r="C1281" s="1">
        <v>7</v>
      </c>
      <c r="D1281" s="1" t="s">
        <v>192</v>
      </c>
      <c r="E1281" s="1">
        <v>18400000</v>
      </c>
    </row>
    <row r="1282" spans="1:5" ht="14.4" x14ac:dyDescent="0.3">
      <c r="A1282" s="20" t="s">
        <v>7701</v>
      </c>
      <c r="B1282" s="1" t="s">
        <v>264</v>
      </c>
      <c r="C1282" s="1" t="s">
        <v>2899</v>
      </c>
      <c r="D1282" s="1" t="s">
        <v>923</v>
      </c>
      <c r="E1282" s="1">
        <v>20400000</v>
      </c>
    </row>
    <row r="1283" spans="1:5" ht="14.4" x14ac:dyDescent="0.3">
      <c r="A1283" s="20" t="s">
        <v>7702</v>
      </c>
      <c r="B1283" s="1" t="s">
        <v>2910</v>
      </c>
      <c r="C1283" s="1" t="s">
        <v>2911</v>
      </c>
      <c r="D1283" s="1" t="s">
        <v>3864</v>
      </c>
      <c r="E1283" s="1">
        <v>7750000</v>
      </c>
    </row>
    <row r="1284" spans="1:5" ht="14.4" x14ac:dyDescent="0.3">
      <c r="A1284" s="20" t="s">
        <v>7703</v>
      </c>
      <c r="B1284" s="1" t="s">
        <v>93</v>
      </c>
      <c r="C1284" s="1" t="s">
        <v>131</v>
      </c>
      <c r="D1284" s="1" t="s">
        <v>3837</v>
      </c>
      <c r="E1284" s="1">
        <v>26000000</v>
      </c>
    </row>
    <row r="1285" spans="1:5" ht="14.4" x14ac:dyDescent="0.3">
      <c r="A1285" s="20" t="s">
        <v>7704</v>
      </c>
      <c r="B1285" s="1" t="s">
        <v>2938</v>
      </c>
      <c r="C1285" s="1" t="s">
        <v>3741</v>
      </c>
      <c r="D1285" s="1" t="s">
        <v>3865</v>
      </c>
      <c r="E1285" s="1">
        <v>11900000</v>
      </c>
    </row>
    <row r="1286" spans="1:5" ht="14.4" x14ac:dyDescent="0.3">
      <c r="A1286" s="20" t="s">
        <v>7705</v>
      </c>
      <c r="B1286" s="1" t="s">
        <v>242</v>
      </c>
      <c r="C1286" s="1" t="s">
        <v>243</v>
      </c>
      <c r="D1286" s="1" t="s">
        <v>245</v>
      </c>
      <c r="E1286" s="1">
        <v>8700000</v>
      </c>
    </row>
    <row r="1287" spans="1:5" ht="14.4" x14ac:dyDescent="0.3">
      <c r="A1287" s="20" t="s">
        <v>7706</v>
      </c>
      <c r="B1287" s="1" t="s">
        <v>229</v>
      </c>
      <c r="C1287" s="1" t="s">
        <v>3866</v>
      </c>
      <c r="D1287" s="1" t="s">
        <v>3867</v>
      </c>
      <c r="E1287" s="1">
        <v>23300000</v>
      </c>
    </row>
    <row r="1288" spans="1:5" ht="14.4" x14ac:dyDescent="0.3">
      <c r="A1288" s="20" t="s">
        <v>7707</v>
      </c>
      <c r="B1288" s="1" t="s">
        <v>339</v>
      </c>
      <c r="C1288" s="1" t="s">
        <v>3868</v>
      </c>
      <c r="D1288" s="1" t="s">
        <v>3869</v>
      </c>
      <c r="E1288" s="1">
        <v>12600000</v>
      </c>
    </row>
    <row r="1289" spans="1:5" ht="14.4" x14ac:dyDescent="0.3">
      <c r="A1289" s="20" t="s">
        <v>7708</v>
      </c>
      <c r="B1289" s="1" t="s">
        <v>264</v>
      </c>
      <c r="C1289" s="1" t="s">
        <v>2899</v>
      </c>
      <c r="D1289" s="1" t="s">
        <v>285</v>
      </c>
      <c r="E1289" s="1">
        <v>17700000</v>
      </c>
    </row>
    <row r="1290" spans="1:5" ht="14.4" x14ac:dyDescent="0.3">
      <c r="A1290" s="20" t="s">
        <v>7709</v>
      </c>
      <c r="B1290" s="1" t="s">
        <v>2910</v>
      </c>
      <c r="C1290" s="1" t="s">
        <v>3618</v>
      </c>
      <c r="D1290" s="1" t="s">
        <v>3870</v>
      </c>
      <c r="E1290" s="1">
        <v>9600000</v>
      </c>
    </row>
    <row r="1291" spans="1:5" ht="14.4" x14ac:dyDescent="0.3">
      <c r="A1291" s="20" t="s">
        <v>7710</v>
      </c>
      <c r="B1291" s="1" t="s">
        <v>339</v>
      </c>
      <c r="C1291" s="1" t="s">
        <v>3868</v>
      </c>
      <c r="D1291" s="1" t="s">
        <v>3869</v>
      </c>
      <c r="E1291" s="1">
        <v>12000000</v>
      </c>
    </row>
    <row r="1292" spans="1:5" ht="14.4" x14ac:dyDescent="0.3">
      <c r="A1292" s="20" t="s">
        <v>7711</v>
      </c>
      <c r="B1292" s="1" t="s">
        <v>327</v>
      </c>
      <c r="C1292" s="1" t="s">
        <v>328</v>
      </c>
      <c r="D1292" s="1" t="s">
        <v>330</v>
      </c>
      <c r="E1292" s="1">
        <v>12200000</v>
      </c>
    </row>
    <row r="1293" spans="1:5" ht="14.4" x14ac:dyDescent="0.3">
      <c r="A1293" s="20" t="s">
        <v>7712</v>
      </c>
      <c r="B1293" s="1" t="s">
        <v>3720</v>
      </c>
      <c r="C1293" s="1" t="s">
        <v>3871</v>
      </c>
      <c r="D1293" s="1" t="s">
        <v>396</v>
      </c>
      <c r="E1293" s="1">
        <v>13200000</v>
      </c>
    </row>
    <row r="1294" spans="1:5" ht="14.4" x14ac:dyDescent="0.3">
      <c r="A1294" s="20" t="s">
        <v>7713</v>
      </c>
      <c r="B1294" s="1" t="s">
        <v>195</v>
      </c>
      <c r="C1294" s="1" t="s">
        <v>3085</v>
      </c>
      <c r="D1294" s="1" t="s">
        <v>3872</v>
      </c>
      <c r="E1294" s="1">
        <v>16400000</v>
      </c>
    </row>
    <row r="1295" spans="1:5" ht="14.4" x14ac:dyDescent="0.3">
      <c r="A1295" s="20" t="s">
        <v>7714</v>
      </c>
      <c r="B1295" s="1" t="s">
        <v>93</v>
      </c>
      <c r="C1295" s="1" t="s">
        <v>97</v>
      </c>
      <c r="D1295" s="1" t="s">
        <v>99</v>
      </c>
      <c r="E1295" s="1">
        <v>8800000</v>
      </c>
    </row>
    <row r="1296" spans="1:5" ht="14.4" x14ac:dyDescent="0.3">
      <c r="A1296" s="20" t="s">
        <v>7715</v>
      </c>
      <c r="B1296" s="1" t="s">
        <v>181</v>
      </c>
      <c r="C1296" s="1" t="s">
        <v>3807</v>
      </c>
      <c r="D1296" s="1" t="s">
        <v>3873</v>
      </c>
      <c r="E1296" s="1">
        <v>6780000</v>
      </c>
    </row>
    <row r="1297" spans="1:5" ht="14.4" x14ac:dyDescent="0.3">
      <c r="A1297" s="20" t="s">
        <v>7716</v>
      </c>
      <c r="B1297" s="1" t="s">
        <v>195</v>
      </c>
      <c r="C1297" s="1" t="s">
        <v>3085</v>
      </c>
      <c r="D1297" s="1" t="s">
        <v>3872</v>
      </c>
      <c r="E1297" s="1">
        <v>16900000</v>
      </c>
    </row>
    <row r="1298" spans="1:5" ht="14.4" x14ac:dyDescent="0.3">
      <c r="A1298" s="20" t="s">
        <v>7717</v>
      </c>
      <c r="B1298" s="1" t="s">
        <v>93</v>
      </c>
      <c r="C1298" s="1" t="s">
        <v>143</v>
      </c>
      <c r="D1298" s="1" t="s">
        <v>3874</v>
      </c>
      <c r="E1298" s="1">
        <v>14700000</v>
      </c>
    </row>
    <row r="1299" spans="1:5" ht="14.4" x14ac:dyDescent="0.3">
      <c r="A1299" s="20" t="s">
        <v>7718</v>
      </c>
      <c r="B1299" s="1" t="s">
        <v>93</v>
      </c>
      <c r="C1299" s="1" t="s">
        <v>3205</v>
      </c>
      <c r="D1299" s="1" t="s">
        <v>3874</v>
      </c>
      <c r="E1299" s="1">
        <v>15300000</v>
      </c>
    </row>
    <row r="1300" spans="1:5" ht="14.4" x14ac:dyDescent="0.3">
      <c r="A1300" s="20" t="s">
        <v>7719</v>
      </c>
      <c r="B1300" s="1" t="s">
        <v>314</v>
      </c>
      <c r="C1300" s="1" t="s">
        <v>3875</v>
      </c>
      <c r="D1300" s="1" t="s">
        <v>3876</v>
      </c>
      <c r="E1300" s="1">
        <v>8900000</v>
      </c>
    </row>
    <row r="1301" spans="1:5" ht="14.4" x14ac:dyDescent="0.3">
      <c r="A1301" s="20" t="s">
        <v>7720</v>
      </c>
      <c r="B1301" s="1" t="s">
        <v>64</v>
      </c>
      <c r="C1301" s="1" t="s">
        <v>3877</v>
      </c>
      <c r="D1301" s="1" t="s">
        <v>2889</v>
      </c>
      <c r="E1301" s="1">
        <v>12900000</v>
      </c>
    </row>
    <row r="1302" spans="1:5" ht="14.4" x14ac:dyDescent="0.3">
      <c r="A1302" s="20" t="s">
        <v>7721</v>
      </c>
      <c r="B1302" s="1" t="s">
        <v>167</v>
      </c>
      <c r="C1302" s="1" t="s">
        <v>3878</v>
      </c>
      <c r="D1302" s="1" t="s">
        <v>3879</v>
      </c>
      <c r="E1302" s="1">
        <v>12500000</v>
      </c>
    </row>
    <row r="1303" spans="1:5" ht="14.4" x14ac:dyDescent="0.3">
      <c r="A1303" s="20" t="s">
        <v>7722</v>
      </c>
      <c r="B1303" s="1" t="s">
        <v>93</v>
      </c>
      <c r="C1303" s="1" t="s">
        <v>3205</v>
      </c>
      <c r="D1303" s="1" t="s">
        <v>3874</v>
      </c>
      <c r="E1303" s="1">
        <v>16900000</v>
      </c>
    </row>
    <row r="1304" spans="1:5" ht="14.4" x14ac:dyDescent="0.3">
      <c r="A1304" s="20" t="s">
        <v>7723</v>
      </c>
      <c r="B1304" s="1" t="s">
        <v>157</v>
      </c>
      <c r="C1304" s="1" t="s">
        <v>158</v>
      </c>
      <c r="D1304" s="1" t="s">
        <v>160</v>
      </c>
      <c r="E1304" s="1">
        <v>8500000</v>
      </c>
    </row>
    <row r="1305" spans="1:5" ht="14.4" x14ac:dyDescent="0.3">
      <c r="A1305" s="20" t="s">
        <v>7724</v>
      </c>
      <c r="B1305" s="1" t="s">
        <v>2910</v>
      </c>
      <c r="C1305" s="1" t="s">
        <v>2935</v>
      </c>
      <c r="D1305" s="1" t="s">
        <v>404</v>
      </c>
      <c r="E1305" s="1">
        <v>8500000</v>
      </c>
    </row>
    <row r="1306" spans="1:5" ht="14.4" x14ac:dyDescent="0.3">
      <c r="A1306" s="20" t="s">
        <v>7725</v>
      </c>
      <c r="B1306" s="1" t="s">
        <v>167</v>
      </c>
      <c r="C1306" s="1" t="s">
        <v>3119</v>
      </c>
      <c r="D1306" s="1" t="s">
        <v>2889</v>
      </c>
      <c r="E1306" s="1">
        <v>7130000</v>
      </c>
    </row>
    <row r="1307" spans="1:5" ht="14.4" x14ac:dyDescent="0.3">
      <c r="A1307" s="20" t="s">
        <v>7726</v>
      </c>
      <c r="B1307" s="1" t="s">
        <v>30</v>
      </c>
      <c r="C1307" s="1" t="s">
        <v>41</v>
      </c>
      <c r="D1307" s="1" t="s">
        <v>3880</v>
      </c>
      <c r="E1307" s="1">
        <v>12900000</v>
      </c>
    </row>
    <row r="1308" spans="1:5" ht="14.4" x14ac:dyDescent="0.3">
      <c r="A1308" s="20" t="s">
        <v>7727</v>
      </c>
      <c r="B1308" s="1" t="s">
        <v>30</v>
      </c>
      <c r="C1308" s="1" t="s">
        <v>2908</v>
      </c>
      <c r="D1308" s="1" t="s">
        <v>3881</v>
      </c>
      <c r="E1308" s="1">
        <v>5340000</v>
      </c>
    </row>
    <row r="1309" spans="1:5" ht="14.4" x14ac:dyDescent="0.3">
      <c r="A1309" s="20" t="s">
        <v>7728</v>
      </c>
      <c r="B1309" s="1" t="s">
        <v>48</v>
      </c>
      <c r="C1309" s="1" t="s">
        <v>2892</v>
      </c>
      <c r="D1309" s="1" t="s">
        <v>3882</v>
      </c>
      <c r="E1309" s="1">
        <v>10500000</v>
      </c>
    </row>
    <row r="1310" spans="1:5" ht="14.4" x14ac:dyDescent="0.3">
      <c r="A1310" s="20" t="s">
        <v>7729</v>
      </c>
      <c r="B1310" s="1" t="s">
        <v>195</v>
      </c>
      <c r="C1310" s="1" t="s">
        <v>198</v>
      </c>
      <c r="D1310" s="1" t="s">
        <v>3883</v>
      </c>
      <c r="E1310" s="1">
        <v>17500000</v>
      </c>
    </row>
    <row r="1311" spans="1:5" ht="14.4" x14ac:dyDescent="0.3">
      <c r="A1311" s="20" t="s">
        <v>7730</v>
      </c>
      <c r="B1311" s="1" t="s">
        <v>93</v>
      </c>
      <c r="C1311" s="1" t="s">
        <v>113</v>
      </c>
      <c r="D1311" s="1" t="s">
        <v>3884</v>
      </c>
      <c r="E1311" s="1">
        <v>34100000</v>
      </c>
    </row>
    <row r="1312" spans="1:5" ht="14.4" x14ac:dyDescent="0.3">
      <c r="A1312" s="20" t="s">
        <v>7731</v>
      </c>
      <c r="B1312" s="1" t="s">
        <v>2910</v>
      </c>
      <c r="C1312" s="1" t="s">
        <v>206</v>
      </c>
      <c r="D1312" s="1" t="s">
        <v>3885</v>
      </c>
      <c r="E1312" s="1">
        <v>7500000</v>
      </c>
    </row>
    <row r="1313" spans="1:5" ht="14.4" x14ac:dyDescent="0.3">
      <c r="A1313" s="20" t="s">
        <v>7732</v>
      </c>
      <c r="B1313" s="1" t="s">
        <v>242</v>
      </c>
      <c r="C1313" s="1" t="s">
        <v>3303</v>
      </c>
      <c r="D1313" s="1" t="s">
        <v>3886</v>
      </c>
      <c r="E1313" s="1">
        <v>36500000</v>
      </c>
    </row>
    <row r="1314" spans="1:5" ht="14.4" x14ac:dyDescent="0.3">
      <c r="A1314" s="20" t="s">
        <v>7733</v>
      </c>
      <c r="B1314" s="1" t="s">
        <v>93</v>
      </c>
      <c r="C1314" s="1" t="s">
        <v>2888</v>
      </c>
      <c r="D1314" s="1" t="s">
        <v>130</v>
      </c>
      <c r="E1314" s="1">
        <v>37700000</v>
      </c>
    </row>
    <row r="1315" spans="1:5" ht="14.4" x14ac:dyDescent="0.3">
      <c r="A1315" s="20" t="s">
        <v>7734</v>
      </c>
      <c r="B1315" s="1" t="s">
        <v>30</v>
      </c>
      <c r="C1315" s="1" t="s">
        <v>38</v>
      </c>
      <c r="D1315" s="1" t="s">
        <v>3887</v>
      </c>
      <c r="E1315" s="1">
        <v>11300000</v>
      </c>
    </row>
    <row r="1316" spans="1:5" ht="14.4" x14ac:dyDescent="0.3">
      <c r="A1316" s="20" t="s">
        <v>7735</v>
      </c>
      <c r="B1316" s="1" t="s">
        <v>303</v>
      </c>
      <c r="C1316" s="1">
        <v>700</v>
      </c>
      <c r="D1316" s="1" t="s">
        <v>3888</v>
      </c>
      <c r="E1316" s="1">
        <v>13800000</v>
      </c>
    </row>
    <row r="1317" spans="1:5" ht="14.4" x14ac:dyDescent="0.3">
      <c r="A1317" s="20" t="s">
        <v>7736</v>
      </c>
      <c r="B1317" s="1" t="s">
        <v>2906</v>
      </c>
      <c r="C1317" s="1" t="s">
        <v>3889</v>
      </c>
      <c r="D1317" s="1" t="s">
        <v>3890</v>
      </c>
      <c r="E1317" s="1">
        <v>7710000</v>
      </c>
    </row>
    <row r="1318" spans="1:5" ht="14.4" x14ac:dyDescent="0.3">
      <c r="A1318" s="20" t="s">
        <v>7737</v>
      </c>
      <c r="B1318" s="1" t="s">
        <v>30</v>
      </c>
      <c r="C1318" s="1" t="s">
        <v>2987</v>
      </c>
      <c r="D1318" s="1" t="s">
        <v>3891</v>
      </c>
      <c r="E1318" s="1">
        <v>8700000</v>
      </c>
    </row>
    <row r="1319" spans="1:5" ht="14.4" x14ac:dyDescent="0.3">
      <c r="A1319" s="20" t="s">
        <v>7738</v>
      </c>
      <c r="B1319" s="1" t="s">
        <v>3433</v>
      </c>
      <c r="C1319" s="1" t="s">
        <v>3638</v>
      </c>
      <c r="D1319" s="1" t="s">
        <v>3639</v>
      </c>
      <c r="E1319" s="1">
        <v>77000000</v>
      </c>
    </row>
    <row r="1320" spans="1:5" ht="14.4" x14ac:dyDescent="0.3">
      <c r="A1320" s="20" t="s">
        <v>7739</v>
      </c>
      <c r="B1320" s="1" t="s">
        <v>2910</v>
      </c>
      <c r="C1320" s="1" t="s">
        <v>218</v>
      </c>
      <c r="D1320" s="1" t="s">
        <v>222</v>
      </c>
      <c r="E1320" s="1">
        <v>18300000</v>
      </c>
    </row>
    <row r="1321" spans="1:5" ht="14.4" x14ac:dyDescent="0.3">
      <c r="A1321" s="20" t="s">
        <v>7740</v>
      </c>
      <c r="B1321" s="1" t="s">
        <v>30</v>
      </c>
      <c r="C1321" s="1" t="s">
        <v>2959</v>
      </c>
      <c r="D1321" s="1" t="s">
        <v>3892</v>
      </c>
      <c r="E1321" s="1">
        <v>8300000</v>
      </c>
    </row>
    <row r="1322" spans="1:5" ht="14.4" x14ac:dyDescent="0.3">
      <c r="A1322" s="20" t="s">
        <v>7741</v>
      </c>
      <c r="B1322" s="1" t="s">
        <v>264</v>
      </c>
      <c r="C1322" s="1">
        <v>308</v>
      </c>
      <c r="D1322" s="1" t="s">
        <v>3893</v>
      </c>
      <c r="E1322" s="1">
        <v>11000000</v>
      </c>
    </row>
    <row r="1323" spans="1:5" ht="14.4" x14ac:dyDescent="0.3">
      <c r="A1323" s="20" t="s">
        <v>7742</v>
      </c>
      <c r="B1323" s="1" t="s">
        <v>334</v>
      </c>
      <c r="C1323" s="1" t="s">
        <v>2976</v>
      </c>
      <c r="D1323" s="1" t="s">
        <v>3894</v>
      </c>
      <c r="E1323" s="1">
        <v>12900000</v>
      </c>
    </row>
    <row r="1324" spans="1:5" ht="14.4" x14ac:dyDescent="0.3">
      <c r="A1324" s="20" t="s">
        <v>7743</v>
      </c>
      <c r="B1324" s="1" t="s">
        <v>314</v>
      </c>
      <c r="C1324" s="1" t="s">
        <v>2977</v>
      </c>
      <c r="D1324" s="1" t="s">
        <v>3895</v>
      </c>
      <c r="E1324" s="1">
        <v>8300000</v>
      </c>
    </row>
    <row r="1325" spans="1:5" ht="14.4" x14ac:dyDescent="0.3">
      <c r="A1325" s="20" t="s">
        <v>7744</v>
      </c>
      <c r="B1325" s="1" t="s">
        <v>93</v>
      </c>
      <c r="C1325" s="1" t="s">
        <v>2900</v>
      </c>
      <c r="D1325" s="1" t="s">
        <v>2901</v>
      </c>
      <c r="E1325" s="1">
        <v>45400000</v>
      </c>
    </row>
    <row r="1326" spans="1:5" ht="14.4" x14ac:dyDescent="0.3">
      <c r="A1326" s="20" t="s">
        <v>7745</v>
      </c>
      <c r="B1326" s="1" t="s">
        <v>346</v>
      </c>
      <c r="C1326" s="1" t="s">
        <v>347</v>
      </c>
      <c r="D1326" s="1" t="s">
        <v>349</v>
      </c>
      <c r="E1326" s="1">
        <v>14100000</v>
      </c>
    </row>
    <row r="1327" spans="1:5" ht="14.4" x14ac:dyDescent="0.3">
      <c r="A1327" s="20" t="s">
        <v>7746</v>
      </c>
      <c r="B1327" s="1" t="s">
        <v>93</v>
      </c>
      <c r="C1327" s="1" t="s">
        <v>3205</v>
      </c>
      <c r="D1327" s="1" t="s">
        <v>148</v>
      </c>
      <c r="E1327" s="1">
        <v>18400000</v>
      </c>
    </row>
    <row r="1328" spans="1:5" ht="14.4" x14ac:dyDescent="0.3">
      <c r="A1328" s="20" t="s">
        <v>7747</v>
      </c>
      <c r="B1328" s="1" t="s">
        <v>327</v>
      </c>
      <c r="C1328" s="1" t="s">
        <v>3320</v>
      </c>
      <c r="D1328" s="1" t="s">
        <v>3896</v>
      </c>
      <c r="E1328" s="1">
        <v>9400000</v>
      </c>
    </row>
    <row r="1329" spans="1:5" ht="14.4" x14ac:dyDescent="0.3">
      <c r="A1329" s="20" t="s">
        <v>7748</v>
      </c>
      <c r="B1329" s="1" t="s">
        <v>2961</v>
      </c>
      <c r="C1329" s="1" t="s">
        <v>3897</v>
      </c>
      <c r="D1329" s="1" t="s">
        <v>382</v>
      </c>
      <c r="E1329" s="1">
        <v>13600000</v>
      </c>
    </row>
    <row r="1330" spans="1:5" ht="14.4" x14ac:dyDescent="0.3">
      <c r="A1330" s="20" t="s">
        <v>7749</v>
      </c>
      <c r="B1330" s="1" t="s">
        <v>93</v>
      </c>
      <c r="C1330" s="1" t="s">
        <v>3898</v>
      </c>
      <c r="D1330" s="1" t="s">
        <v>3899</v>
      </c>
      <c r="E1330" s="1">
        <v>64000000</v>
      </c>
    </row>
    <row r="1331" spans="1:5" ht="14.4" x14ac:dyDescent="0.3">
      <c r="A1331" s="20" t="s">
        <v>7750</v>
      </c>
      <c r="B1331" s="1" t="s">
        <v>327</v>
      </c>
      <c r="C1331" s="1" t="s">
        <v>331</v>
      </c>
      <c r="D1331" s="1" t="s">
        <v>397</v>
      </c>
      <c r="E1331" s="1">
        <v>12400000</v>
      </c>
    </row>
    <row r="1332" spans="1:5" ht="14.4" x14ac:dyDescent="0.3">
      <c r="A1332" s="20" t="s">
        <v>7751</v>
      </c>
      <c r="B1332" s="1" t="s">
        <v>264</v>
      </c>
      <c r="C1332" s="1">
        <v>5008</v>
      </c>
      <c r="D1332" s="1" t="s">
        <v>289</v>
      </c>
      <c r="E1332" s="1">
        <v>27400000</v>
      </c>
    </row>
    <row r="1333" spans="1:5" ht="14.4" x14ac:dyDescent="0.3">
      <c r="A1333" s="20" t="s">
        <v>7752</v>
      </c>
      <c r="B1333" s="1" t="s">
        <v>2945</v>
      </c>
      <c r="C1333" s="1" t="s">
        <v>3011</v>
      </c>
      <c r="D1333" s="1" t="s">
        <v>3900</v>
      </c>
      <c r="E1333" s="1">
        <v>8400000</v>
      </c>
    </row>
    <row r="1334" spans="1:5" ht="14.4" x14ac:dyDescent="0.3">
      <c r="A1334" s="20" t="s">
        <v>7753</v>
      </c>
      <c r="B1334" s="1" t="s">
        <v>93</v>
      </c>
      <c r="C1334" s="1" t="s">
        <v>2888</v>
      </c>
      <c r="D1334" s="1" t="s">
        <v>2889</v>
      </c>
      <c r="E1334" s="1">
        <v>36900000</v>
      </c>
    </row>
    <row r="1335" spans="1:5" ht="14.4" x14ac:dyDescent="0.3">
      <c r="A1335" s="20" t="s">
        <v>7754</v>
      </c>
      <c r="B1335" s="1" t="s">
        <v>317</v>
      </c>
      <c r="C1335" s="1" t="s">
        <v>3573</v>
      </c>
      <c r="D1335" s="1" t="s">
        <v>384</v>
      </c>
      <c r="E1335" s="1">
        <v>25600000</v>
      </c>
    </row>
    <row r="1336" spans="1:5" ht="14.4" x14ac:dyDescent="0.3">
      <c r="A1336" s="20" t="s">
        <v>7755</v>
      </c>
      <c r="B1336" s="1" t="s">
        <v>317</v>
      </c>
      <c r="C1336" s="1" t="s">
        <v>3573</v>
      </c>
      <c r="D1336" s="1" t="s">
        <v>384</v>
      </c>
      <c r="E1336" s="1">
        <v>25600000</v>
      </c>
    </row>
    <row r="1337" spans="1:5" ht="14.4" x14ac:dyDescent="0.3">
      <c r="A1337" s="20" t="s">
        <v>7756</v>
      </c>
      <c r="B1337" s="1" t="s">
        <v>93</v>
      </c>
      <c r="C1337" s="1" t="s">
        <v>118</v>
      </c>
      <c r="D1337" s="1" t="s">
        <v>122</v>
      </c>
      <c r="E1337" s="1">
        <v>33300000</v>
      </c>
    </row>
    <row r="1338" spans="1:5" ht="14.4" x14ac:dyDescent="0.3">
      <c r="A1338" s="20" t="s">
        <v>7757</v>
      </c>
      <c r="B1338" s="1" t="s">
        <v>151</v>
      </c>
      <c r="C1338" s="1" t="s">
        <v>3334</v>
      </c>
      <c r="D1338" s="1" t="s">
        <v>3901</v>
      </c>
      <c r="E1338" s="1">
        <v>6230000</v>
      </c>
    </row>
    <row r="1339" spans="1:5" ht="14.4" x14ac:dyDescent="0.3">
      <c r="A1339" s="20" t="s">
        <v>7758</v>
      </c>
      <c r="B1339" s="1" t="s">
        <v>2957</v>
      </c>
      <c r="C1339" s="1" t="s">
        <v>3268</v>
      </c>
      <c r="D1339" s="1" t="s">
        <v>3902</v>
      </c>
      <c r="E1339" s="1">
        <v>30000000</v>
      </c>
    </row>
    <row r="1340" spans="1:5" ht="14.4" x14ac:dyDescent="0.3">
      <c r="A1340" s="20" t="s">
        <v>7759</v>
      </c>
      <c r="B1340" s="1" t="s">
        <v>93</v>
      </c>
      <c r="C1340" s="1" t="s">
        <v>3898</v>
      </c>
      <c r="D1340" s="1" t="s">
        <v>3899</v>
      </c>
      <c r="E1340" s="1">
        <v>64000000</v>
      </c>
    </row>
    <row r="1341" spans="1:5" ht="14.4" x14ac:dyDescent="0.3">
      <c r="A1341" s="20" t="s">
        <v>7760</v>
      </c>
      <c r="B1341" s="1" t="s">
        <v>229</v>
      </c>
      <c r="C1341" s="1" t="s">
        <v>3588</v>
      </c>
      <c r="D1341" s="1" t="s">
        <v>3903</v>
      </c>
      <c r="E1341" s="1">
        <v>16800000</v>
      </c>
    </row>
    <row r="1342" spans="1:5" ht="14.4" x14ac:dyDescent="0.3">
      <c r="A1342" s="20" t="s">
        <v>7761</v>
      </c>
      <c r="B1342" s="1" t="s">
        <v>2910</v>
      </c>
      <c r="C1342" s="1" t="s">
        <v>2975</v>
      </c>
      <c r="D1342" s="1" t="s">
        <v>3904</v>
      </c>
      <c r="E1342" s="1">
        <v>16800000</v>
      </c>
    </row>
    <row r="1343" spans="1:5" ht="14.4" x14ac:dyDescent="0.3">
      <c r="A1343" s="20" t="s">
        <v>7762</v>
      </c>
      <c r="B1343" s="1" t="s">
        <v>93</v>
      </c>
      <c r="C1343" s="1" t="s">
        <v>97</v>
      </c>
      <c r="D1343" s="1" t="s">
        <v>3905</v>
      </c>
      <c r="E1343" s="1">
        <v>6980000</v>
      </c>
    </row>
    <row r="1344" spans="1:5" ht="14.4" x14ac:dyDescent="0.3">
      <c r="A1344" s="20" t="s">
        <v>7763</v>
      </c>
      <c r="B1344" s="1" t="s">
        <v>236</v>
      </c>
      <c r="C1344" s="1" t="s">
        <v>3906</v>
      </c>
      <c r="D1344" s="1" t="s">
        <v>387</v>
      </c>
      <c r="E1344" s="1">
        <v>10900000</v>
      </c>
    </row>
    <row r="1345" spans="1:5" ht="14.4" x14ac:dyDescent="0.3">
      <c r="A1345" s="20" t="s">
        <v>7764</v>
      </c>
      <c r="B1345" s="1" t="s">
        <v>167</v>
      </c>
      <c r="C1345" s="1" t="s">
        <v>3508</v>
      </c>
      <c r="D1345" s="1" t="s">
        <v>390</v>
      </c>
      <c r="E1345" s="1">
        <v>17600000</v>
      </c>
    </row>
    <row r="1346" spans="1:5" ht="14.4" x14ac:dyDescent="0.3">
      <c r="A1346" s="20" t="s">
        <v>7765</v>
      </c>
      <c r="B1346" s="1" t="s">
        <v>167</v>
      </c>
      <c r="C1346" s="1" t="s">
        <v>3119</v>
      </c>
      <c r="D1346" s="1" t="s">
        <v>3907</v>
      </c>
      <c r="E1346" s="1">
        <v>9400000</v>
      </c>
    </row>
    <row r="1347" spans="1:5" ht="14.4" x14ac:dyDescent="0.3">
      <c r="A1347" s="20" t="s">
        <v>7766</v>
      </c>
      <c r="B1347" s="1" t="s">
        <v>30</v>
      </c>
      <c r="C1347" s="1" t="s">
        <v>2908</v>
      </c>
      <c r="D1347" s="1" t="s">
        <v>3908</v>
      </c>
      <c r="E1347" s="1">
        <v>7970000</v>
      </c>
    </row>
    <row r="1348" spans="1:5" ht="14.4" x14ac:dyDescent="0.3">
      <c r="A1348" s="20" t="s">
        <v>7767</v>
      </c>
      <c r="B1348" s="1" t="s">
        <v>2906</v>
      </c>
      <c r="C1348" s="1" t="s">
        <v>3909</v>
      </c>
      <c r="D1348" s="1" t="s">
        <v>3910</v>
      </c>
      <c r="E1348" s="1">
        <v>13000000</v>
      </c>
    </row>
    <row r="1349" spans="1:5" ht="14.4" x14ac:dyDescent="0.3">
      <c r="A1349" s="20" t="s">
        <v>7768</v>
      </c>
      <c r="B1349" s="1" t="s">
        <v>2945</v>
      </c>
      <c r="C1349" s="1" t="s">
        <v>2983</v>
      </c>
      <c r="D1349" s="1" t="s">
        <v>3911</v>
      </c>
      <c r="E1349" s="1">
        <v>7910000</v>
      </c>
    </row>
    <row r="1350" spans="1:5" ht="14.4" x14ac:dyDescent="0.3">
      <c r="A1350" s="20" t="s">
        <v>7769</v>
      </c>
      <c r="B1350" s="1" t="s">
        <v>93</v>
      </c>
      <c r="C1350" s="1" t="s">
        <v>143</v>
      </c>
      <c r="D1350" s="1" t="s">
        <v>365</v>
      </c>
      <c r="E1350" s="1">
        <v>12300000</v>
      </c>
    </row>
    <row r="1351" spans="1:5" ht="14.4" x14ac:dyDescent="0.3">
      <c r="A1351" s="20" t="s">
        <v>7770</v>
      </c>
      <c r="B1351" s="1" t="s">
        <v>3720</v>
      </c>
      <c r="C1351" s="1" t="s">
        <v>3871</v>
      </c>
      <c r="D1351" s="1" t="s">
        <v>396</v>
      </c>
      <c r="E1351" s="1">
        <v>13100000</v>
      </c>
    </row>
    <row r="1352" spans="1:5" ht="14.4" x14ac:dyDescent="0.3">
      <c r="A1352" s="20" t="s">
        <v>7771</v>
      </c>
      <c r="B1352" s="1" t="s">
        <v>2910</v>
      </c>
      <c r="C1352" s="1" t="s">
        <v>212</v>
      </c>
      <c r="D1352" s="1" t="s">
        <v>378</v>
      </c>
      <c r="E1352" s="1">
        <v>13000000</v>
      </c>
    </row>
    <row r="1353" spans="1:5" ht="14.4" x14ac:dyDescent="0.3">
      <c r="A1353" s="20" t="s">
        <v>7772</v>
      </c>
      <c r="B1353" s="1" t="s">
        <v>334</v>
      </c>
      <c r="C1353" s="1" t="s">
        <v>2903</v>
      </c>
      <c r="D1353" s="1" t="s">
        <v>3912</v>
      </c>
      <c r="E1353" s="1">
        <v>14900000</v>
      </c>
    </row>
    <row r="1354" spans="1:5" ht="14.4" x14ac:dyDescent="0.3">
      <c r="A1354" s="20" t="s">
        <v>7773</v>
      </c>
      <c r="B1354" s="1" t="s">
        <v>264</v>
      </c>
      <c r="C1354" s="1" t="s">
        <v>2996</v>
      </c>
      <c r="D1354" s="1" t="s">
        <v>3471</v>
      </c>
      <c r="E1354" s="1">
        <v>16800000</v>
      </c>
    </row>
    <row r="1355" spans="1:5" ht="14.4" x14ac:dyDescent="0.3">
      <c r="A1355" s="20" t="s">
        <v>7774</v>
      </c>
      <c r="B1355" s="1" t="s">
        <v>264</v>
      </c>
      <c r="C1355" s="1" t="s">
        <v>2917</v>
      </c>
      <c r="D1355" s="1" t="s">
        <v>447</v>
      </c>
      <c r="E1355" s="1">
        <v>23600000</v>
      </c>
    </row>
    <row r="1356" spans="1:5" ht="14.4" x14ac:dyDescent="0.3">
      <c r="A1356" s="20" t="s">
        <v>7775</v>
      </c>
      <c r="B1356" s="1" t="s">
        <v>264</v>
      </c>
      <c r="C1356" s="1" t="s">
        <v>2996</v>
      </c>
      <c r="D1356" s="1" t="s">
        <v>3385</v>
      </c>
      <c r="E1356" s="1">
        <v>15900000</v>
      </c>
    </row>
    <row r="1357" spans="1:5" ht="14.4" x14ac:dyDescent="0.3">
      <c r="A1357" s="20" t="s">
        <v>7776</v>
      </c>
      <c r="B1357" s="1" t="s">
        <v>195</v>
      </c>
      <c r="C1357" s="1" t="s">
        <v>196</v>
      </c>
      <c r="D1357" s="1" t="s">
        <v>197</v>
      </c>
      <c r="E1357" s="1">
        <v>24000000</v>
      </c>
    </row>
    <row r="1358" spans="1:5" ht="14.4" x14ac:dyDescent="0.3">
      <c r="A1358" s="20" t="s">
        <v>7777</v>
      </c>
      <c r="B1358" s="1" t="s">
        <v>30</v>
      </c>
      <c r="C1358" s="1" t="s">
        <v>45</v>
      </c>
      <c r="D1358" s="1" t="s">
        <v>3913</v>
      </c>
      <c r="E1358" s="1">
        <v>11100000</v>
      </c>
    </row>
    <row r="1359" spans="1:5" ht="14.4" x14ac:dyDescent="0.3">
      <c r="A1359" s="20" t="s">
        <v>7778</v>
      </c>
      <c r="B1359" s="1" t="s">
        <v>2910</v>
      </c>
      <c r="C1359" s="1" t="s">
        <v>2911</v>
      </c>
      <c r="D1359" s="1" t="s">
        <v>3914</v>
      </c>
      <c r="E1359" s="1">
        <v>8900000</v>
      </c>
    </row>
    <row r="1360" spans="1:5" ht="14.4" x14ac:dyDescent="0.3">
      <c r="A1360" s="20" t="s">
        <v>7779</v>
      </c>
      <c r="B1360" s="1" t="s">
        <v>3367</v>
      </c>
      <c r="C1360" s="1" t="s">
        <v>3368</v>
      </c>
      <c r="D1360" s="1" t="s">
        <v>3915</v>
      </c>
      <c r="E1360" s="1">
        <v>12200000</v>
      </c>
    </row>
    <row r="1361" spans="1:5" ht="14.4" x14ac:dyDescent="0.3">
      <c r="A1361" s="20" t="s">
        <v>7780</v>
      </c>
      <c r="B1361" s="1" t="s">
        <v>188</v>
      </c>
      <c r="C1361" s="1">
        <v>7</v>
      </c>
      <c r="D1361" s="1" t="s">
        <v>193</v>
      </c>
      <c r="E1361" s="1">
        <v>17600000</v>
      </c>
    </row>
    <row r="1362" spans="1:5" ht="14.4" x14ac:dyDescent="0.3">
      <c r="A1362" s="20" t="s">
        <v>7781</v>
      </c>
      <c r="B1362" s="1" t="s">
        <v>188</v>
      </c>
      <c r="C1362" s="1">
        <v>7</v>
      </c>
      <c r="D1362" s="1" t="s">
        <v>193</v>
      </c>
      <c r="E1362" s="1">
        <v>17600000</v>
      </c>
    </row>
    <row r="1363" spans="1:5" ht="14.4" x14ac:dyDescent="0.3">
      <c r="A1363" s="20" t="s">
        <v>7782</v>
      </c>
      <c r="B1363" s="1" t="s">
        <v>327</v>
      </c>
      <c r="C1363" s="1" t="s">
        <v>3320</v>
      </c>
      <c r="D1363" s="1" t="s">
        <v>3916</v>
      </c>
      <c r="E1363" s="1">
        <v>8400000</v>
      </c>
    </row>
    <row r="1364" spans="1:5" ht="14.4" x14ac:dyDescent="0.3">
      <c r="A1364" s="20" t="s">
        <v>7783</v>
      </c>
      <c r="B1364" s="1" t="s">
        <v>242</v>
      </c>
      <c r="C1364" s="1" t="s">
        <v>246</v>
      </c>
      <c r="D1364" s="1" t="s">
        <v>1477</v>
      </c>
      <c r="E1364" s="1">
        <v>20300000</v>
      </c>
    </row>
    <row r="1365" spans="1:5" ht="14.4" x14ac:dyDescent="0.3">
      <c r="A1365" s="20" t="s">
        <v>7784</v>
      </c>
      <c r="B1365" s="1" t="s">
        <v>181</v>
      </c>
      <c r="C1365" s="1" t="s">
        <v>185</v>
      </c>
      <c r="D1365" s="1" t="s">
        <v>3917</v>
      </c>
      <c r="E1365" s="1">
        <v>11500000</v>
      </c>
    </row>
    <row r="1366" spans="1:5" ht="14.4" x14ac:dyDescent="0.3">
      <c r="A1366" s="20" t="s">
        <v>7785</v>
      </c>
      <c r="B1366" s="1" t="s">
        <v>334</v>
      </c>
      <c r="C1366" s="1" t="s">
        <v>2976</v>
      </c>
      <c r="D1366" s="1" t="s">
        <v>3918</v>
      </c>
      <c r="E1366" s="1">
        <v>12100000</v>
      </c>
    </row>
    <row r="1367" spans="1:5" ht="14.4" x14ac:dyDescent="0.3">
      <c r="A1367" s="20" t="s">
        <v>7786</v>
      </c>
      <c r="B1367" s="1" t="s">
        <v>167</v>
      </c>
      <c r="C1367" s="1" t="s">
        <v>3070</v>
      </c>
      <c r="D1367" s="1" t="s">
        <v>3919</v>
      </c>
      <c r="E1367" s="1">
        <v>18800000</v>
      </c>
    </row>
    <row r="1368" spans="1:5" ht="14.4" x14ac:dyDescent="0.3">
      <c r="A1368" s="20" t="s">
        <v>7787</v>
      </c>
      <c r="B1368" s="1" t="s">
        <v>15</v>
      </c>
      <c r="C1368" s="1" t="s">
        <v>2920</v>
      </c>
      <c r="D1368" s="1" t="s">
        <v>391</v>
      </c>
      <c r="E1368" s="1">
        <v>9000000</v>
      </c>
    </row>
    <row r="1369" spans="1:5" ht="14.4" x14ac:dyDescent="0.3">
      <c r="A1369" s="20" t="s">
        <v>7788</v>
      </c>
      <c r="B1369" s="1" t="s">
        <v>48</v>
      </c>
      <c r="C1369" s="1" t="s">
        <v>2937</v>
      </c>
      <c r="D1369" s="1" t="s">
        <v>3920</v>
      </c>
      <c r="E1369" s="1">
        <v>20800000</v>
      </c>
    </row>
    <row r="1370" spans="1:5" ht="14.4" x14ac:dyDescent="0.3">
      <c r="A1370" s="20" t="s">
        <v>7789</v>
      </c>
      <c r="B1370" s="1" t="s">
        <v>2945</v>
      </c>
      <c r="C1370" s="1" t="s">
        <v>3011</v>
      </c>
      <c r="D1370" s="1" t="s">
        <v>3921</v>
      </c>
      <c r="E1370" s="1">
        <v>10900000</v>
      </c>
    </row>
    <row r="1371" spans="1:5" ht="14.4" x14ac:dyDescent="0.3">
      <c r="A1371" s="20" t="s">
        <v>7790</v>
      </c>
      <c r="B1371" s="1" t="s">
        <v>2961</v>
      </c>
      <c r="C1371" s="1" t="s">
        <v>3478</v>
      </c>
      <c r="D1371" s="1" t="s">
        <v>3922</v>
      </c>
      <c r="E1371" s="1">
        <v>8500000</v>
      </c>
    </row>
    <row r="1372" spans="1:5" ht="14.4" x14ac:dyDescent="0.3">
      <c r="A1372" s="20" t="s">
        <v>7791</v>
      </c>
      <c r="B1372" s="1" t="s">
        <v>264</v>
      </c>
      <c r="C1372" s="1" t="s">
        <v>2899</v>
      </c>
      <c r="D1372" s="1" t="s">
        <v>3923</v>
      </c>
      <c r="E1372" s="1">
        <v>17300000</v>
      </c>
    </row>
    <row r="1373" spans="1:5" ht="14.4" x14ac:dyDescent="0.3">
      <c r="A1373" s="20" t="s">
        <v>7792</v>
      </c>
      <c r="B1373" s="1" t="s">
        <v>339</v>
      </c>
      <c r="C1373" s="1" t="s">
        <v>3104</v>
      </c>
      <c r="D1373" s="1" t="s">
        <v>3924</v>
      </c>
      <c r="E1373" s="1">
        <v>7840000</v>
      </c>
    </row>
    <row r="1374" spans="1:5" ht="14.4" x14ac:dyDescent="0.3">
      <c r="A1374" s="20" t="s">
        <v>7793</v>
      </c>
      <c r="B1374" s="1" t="s">
        <v>30</v>
      </c>
      <c r="C1374" s="1" t="s">
        <v>41</v>
      </c>
      <c r="D1374" s="1" t="s">
        <v>3925</v>
      </c>
      <c r="E1374" s="1">
        <v>11700000</v>
      </c>
    </row>
    <row r="1375" spans="1:5" ht="14.4" x14ac:dyDescent="0.3">
      <c r="A1375" s="20" t="s">
        <v>7794</v>
      </c>
      <c r="B1375" s="1" t="s">
        <v>30</v>
      </c>
      <c r="C1375" s="1" t="s">
        <v>41</v>
      </c>
      <c r="D1375" s="1" t="s">
        <v>3926</v>
      </c>
      <c r="E1375" s="1">
        <v>11200000</v>
      </c>
    </row>
    <row r="1376" spans="1:5" ht="14.4" x14ac:dyDescent="0.3">
      <c r="A1376" s="20" t="s">
        <v>7795</v>
      </c>
      <c r="B1376" s="1" t="s">
        <v>48</v>
      </c>
      <c r="C1376" s="1" t="s">
        <v>49</v>
      </c>
      <c r="D1376" s="1" t="s">
        <v>3927</v>
      </c>
      <c r="E1376" s="1">
        <v>10900000</v>
      </c>
    </row>
    <row r="1377" spans="1:5" ht="14.4" x14ac:dyDescent="0.3">
      <c r="A1377" s="20" t="s">
        <v>7796</v>
      </c>
      <c r="B1377" s="1" t="s">
        <v>30</v>
      </c>
      <c r="C1377" s="1" t="s">
        <v>3517</v>
      </c>
      <c r="D1377" s="1" t="s">
        <v>3928</v>
      </c>
      <c r="E1377" s="1">
        <v>16200000</v>
      </c>
    </row>
    <row r="1378" spans="1:5" ht="14.4" x14ac:dyDescent="0.3">
      <c r="A1378" s="20" t="s">
        <v>7797</v>
      </c>
      <c r="B1378" s="1" t="s">
        <v>334</v>
      </c>
      <c r="C1378" s="1" t="s">
        <v>3929</v>
      </c>
      <c r="D1378" s="1" t="s">
        <v>3930</v>
      </c>
      <c r="E1378" s="1">
        <v>21800000</v>
      </c>
    </row>
    <row r="1379" spans="1:5" ht="14.4" x14ac:dyDescent="0.3">
      <c r="A1379" s="20" t="s">
        <v>7798</v>
      </c>
      <c r="B1379" s="1" t="s">
        <v>195</v>
      </c>
      <c r="C1379" s="1" t="s">
        <v>198</v>
      </c>
      <c r="D1379" s="1" t="s">
        <v>3931</v>
      </c>
      <c r="E1379" s="1">
        <v>20200000</v>
      </c>
    </row>
    <row r="1380" spans="1:5" ht="14.4" x14ac:dyDescent="0.3">
      <c r="A1380" s="20" t="s">
        <v>7799</v>
      </c>
      <c r="B1380" s="1" t="s">
        <v>93</v>
      </c>
      <c r="C1380" s="1" t="s">
        <v>3388</v>
      </c>
      <c r="D1380" s="1" t="s">
        <v>3932</v>
      </c>
      <c r="E1380" s="1">
        <v>12400000</v>
      </c>
    </row>
    <row r="1381" spans="1:5" ht="14.4" x14ac:dyDescent="0.3">
      <c r="A1381" s="20" t="s">
        <v>7800</v>
      </c>
      <c r="B1381" s="1" t="s">
        <v>181</v>
      </c>
      <c r="C1381" s="1" t="s">
        <v>2947</v>
      </c>
      <c r="D1381" s="1" t="s">
        <v>385</v>
      </c>
      <c r="E1381" s="1">
        <v>13000000</v>
      </c>
    </row>
    <row r="1382" spans="1:5" ht="14.4" x14ac:dyDescent="0.3">
      <c r="A1382" s="20" t="s">
        <v>7801</v>
      </c>
      <c r="B1382" s="1" t="s">
        <v>48</v>
      </c>
      <c r="C1382" s="1" t="s">
        <v>55</v>
      </c>
      <c r="D1382" s="1" t="s">
        <v>57</v>
      </c>
      <c r="E1382" s="1">
        <v>9000000</v>
      </c>
    </row>
    <row r="1383" spans="1:5" ht="14.4" x14ac:dyDescent="0.3">
      <c r="A1383" s="20" t="s">
        <v>7802</v>
      </c>
      <c r="B1383" s="1" t="s">
        <v>188</v>
      </c>
      <c r="C1383" s="1">
        <v>7</v>
      </c>
      <c r="D1383" s="1" t="s">
        <v>3585</v>
      </c>
      <c r="E1383" s="1">
        <v>23600000</v>
      </c>
    </row>
    <row r="1384" spans="1:5" ht="14.4" x14ac:dyDescent="0.3">
      <c r="A1384" s="20" t="s">
        <v>7803</v>
      </c>
      <c r="B1384" s="1" t="s">
        <v>242</v>
      </c>
      <c r="C1384" s="1" t="s">
        <v>2904</v>
      </c>
      <c r="D1384" s="1" t="s">
        <v>3933</v>
      </c>
      <c r="E1384" s="1">
        <v>24500000</v>
      </c>
    </row>
    <row r="1385" spans="1:5" ht="14.4" x14ac:dyDescent="0.3">
      <c r="A1385" s="20" t="s">
        <v>7804</v>
      </c>
      <c r="B1385" s="1" t="s">
        <v>48</v>
      </c>
      <c r="C1385" s="1" t="s">
        <v>2967</v>
      </c>
      <c r="D1385" s="1" t="s">
        <v>3934</v>
      </c>
      <c r="E1385" s="1">
        <v>30100000</v>
      </c>
    </row>
    <row r="1386" spans="1:5" ht="14.4" x14ac:dyDescent="0.3">
      <c r="A1386" s="20" t="s">
        <v>7805</v>
      </c>
      <c r="B1386" s="1" t="s">
        <v>93</v>
      </c>
      <c r="C1386" s="1" t="s">
        <v>3935</v>
      </c>
      <c r="D1386" s="1" t="s">
        <v>3936</v>
      </c>
      <c r="E1386" s="1">
        <v>7700000</v>
      </c>
    </row>
    <row r="1387" spans="1:5" ht="14.4" x14ac:dyDescent="0.3">
      <c r="A1387" s="20" t="s">
        <v>7806</v>
      </c>
      <c r="B1387" s="1" t="s">
        <v>264</v>
      </c>
      <c r="C1387" s="1">
        <v>2008</v>
      </c>
      <c r="D1387" s="1" t="s">
        <v>265</v>
      </c>
      <c r="E1387" s="1">
        <v>16300000</v>
      </c>
    </row>
    <row r="1388" spans="1:5" ht="14.4" x14ac:dyDescent="0.3">
      <c r="A1388" s="20" t="s">
        <v>7807</v>
      </c>
      <c r="B1388" s="1" t="s">
        <v>2945</v>
      </c>
      <c r="C1388" s="1" t="s">
        <v>3937</v>
      </c>
      <c r="D1388" s="1" t="s">
        <v>3938</v>
      </c>
      <c r="E1388" s="1">
        <v>11500000</v>
      </c>
    </row>
    <row r="1389" spans="1:5" ht="14.4" x14ac:dyDescent="0.3">
      <c r="A1389" s="20" t="s">
        <v>7808</v>
      </c>
      <c r="B1389" s="1" t="s">
        <v>93</v>
      </c>
      <c r="C1389" s="1" t="s">
        <v>2888</v>
      </c>
      <c r="D1389" s="1" t="s">
        <v>3939</v>
      </c>
      <c r="E1389" s="1">
        <v>37500000</v>
      </c>
    </row>
    <row r="1390" spans="1:5" ht="14.4" x14ac:dyDescent="0.3">
      <c r="A1390" s="20" t="s">
        <v>7809</v>
      </c>
      <c r="B1390" s="1" t="s">
        <v>242</v>
      </c>
      <c r="C1390" s="1" t="s">
        <v>246</v>
      </c>
      <c r="D1390" s="1" t="s">
        <v>3940</v>
      </c>
      <c r="E1390" s="1">
        <v>20000000</v>
      </c>
    </row>
    <row r="1391" spans="1:5" ht="14.4" x14ac:dyDescent="0.3">
      <c r="A1391" s="20" t="s">
        <v>7810</v>
      </c>
      <c r="B1391" s="1" t="s">
        <v>317</v>
      </c>
      <c r="C1391" s="1" t="s">
        <v>324</v>
      </c>
      <c r="D1391" s="1" t="s">
        <v>3941</v>
      </c>
      <c r="E1391" s="1">
        <v>21400000</v>
      </c>
    </row>
    <row r="1392" spans="1:5" ht="14.4" x14ac:dyDescent="0.3">
      <c r="A1392" s="20" t="s">
        <v>7811</v>
      </c>
      <c r="B1392" s="1" t="s">
        <v>167</v>
      </c>
      <c r="C1392" s="1" t="s">
        <v>3119</v>
      </c>
      <c r="D1392" s="1" t="s">
        <v>3942</v>
      </c>
      <c r="E1392" s="1">
        <v>7090000</v>
      </c>
    </row>
    <row r="1393" spans="1:5" ht="14.4" x14ac:dyDescent="0.3">
      <c r="A1393" s="20" t="s">
        <v>7812</v>
      </c>
      <c r="B1393" s="1" t="s">
        <v>72</v>
      </c>
      <c r="C1393" s="1">
        <v>560</v>
      </c>
      <c r="D1393" s="1" t="s">
        <v>3943</v>
      </c>
      <c r="E1393" s="1">
        <v>8900000</v>
      </c>
    </row>
    <row r="1394" spans="1:5" ht="14.4" x14ac:dyDescent="0.3">
      <c r="A1394" s="20" t="s">
        <v>7813</v>
      </c>
      <c r="B1394" s="1" t="s">
        <v>181</v>
      </c>
      <c r="C1394" s="1" t="s">
        <v>3944</v>
      </c>
      <c r="D1394" s="1" t="s">
        <v>3945</v>
      </c>
      <c r="E1394" s="1">
        <v>7880000</v>
      </c>
    </row>
    <row r="1395" spans="1:5" ht="14.4" x14ac:dyDescent="0.3">
      <c r="A1395" s="20" t="s">
        <v>7814</v>
      </c>
      <c r="B1395" s="1" t="s">
        <v>334</v>
      </c>
      <c r="C1395" s="1" t="s">
        <v>2976</v>
      </c>
      <c r="D1395" s="1" t="s">
        <v>3946</v>
      </c>
      <c r="E1395" s="1">
        <v>14000000</v>
      </c>
    </row>
    <row r="1396" spans="1:5" ht="14.4" x14ac:dyDescent="0.3">
      <c r="A1396" s="20" t="s">
        <v>7815</v>
      </c>
      <c r="B1396" s="1" t="s">
        <v>339</v>
      </c>
      <c r="C1396" s="1" t="s">
        <v>3104</v>
      </c>
      <c r="D1396" s="1" t="s">
        <v>3947</v>
      </c>
      <c r="E1396" s="1">
        <v>7680000</v>
      </c>
    </row>
    <row r="1397" spans="1:5" ht="14.4" x14ac:dyDescent="0.3">
      <c r="A1397" s="20" t="s">
        <v>7816</v>
      </c>
      <c r="B1397" s="1" t="s">
        <v>229</v>
      </c>
      <c r="C1397" s="1" t="s">
        <v>3218</v>
      </c>
      <c r="D1397" s="1" t="s">
        <v>3948</v>
      </c>
      <c r="E1397" s="1">
        <v>20500000</v>
      </c>
    </row>
    <row r="1398" spans="1:5" ht="14.4" x14ac:dyDescent="0.3">
      <c r="A1398" s="20" t="s">
        <v>7817</v>
      </c>
      <c r="B1398" s="1" t="s">
        <v>195</v>
      </c>
      <c r="C1398" s="1" t="s">
        <v>198</v>
      </c>
      <c r="D1398" s="1" t="s">
        <v>3949</v>
      </c>
      <c r="E1398" s="1">
        <v>20900000</v>
      </c>
    </row>
    <row r="1399" spans="1:5" ht="14.4" x14ac:dyDescent="0.3">
      <c r="A1399" s="20" t="s">
        <v>7818</v>
      </c>
      <c r="B1399" s="1" t="s">
        <v>2910</v>
      </c>
      <c r="C1399" s="1" t="s">
        <v>2911</v>
      </c>
      <c r="D1399" s="1" t="s">
        <v>3950</v>
      </c>
      <c r="E1399" s="1">
        <v>7770000</v>
      </c>
    </row>
    <row r="1400" spans="1:5" ht="14.4" x14ac:dyDescent="0.3">
      <c r="A1400" s="20" t="s">
        <v>7819</v>
      </c>
      <c r="B1400" s="1" t="s">
        <v>2910</v>
      </c>
      <c r="C1400" s="1" t="s">
        <v>3075</v>
      </c>
      <c r="D1400" s="1" t="s">
        <v>392</v>
      </c>
      <c r="E1400" s="1">
        <v>11500000</v>
      </c>
    </row>
    <row r="1401" spans="1:5" ht="14.4" x14ac:dyDescent="0.3">
      <c r="A1401" s="20" t="s">
        <v>7820</v>
      </c>
      <c r="B1401" s="1" t="s">
        <v>48</v>
      </c>
      <c r="C1401" s="1" t="s">
        <v>2892</v>
      </c>
      <c r="D1401" s="1" t="s">
        <v>3951</v>
      </c>
      <c r="E1401" s="1">
        <v>10200000</v>
      </c>
    </row>
    <row r="1402" spans="1:5" ht="14.4" x14ac:dyDescent="0.3">
      <c r="A1402" s="20" t="s">
        <v>7821</v>
      </c>
      <c r="B1402" s="1" t="s">
        <v>260</v>
      </c>
      <c r="C1402" s="1" t="s">
        <v>69</v>
      </c>
      <c r="D1402" s="1" t="s">
        <v>3952</v>
      </c>
      <c r="E1402" s="1">
        <v>14000000</v>
      </c>
    </row>
    <row r="1403" spans="1:5" ht="14.4" x14ac:dyDescent="0.3">
      <c r="A1403" s="20" t="s">
        <v>7822</v>
      </c>
      <c r="B1403" s="1" t="s">
        <v>30</v>
      </c>
      <c r="C1403" s="1" t="s">
        <v>41</v>
      </c>
      <c r="D1403" s="1" t="s">
        <v>3953</v>
      </c>
      <c r="E1403" s="1">
        <v>13000000</v>
      </c>
    </row>
    <row r="1404" spans="1:5" ht="14.4" x14ac:dyDescent="0.3">
      <c r="A1404" s="20" t="s">
        <v>7823</v>
      </c>
      <c r="B1404" s="1" t="s">
        <v>19</v>
      </c>
      <c r="C1404" s="1" t="s">
        <v>3726</v>
      </c>
      <c r="D1404" s="1" t="s">
        <v>24</v>
      </c>
      <c r="E1404" s="1">
        <v>39800000</v>
      </c>
    </row>
    <row r="1405" spans="1:5" ht="14.4" x14ac:dyDescent="0.3">
      <c r="A1405" s="20" t="s">
        <v>7824</v>
      </c>
      <c r="B1405" s="1" t="s">
        <v>48</v>
      </c>
      <c r="C1405" s="1" t="s">
        <v>49</v>
      </c>
      <c r="D1405" s="1" t="s">
        <v>3954</v>
      </c>
      <c r="E1405" s="1">
        <v>11600000</v>
      </c>
    </row>
    <row r="1406" spans="1:5" ht="14.4" x14ac:dyDescent="0.3">
      <c r="A1406" s="20" t="s">
        <v>7825</v>
      </c>
      <c r="B1406" s="1" t="s">
        <v>93</v>
      </c>
      <c r="C1406" s="1" t="s">
        <v>2919</v>
      </c>
      <c r="D1406" s="1" t="s">
        <v>3955</v>
      </c>
      <c r="E1406" s="1">
        <v>42700000</v>
      </c>
    </row>
    <row r="1407" spans="1:5" ht="14.4" x14ac:dyDescent="0.3">
      <c r="A1407" s="20" t="s">
        <v>7826</v>
      </c>
      <c r="B1407" s="1" t="s">
        <v>3362</v>
      </c>
      <c r="C1407" s="1" t="s">
        <v>3956</v>
      </c>
      <c r="D1407" s="1" t="s">
        <v>3957</v>
      </c>
      <c r="E1407" s="1">
        <v>13800000</v>
      </c>
    </row>
    <row r="1408" spans="1:5" ht="14.4" x14ac:dyDescent="0.3">
      <c r="A1408" s="20" t="s">
        <v>7827</v>
      </c>
      <c r="B1408" s="1" t="s">
        <v>264</v>
      </c>
      <c r="C1408" s="1" t="s">
        <v>3576</v>
      </c>
      <c r="D1408" s="1" t="s">
        <v>3958</v>
      </c>
      <c r="E1408" s="1">
        <v>22800000</v>
      </c>
    </row>
    <row r="1409" spans="1:5" ht="14.4" x14ac:dyDescent="0.3">
      <c r="A1409" s="20" t="s">
        <v>7828</v>
      </c>
      <c r="B1409" s="1" t="s">
        <v>72</v>
      </c>
      <c r="C1409" s="1" t="s">
        <v>2980</v>
      </c>
      <c r="D1409" s="1" t="s">
        <v>386</v>
      </c>
      <c r="E1409" s="1">
        <v>7700000</v>
      </c>
    </row>
    <row r="1410" spans="1:5" ht="14.4" x14ac:dyDescent="0.3">
      <c r="A1410" s="20" t="s">
        <v>7829</v>
      </c>
      <c r="B1410" s="1" t="s">
        <v>72</v>
      </c>
      <c r="C1410" s="1">
        <v>600</v>
      </c>
      <c r="D1410" s="1" t="s">
        <v>3959</v>
      </c>
      <c r="E1410" s="1">
        <v>16000000</v>
      </c>
    </row>
    <row r="1411" spans="1:5" ht="14.4" x14ac:dyDescent="0.3">
      <c r="A1411" s="20" t="s">
        <v>7830</v>
      </c>
      <c r="B1411" s="1" t="s">
        <v>195</v>
      </c>
      <c r="C1411" s="1" t="s">
        <v>3074</v>
      </c>
      <c r="D1411" s="1" t="s">
        <v>3960</v>
      </c>
      <c r="E1411" s="1">
        <v>10400000</v>
      </c>
    </row>
    <row r="1412" spans="1:5" ht="14.4" x14ac:dyDescent="0.3">
      <c r="A1412" s="20" t="s">
        <v>7831</v>
      </c>
      <c r="B1412" s="1" t="s">
        <v>30</v>
      </c>
      <c r="C1412" s="1" t="s">
        <v>41</v>
      </c>
      <c r="D1412" s="1" t="s">
        <v>3961</v>
      </c>
      <c r="E1412" s="1">
        <v>13800000</v>
      </c>
    </row>
    <row r="1413" spans="1:5" ht="14.4" x14ac:dyDescent="0.3">
      <c r="A1413" s="20" t="s">
        <v>7832</v>
      </c>
      <c r="B1413" s="1" t="s">
        <v>30</v>
      </c>
      <c r="C1413" s="1" t="s">
        <v>2987</v>
      </c>
      <c r="D1413" s="1" t="s">
        <v>3962</v>
      </c>
      <c r="E1413" s="1">
        <v>8300000</v>
      </c>
    </row>
    <row r="1414" spans="1:5" ht="14.4" x14ac:dyDescent="0.3">
      <c r="A1414" s="20" t="s">
        <v>7833</v>
      </c>
      <c r="B1414" s="1" t="s">
        <v>15</v>
      </c>
      <c r="C1414" s="1" t="s">
        <v>2920</v>
      </c>
      <c r="D1414" s="1" t="s">
        <v>3963</v>
      </c>
      <c r="E1414" s="1">
        <v>8600000</v>
      </c>
    </row>
    <row r="1415" spans="1:5" ht="14.4" x14ac:dyDescent="0.3">
      <c r="A1415" s="20" t="s">
        <v>7834</v>
      </c>
      <c r="B1415" s="1" t="s">
        <v>264</v>
      </c>
      <c r="C1415" s="1" t="s">
        <v>2890</v>
      </c>
      <c r="D1415" s="1" t="s">
        <v>3964</v>
      </c>
      <c r="E1415" s="1">
        <v>17700000</v>
      </c>
    </row>
    <row r="1416" spans="1:5" ht="14.4" x14ac:dyDescent="0.3">
      <c r="A1416" s="20" t="s">
        <v>7835</v>
      </c>
      <c r="B1416" s="1" t="s">
        <v>167</v>
      </c>
      <c r="C1416" s="1" t="s">
        <v>3119</v>
      </c>
      <c r="D1416" s="1" t="s">
        <v>3965</v>
      </c>
      <c r="E1416" s="1">
        <v>5630000</v>
      </c>
    </row>
    <row r="1417" spans="1:5" ht="14.4" x14ac:dyDescent="0.3">
      <c r="A1417" s="20" t="s">
        <v>7836</v>
      </c>
      <c r="B1417" s="1" t="s">
        <v>264</v>
      </c>
      <c r="C1417" s="1" t="s">
        <v>2896</v>
      </c>
      <c r="D1417" s="1" t="s">
        <v>3966</v>
      </c>
      <c r="E1417" s="1">
        <v>14200000</v>
      </c>
    </row>
    <row r="1418" spans="1:5" ht="14.4" x14ac:dyDescent="0.3">
      <c r="A1418" s="20" t="s">
        <v>7837</v>
      </c>
      <c r="B1418" s="1" t="s">
        <v>3362</v>
      </c>
      <c r="C1418" s="1" t="s">
        <v>3363</v>
      </c>
      <c r="D1418" s="1" t="s">
        <v>3967</v>
      </c>
      <c r="E1418" s="1">
        <v>12300000</v>
      </c>
    </row>
    <row r="1419" spans="1:5" ht="14.4" x14ac:dyDescent="0.3">
      <c r="A1419" s="20" t="s">
        <v>7838</v>
      </c>
      <c r="B1419" s="1" t="s">
        <v>93</v>
      </c>
      <c r="C1419" s="1" t="s">
        <v>2888</v>
      </c>
      <c r="D1419" s="1" t="s">
        <v>2889</v>
      </c>
      <c r="E1419" s="1">
        <v>40200000</v>
      </c>
    </row>
    <row r="1420" spans="1:5" ht="14.4" x14ac:dyDescent="0.3">
      <c r="A1420" s="20" t="s">
        <v>7839</v>
      </c>
      <c r="B1420" s="1" t="s">
        <v>317</v>
      </c>
      <c r="C1420" s="1" t="s">
        <v>318</v>
      </c>
      <c r="D1420" s="1" t="s">
        <v>3968</v>
      </c>
      <c r="E1420" s="1">
        <v>7850000</v>
      </c>
    </row>
    <row r="1421" spans="1:5" ht="14.4" x14ac:dyDescent="0.3">
      <c r="A1421" s="20" t="s">
        <v>7840</v>
      </c>
      <c r="B1421" s="1" t="s">
        <v>48</v>
      </c>
      <c r="C1421" s="1" t="s">
        <v>49</v>
      </c>
      <c r="D1421" s="1" t="s">
        <v>3969</v>
      </c>
      <c r="E1421" s="1">
        <v>11000000</v>
      </c>
    </row>
    <row r="1422" spans="1:5" ht="14.4" x14ac:dyDescent="0.3">
      <c r="A1422" s="20" t="s">
        <v>7841</v>
      </c>
      <c r="B1422" s="1" t="s">
        <v>48</v>
      </c>
      <c r="C1422" s="1" t="s">
        <v>52</v>
      </c>
      <c r="D1422" s="1" t="s">
        <v>3970</v>
      </c>
      <c r="E1422" s="1">
        <v>44700000</v>
      </c>
    </row>
    <row r="1423" spans="1:5" ht="14.4" x14ac:dyDescent="0.3">
      <c r="A1423" s="20" t="s">
        <v>7842</v>
      </c>
      <c r="B1423" s="1" t="s">
        <v>48</v>
      </c>
      <c r="C1423" s="1" t="s">
        <v>52</v>
      </c>
      <c r="D1423" s="1" t="s">
        <v>3970</v>
      </c>
      <c r="E1423" s="1">
        <v>44700000</v>
      </c>
    </row>
    <row r="1424" spans="1:5" ht="14.4" x14ac:dyDescent="0.3">
      <c r="A1424" s="20" t="s">
        <v>7843</v>
      </c>
      <c r="B1424" s="1" t="s">
        <v>346</v>
      </c>
      <c r="C1424" s="1" t="s">
        <v>347</v>
      </c>
      <c r="D1424" s="1" t="s">
        <v>3971</v>
      </c>
      <c r="E1424" s="1">
        <v>13900000</v>
      </c>
    </row>
    <row r="1425" spans="1:5" ht="14.4" x14ac:dyDescent="0.3">
      <c r="A1425" s="20" t="s">
        <v>7844</v>
      </c>
      <c r="B1425" s="1" t="s">
        <v>93</v>
      </c>
      <c r="C1425" s="1" t="s">
        <v>3205</v>
      </c>
      <c r="D1425" s="1" t="s">
        <v>3206</v>
      </c>
      <c r="E1425" s="1">
        <v>16400000</v>
      </c>
    </row>
    <row r="1426" spans="1:5" ht="14.4" x14ac:dyDescent="0.3">
      <c r="A1426" s="20" t="s">
        <v>7845</v>
      </c>
      <c r="B1426" s="1" t="s">
        <v>15</v>
      </c>
      <c r="C1426" s="1" t="s">
        <v>16</v>
      </c>
      <c r="D1426" s="1" t="s">
        <v>3972</v>
      </c>
      <c r="E1426" s="1">
        <v>7190000</v>
      </c>
    </row>
    <row r="1427" spans="1:5" ht="14.4" x14ac:dyDescent="0.3">
      <c r="A1427" s="20" t="s">
        <v>7846</v>
      </c>
      <c r="B1427" s="1" t="s">
        <v>242</v>
      </c>
      <c r="C1427" s="1" t="s">
        <v>2904</v>
      </c>
      <c r="D1427" s="1" t="s">
        <v>3973</v>
      </c>
      <c r="E1427" s="1">
        <v>18800000</v>
      </c>
    </row>
    <row r="1428" spans="1:5" ht="14.4" x14ac:dyDescent="0.3">
      <c r="A1428" s="20" t="s">
        <v>7847</v>
      </c>
      <c r="B1428" s="1" t="s">
        <v>242</v>
      </c>
      <c r="C1428" s="1" t="s">
        <v>3511</v>
      </c>
      <c r="D1428" s="1" t="s">
        <v>375</v>
      </c>
      <c r="E1428" s="1">
        <v>12000000</v>
      </c>
    </row>
    <row r="1429" spans="1:5" ht="14.4" x14ac:dyDescent="0.3">
      <c r="A1429" s="20" t="s">
        <v>7848</v>
      </c>
      <c r="B1429" s="1" t="s">
        <v>242</v>
      </c>
      <c r="C1429" s="1" t="s">
        <v>246</v>
      </c>
      <c r="D1429" s="1" t="s">
        <v>1477</v>
      </c>
      <c r="E1429" s="1">
        <v>20400000</v>
      </c>
    </row>
    <row r="1430" spans="1:5" ht="14.4" x14ac:dyDescent="0.3">
      <c r="A1430" s="20" t="s">
        <v>7849</v>
      </c>
      <c r="B1430" s="1" t="s">
        <v>242</v>
      </c>
      <c r="C1430" s="1" t="s">
        <v>246</v>
      </c>
      <c r="D1430" s="1" t="s">
        <v>960</v>
      </c>
      <c r="E1430" s="1">
        <v>20700000</v>
      </c>
    </row>
    <row r="1431" spans="1:5" ht="14.4" x14ac:dyDescent="0.3">
      <c r="A1431" s="20" t="s">
        <v>7850</v>
      </c>
      <c r="B1431" s="1" t="s">
        <v>264</v>
      </c>
      <c r="C1431" s="1" t="s">
        <v>2899</v>
      </c>
      <c r="D1431" s="1" t="s">
        <v>3974</v>
      </c>
      <c r="E1431" s="1">
        <v>17000000</v>
      </c>
    </row>
    <row r="1432" spans="1:5" ht="14.4" x14ac:dyDescent="0.3">
      <c r="A1432" s="20" t="s">
        <v>7851</v>
      </c>
      <c r="B1432" s="1" t="s">
        <v>181</v>
      </c>
      <c r="C1432" s="1" t="s">
        <v>2941</v>
      </c>
      <c r="D1432" s="1" t="s">
        <v>3975</v>
      </c>
      <c r="E1432" s="1">
        <v>9900000</v>
      </c>
    </row>
    <row r="1433" spans="1:5" ht="14.4" x14ac:dyDescent="0.3">
      <c r="A1433" s="20" t="s">
        <v>7852</v>
      </c>
      <c r="B1433" s="1" t="s">
        <v>314</v>
      </c>
      <c r="C1433" s="1" t="s">
        <v>3976</v>
      </c>
      <c r="D1433" s="1" t="s">
        <v>3977</v>
      </c>
      <c r="E1433" s="1">
        <v>14400000</v>
      </c>
    </row>
    <row r="1434" spans="1:5" ht="14.4" x14ac:dyDescent="0.3">
      <c r="A1434" s="20" t="s">
        <v>7853</v>
      </c>
      <c r="B1434" s="1" t="s">
        <v>2910</v>
      </c>
      <c r="C1434" s="1" t="s">
        <v>206</v>
      </c>
      <c r="D1434" s="1" t="s">
        <v>3978</v>
      </c>
      <c r="E1434" s="1">
        <v>7890000</v>
      </c>
    </row>
    <row r="1435" spans="1:5" ht="14.4" x14ac:dyDescent="0.3">
      <c r="A1435" s="20" t="s">
        <v>7854</v>
      </c>
      <c r="B1435" s="1" t="s">
        <v>327</v>
      </c>
      <c r="C1435" s="1" t="s">
        <v>331</v>
      </c>
      <c r="D1435" s="1" t="s">
        <v>333</v>
      </c>
      <c r="E1435" s="1">
        <v>13300000</v>
      </c>
    </row>
    <row r="1436" spans="1:5" ht="14.4" x14ac:dyDescent="0.3">
      <c r="A1436" s="20" t="s">
        <v>7855</v>
      </c>
      <c r="B1436" s="1" t="s">
        <v>2906</v>
      </c>
      <c r="C1436" s="1" t="s">
        <v>3656</v>
      </c>
      <c r="D1436" s="1" t="s">
        <v>3979</v>
      </c>
      <c r="E1436" s="1">
        <v>10100000</v>
      </c>
    </row>
    <row r="1437" spans="1:5" ht="14.4" x14ac:dyDescent="0.3">
      <c r="A1437" s="20" t="s">
        <v>7856</v>
      </c>
      <c r="B1437" s="1" t="s">
        <v>264</v>
      </c>
      <c r="C1437" s="1" t="s">
        <v>2913</v>
      </c>
      <c r="D1437" s="1" t="s">
        <v>3980</v>
      </c>
      <c r="E1437" s="1">
        <v>21000000</v>
      </c>
    </row>
    <row r="1438" spans="1:5" ht="14.4" x14ac:dyDescent="0.3">
      <c r="A1438" s="20" t="s">
        <v>7857</v>
      </c>
      <c r="B1438" s="1" t="s">
        <v>242</v>
      </c>
      <c r="C1438" s="1" t="s">
        <v>3174</v>
      </c>
      <c r="D1438" s="1" t="s">
        <v>3981</v>
      </c>
      <c r="E1438" s="1">
        <v>14000000</v>
      </c>
    </row>
    <row r="1439" spans="1:5" ht="14.4" x14ac:dyDescent="0.3">
      <c r="A1439" s="20" t="s">
        <v>7858</v>
      </c>
      <c r="B1439" s="1" t="s">
        <v>15</v>
      </c>
      <c r="C1439" s="1" t="s">
        <v>16</v>
      </c>
      <c r="D1439" s="1" t="s">
        <v>3982</v>
      </c>
      <c r="E1439" s="1">
        <v>8100000</v>
      </c>
    </row>
    <row r="1440" spans="1:5" ht="14.4" x14ac:dyDescent="0.3">
      <c r="A1440" s="20" t="s">
        <v>7859</v>
      </c>
      <c r="B1440" s="1" t="s">
        <v>264</v>
      </c>
      <c r="C1440" s="1" t="s">
        <v>2917</v>
      </c>
      <c r="D1440" s="1" t="s">
        <v>447</v>
      </c>
      <c r="E1440" s="1">
        <v>23600000</v>
      </c>
    </row>
    <row r="1441" spans="1:5" ht="14.4" x14ac:dyDescent="0.3">
      <c r="A1441" s="20" t="s">
        <v>7860</v>
      </c>
      <c r="B1441" s="1" t="s">
        <v>93</v>
      </c>
      <c r="C1441" s="1" t="s">
        <v>3205</v>
      </c>
      <c r="D1441" s="1" t="s">
        <v>2889</v>
      </c>
      <c r="E1441" s="1">
        <v>15900000</v>
      </c>
    </row>
    <row r="1442" spans="1:5" ht="14.4" x14ac:dyDescent="0.3">
      <c r="A1442" s="20" t="s">
        <v>7861</v>
      </c>
      <c r="B1442" s="1" t="s">
        <v>327</v>
      </c>
      <c r="C1442" s="1" t="s">
        <v>3983</v>
      </c>
      <c r="D1442" s="1" t="s">
        <v>3984</v>
      </c>
      <c r="E1442" s="1">
        <v>8100000</v>
      </c>
    </row>
    <row r="1443" spans="1:5" ht="14.4" x14ac:dyDescent="0.3">
      <c r="A1443" s="20" t="s">
        <v>7862</v>
      </c>
      <c r="B1443" s="1" t="s">
        <v>93</v>
      </c>
      <c r="C1443" s="1" t="s">
        <v>3271</v>
      </c>
      <c r="D1443" s="1" t="s">
        <v>3985</v>
      </c>
      <c r="E1443" s="1">
        <v>23900000</v>
      </c>
    </row>
    <row r="1444" spans="1:5" ht="14.4" x14ac:dyDescent="0.3">
      <c r="A1444" s="20" t="s">
        <v>7863</v>
      </c>
      <c r="B1444" s="1" t="s">
        <v>93</v>
      </c>
      <c r="C1444" s="1" t="s">
        <v>113</v>
      </c>
      <c r="D1444" s="1" t="s">
        <v>1744</v>
      </c>
      <c r="E1444" s="1">
        <v>31800000</v>
      </c>
    </row>
    <row r="1445" spans="1:5" ht="14.4" x14ac:dyDescent="0.3">
      <c r="A1445" s="20" t="s">
        <v>7864</v>
      </c>
      <c r="B1445" s="1" t="s">
        <v>2957</v>
      </c>
      <c r="C1445" s="1" t="s">
        <v>3182</v>
      </c>
      <c r="D1445" s="1" t="s">
        <v>3986</v>
      </c>
      <c r="E1445" s="1">
        <v>12400000</v>
      </c>
    </row>
    <row r="1446" spans="1:5" ht="14.4" x14ac:dyDescent="0.3">
      <c r="A1446" s="20" t="s">
        <v>7865</v>
      </c>
      <c r="B1446" s="1" t="s">
        <v>2945</v>
      </c>
      <c r="C1446" s="1" t="s">
        <v>2994</v>
      </c>
      <c r="D1446" s="1" t="s">
        <v>3987</v>
      </c>
      <c r="E1446" s="1">
        <v>7870000</v>
      </c>
    </row>
    <row r="1447" spans="1:5" ht="14.4" x14ac:dyDescent="0.3">
      <c r="A1447" s="20" t="s">
        <v>7866</v>
      </c>
      <c r="B1447" s="1" t="s">
        <v>64</v>
      </c>
      <c r="C1447" s="1" t="s">
        <v>3562</v>
      </c>
      <c r="D1447" s="1" t="s">
        <v>3988</v>
      </c>
      <c r="E1447" s="1">
        <v>11500000</v>
      </c>
    </row>
    <row r="1448" spans="1:5" ht="14.4" x14ac:dyDescent="0.3">
      <c r="A1448" s="20" t="s">
        <v>7867</v>
      </c>
      <c r="B1448" s="1" t="s">
        <v>327</v>
      </c>
      <c r="C1448" s="1" t="s">
        <v>331</v>
      </c>
      <c r="D1448" s="1" t="s">
        <v>360</v>
      </c>
      <c r="E1448" s="1">
        <v>13700000</v>
      </c>
    </row>
    <row r="1449" spans="1:5" ht="14.4" x14ac:dyDescent="0.3">
      <c r="A1449" s="20" t="s">
        <v>7868</v>
      </c>
      <c r="B1449" s="1" t="s">
        <v>167</v>
      </c>
      <c r="C1449" s="1" t="s">
        <v>3007</v>
      </c>
      <c r="D1449" s="1" t="s">
        <v>3989</v>
      </c>
      <c r="E1449" s="1">
        <v>6550000</v>
      </c>
    </row>
    <row r="1450" spans="1:5" ht="14.4" x14ac:dyDescent="0.3">
      <c r="A1450" s="20" t="s">
        <v>7869</v>
      </c>
      <c r="B1450" s="1" t="s">
        <v>195</v>
      </c>
      <c r="C1450" s="1" t="s">
        <v>3074</v>
      </c>
      <c r="D1450" s="1" t="s">
        <v>3990</v>
      </c>
      <c r="E1450" s="1">
        <v>13100000</v>
      </c>
    </row>
    <row r="1451" spans="1:5" ht="14.4" x14ac:dyDescent="0.3">
      <c r="A1451" s="20" t="s">
        <v>7870</v>
      </c>
      <c r="B1451" s="1" t="s">
        <v>48</v>
      </c>
      <c r="C1451" s="1" t="s">
        <v>3315</v>
      </c>
      <c r="D1451" s="1" t="s">
        <v>3991</v>
      </c>
      <c r="E1451" s="1">
        <v>18900000</v>
      </c>
    </row>
    <row r="1452" spans="1:5" ht="14.4" x14ac:dyDescent="0.3">
      <c r="A1452" s="20" t="s">
        <v>7871</v>
      </c>
      <c r="B1452" s="1" t="s">
        <v>48</v>
      </c>
      <c r="C1452" s="1" t="s">
        <v>2967</v>
      </c>
      <c r="D1452" s="1" t="s">
        <v>3992</v>
      </c>
      <c r="E1452" s="1">
        <v>31300000</v>
      </c>
    </row>
    <row r="1453" spans="1:5" ht="14.4" x14ac:dyDescent="0.3">
      <c r="A1453" s="20" t="s">
        <v>7872</v>
      </c>
      <c r="B1453" s="1" t="s">
        <v>188</v>
      </c>
      <c r="C1453" s="1">
        <v>7</v>
      </c>
      <c r="D1453" s="1" t="s">
        <v>381</v>
      </c>
      <c r="E1453" s="1">
        <v>17500000</v>
      </c>
    </row>
    <row r="1454" spans="1:5" ht="14.4" x14ac:dyDescent="0.3">
      <c r="A1454" s="20" t="s">
        <v>7873</v>
      </c>
      <c r="B1454" s="1" t="s">
        <v>93</v>
      </c>
      <c r="C1454" s="1" t="s">
        <v>97</v>
      </c>
      <c r="D1454" s="1" t="s">
        <v>1901</v>
      </c>
      <c r="E1454" s="1">
        <v>9600000</v>
      </c>
    </row>
    <row r="1455" spans="1:5" ht="14.4" x14ac:dyDescent="0.3">
      <c r="A1455" s="20" t="s">
        <v>7874</v>
      </c>
      <c r="B1455" s="1" t="s">
        <v>167</v>
      </c>
      <c r="C1455" s="1" t="s">
        <v>2891</v>
      </c>
      <c r="D1455" s="1" t="s">
        <v>3993</v>
      </c>
      <c r="E1455" s="1">
        <v>11900000</v>
      </c>
    </row>
    <row r="1456" spans="1:5" ht="14.4" x14ac:dyDescent="0.3">
      <c r="A1456" s="20" t="s">
        <v>7875</v>
      </c>
      <c r="B1456" s="1" t="s">
        <v>93</v>
      </c>
      <c r="C1456" s="1" t="s">
        <v>2888</v>
      </c>
      <c r="D1456" s="1" t="s">
        <v>3994</v>
      </c>
      <c r="E1456" s="1">
        <v>27800000</v>
      </c>
    </row>
    <row r="1457" spans="1:5" ht="14.4" x14ac:dyDescent="0.3">
      <c r="A1457" s="20" t="s">
        <v>7876</v>
      </c>
      <c r="B1457" s="1" t="s">
        <v>167</v>
      </c>
      <c r="C1457" s="1" t="s">
        <v>3995</v>
      </c>
      <c r="D1457" s="1" t="s">
        <v>3996</v>
      </c>
      <c r="E1457" s="1">
        <v>16800000</v>
      </c>
    </row>
    <row r="1458" spans="1:5" ht="14.4" x14ac:dyDescent="0.3">
      <c r="A1458" s="20" t="s">
        <v>7877</v>
      </c>
      <c r="B1458" s="1" t="s">
        <v>264</v>
      </c>
      <c r="C1458" s="1" t="s">
        <v>3681</v>
      </c>
      <c r="D1458" s="1" t="s">
        <v>3997</v>
      </c>
      <c r="E1458" s="1">
        <v>26000000</v>
      </c>
    </row>
    <row r="1459" spans="1:5" ht="14.4" x14ac:dyDescent="0.3">
      <c r="A1459" s="20" t="s">
        <v>7878</v>
      </c>
      <c r="B1459" s="1" t="s">
        <v>15</v>
      </c>
      <c r="C1459" s="1" t="s">
        <v>16</v>
      </c>
      <c r="D1459" s="1" t="s">
        <v>3998</v>
      </c>
      <c r="E1459" s="1">
        <v>7870000</v>
      </c>
    </row>
    <row r="1460" spans="1:5" ht="14.4" x14ac:dyDescent="0.3">
      <c r="A1460" s="20" t="s">
        <v>7879</v>
      </c>
      <c r="B1460" s="1" t="s">
        <v>2910</v>
      </c>
      <c r="C1460" s="1" t="s">
        <v>2911</v>
      </c>
      <c r="D1460" s="1" t="s">
        <v>366</v>
      </c>
      <c r="E1460" s="1">
        <v>7720000</v>
      </c>
    </row>
    <row r="1461" spans="1:5" ht="14.4" x14ac:dyDescent="0.3">
      <c r="A1461" s="20" t="s">
        <v>7880</v>
      </c>
      <c r="B1461" s="1" t="s">
        <v>93</v>
      </c>
      <c r="C1461" s="1" t="s">
        <v>143</v>
      </c>
      <c r="D1461" s="1" t="s">
        <v>3999</v>
      </c>
      <c r="E1461" s="1">
        <v>13700000</v>
      </c>
    </row>
    <row r="1462" spans="1:5" ht="14.4" x14ac:dyDescent="0.3">
      <c r="A1462" s="20" t="s">
        <v>7881</v>
      </c>
      <c r="B1462" s="1" t="s">
        <v>93</v>
      </c>
      <c r="C1462" s="1" t="s">
        <v>2919</v>
      </c>
      <c r="D1462" s="1" t="s">
        <v>4000</v>
      </c>
      <c r="E1462" s="1">
        <v>46100000</v>
      </c>
    </row>
    <row r="1463" spans="1:5" ht="14.4" x14ac:dyDescent="0.3">
      <c r="A1463" s="20" t="s">
        <v>7882</v>
      </c>
      <c r="B1463" s="1" t="s">
        <v>30</v>
      </c>
      <c r="C1463" s="1" t="s">
        <v>2908</v>
      </c>
      <c r="D1463" s="1" t="s">
        <v>377</v>
      </c>
      <c r="E1463" s="1">
        <v>6550000</v>
      </c>
    </row>
    <row r="1464" spans="1:5" ht="14.4" x14ac:dyDescent="0.3">
      <c r="A1464" s="20" t="s">
        <v>7883</v>
      </c>
      <c r="B1464" s="1" t="s">
        <v>64</v>
      </c>
      <c r="C1464" s="1" t="s">
        <v>2932</v>
      </c>
      <c r="D1464" s="1" t="s">
        <v>4001</v>
      </c>
      <c r="E1464" s="1">
        <v>14400000</v>
      </c>
    </row>
    <row r="1465" spans="1:5" ht="14.4" x14ac:dyDescent="0.3">
      <c r="A1465" s="20" t="s">
        <v>7884</v>
      </c>
      <c r="B1465" s="1" t="s">
        <v>30</v>
      </c>
      <c r="C1465" s="1" t="s">
        <v>41</v>
      </c>
      <c r="D1465" s="1" t="s">
        <v>4002</v>
      </c>
      <c r="E1465" s="1">
        <v>11300000</v>
      </c>
    </row>
    <row r="1466" spans="1:5" ht="14.4" x14ac:dyDescent="0.3">
      <c r="A1466" s="20" t="s">
        <v>7885</v>
      </c>
      <c r="B1466" s="1" t="s">
        <v>48</v>
      </c>
      <c r="C1466" s="1" t="s">
        <v>3344</v>
      </c>
      <c r="D1466" s="1" t="s">
        <v>4003</v>
      </c>
      <c r="E1466" s="1">
        <v>17000000</v>
      </c>
    </row>
    <row r="1467" spans="1:5" ht="14.4" x14ac:dyDescent="0.3">
      <c r="A1467" s="20" t="s">
        <v>7886</v>
      </c>
      <c r="B1467" s="1" t="s">
        <v>195</v>
      </c>
      <c r="C1467" s="1" t="s">
        <v>198</v>
      </c>
      <c r="D1467" s="1" t="s">
        <v>4004</v>
      </c>
      <c r="E1467" s="1">
        <v>29200000</v>
      </c>
    </row>
    <row r="1468" spans="1:5" ht="14.4" x14ac:dyDescent="0.3">
      <c r="A1468" s="20" t="s">
        <v>7887</v>
      </c>
      <c r="B1468" s="1" t="s">
        <v>339</v>
      </c>
      <c r="C1468" s="1" t="s">
        <v>4005</v>
      </c>
      <c r="D1468" s="1" t="s">
        <v>4006</v>
      </c>
      <c r="E1468" s="1">
        <v>6290000</v>
      </c>
    </row>
    <row r="1469" spans="1:5" ht="14.4" x14ac:dyDescent="0.3">
      <c r="A1469" s="20" t="s">
        <v>7888</v>
      </c>
      <c r="B1469" s="1" t="s">
        <v>229</v>
      </c>
      <c r="C1469" s="1">
        <v>6</v>
      </c>
      <c r="D1469" s="1" t="s">
        <v>4007</v>
      </c>
      <c r="E1469" s="1">
        <v>14100000</v>
      </c>
    </row>
    <row r="1470" spans="1:5" ht="14.4" x14ac:dyDescent="0.3">
      <c r="A1470" s="20" t="s">
        <v>7889</v>
      </c>
      <c r="B1470" s="1" t="s">
        <v>2910</v>
      </c>
      <c r="C1470" s="1" t="s">
        <v>212</v>
      </c>
      <c r="D1470" s="1" t="s">
        <v>4008</v>
      </c>
      <c r="E1470" s="1">
        <v>14000000</v>
      </c>
    </row>
    <row r="1471" spans="1:5" ht="14.4" x14ac:dyDescent="0.3">
      <c r="A1471" s="20" t="s">
        <v>7890</v>
      </c>
      <c r="B1471" s="1" t="s">
        <v>30</v>
      </c>
      <c r="C1471" s="1" t="s">
        <v>45</v>
      </c>
      <c r="D1471" s="1" t="s">
        <v>4009</v>
      </c>
      <c r="E1471" s="1">
        <v>12100000</v>
      </c>
    </row>
    <row r="1472" spans="1:5" ht="14.4" x14ac:dyDescent="0.3">
      <c r="A1472" s="20" t="s">
        <v>7891</v>
      </c>
      <c r="B1472" s="1" t="s">
        <v>264</v>
      </c>
      <c r="C1472" s="1" t="s">
        <v>293</v>
      </c>
      <c r="D1472" s="1" t="s">
        <v>299</v>
      </c>
      <c r="E1472" s="1">
        <v>20100000</v>
      </c>
    </row>
    <row r="1473" spans="1:5" ht="14.4" x14ac:dyDescent="0.3">
      <c r="A1473" s="20" t="s">
        <v>7892</v>
      </c>
      <c r="B1473" s="1" t="s">
        <v>327</v>
      </c>
      <c r="C1473" s="1" t="s">
        <v>331</v>
      </c>
      <c r="D1473" s="1" t="s">
        <v>4010</v>
      </c>
      <c r="E1473" s="1">
        <v>15200000</v>
      </c>
    </row>
    <row r="1474" spans="1:5" ht="14.4" x14ac:dyDescent="0.3">
      <c r="A1474" s="20" t="s">
        <v>7893</v>
      </c>
      <c r="B1474" s="1" t="s">
        <v>339</v>
      </c>
      <c r="C1474" s="1" t="s">
        <v>4011</v>
      </c>
      <c r="D1474" s="1" t="s">
        <v>4012</v>
      </c>
      <c r="E1474" s="1">
        <v>20500000</v>
      </c>
    </row>
    <row r="1475" spans="1:5" ht="14.4" x14ac:dyDescent="0.3">
      <c r="A1475" s="20" t="s">
        <v>7894</v>
      </c>
      <c r="B1475" s="1" t="s">
        <v>264</v>
      </c>
      <c r="C1475" s="1" t="s">
        <v>2913</v>
      </c>
      <c r="D1475" s="1" t="s">
        <v>3980</v>
      </c>
      <c r="E1475" s="1">
        <v>21200000</v>
      </c>
    </row>
    <row r="1476" spans="1:5" ht="14.4" x14ac:dyDescent="0.3">
      <c r="A1476" s="20" t="s">
        <v>7895</v>
      </c>
      <c r="B1476" s="1" t="s">
        <v>242</v>
      </c>
      <c r="C1476" s="1" t="s">
        <v>254</v>
      </c>
      <c r="D1476" s="1" t="s">
        <v>4013</v>
      </c>
      <c r="E1476" s="1">
        <v>8600000</v>
      </c>
    </row>
    <row r="1477" spans="1:5" ht="14.4" x14ac:dyDescent="0.3">
      <c r="A1477" s="20" t="s">
        <v>7896</v>
      </c>
      <c r="B1477" s="1" t="s">
        <v>167</v>
      </c>
      <c r="C1477" s="1" t="s">
        <v>3201</v>
      </c>
      <c r="D1477" s="1" t="s">
        <v>4014</v>
      </c>
      <c r="E1477" s="1">
        <v>12900000</v>
      </c>
    </row>
    <row r="1478" spans="1:5" ht="14.4" x14ac:dyDescent="0.3">
      <c r="A1478" s="20" t="s">
        <v>7897</v>
      </c>
      <c r="B1478" s="1" t="s">
        <v>167</v>
      </c>
      <c r="C1478" s="1" t="s">
        <v>3437</v>
      </c>
      <c r="D1478" s="1" t="s">
        <v>4015</v>
      </c>
      <c r="E1478" s="1">
        <v>17500000</v>
      </c>
    </row>
    <row r="1479" spans="1:5" ht="14.4" x14ac:dyDescent="0.3">
      <c r="A1479" s="20" t="s">
        <v>7898</v>
      </c>
      <c r="B1479" s="1" t="s">
        <v>264</v>
      </c>
      <c r="C1479" s="1" t="s">
        <v>2917</v>
      </c>
      <c r="D1479" s="1" t="s">
        <v>4016</v>
      </c>
      <c r="E1479" s="1">
        <v>22200000</v>
      </c>
    </row>
    <row r="1480" spans="1:5" ht="14.4" x14ac:dyDescent="0.3">
      <c r="A1480" s="20" t="s">
        <v>7899</v>
      </c>
      <c r="B1480" s="1" t="s">
        <v>264</v>
      </c>
      <c r="C1480" s="1" t="s">
        <v>3042</v>
      </c>
      <c r="D1480" s="1" t="s">
        <v>4017</v>
      </c>
      <c r="E1480" s="1">
        <v>16400000</v>
      </c>
    </row>
    <row r="1481" spans="1:5" ht="14.4" x14ac:dyDescent="0.3">
      <c r="A1481" s="20" t="s">
        <v>7900</v>
      </c>
      <c r="B1481" s="1" t="s">
        <v>2957</v>
      </c>
      <c r="C1481" s="1" t="s">
        <v>4018</v>
      </c>
      <c r="D1481" s="1" t="s">
        <v>372</v>
      </c>
      <c r="E1481" s="1">
        <v>15100000</v>
      </c>
    </row>
    <row r="1482" spans="1:5" ht="14.4" x14ac:dyDescent="0.3">
      <c r="A1482" s="20" t="s">
        <v>7901</v>
      </c>
      <c r="B1482" s="1" t="s">
        <v>64</v>
      </c>
      <c r="C1482" s="1" t="s">
        <v>65</v>
      </c>
      <c r="D1482" s="1" t="s">
        <v>4019</v>
      </c>
      <c r="E1482" s="1">
        <v>10700000</v>
      </c>
    </row>
    <row r="1483" spans="1:5" ht="14.4" x14ac:dyDescent="0.3">
      <c r="A1483" s="20" t="s">
        <v>7902</v>
      </c>
      <c r="B1483" s="1" t="s">
        <v>64</v>
      </c>
      <c r="C1483" s="1" t="s">
        <v>65</v>
      </c>
      <c r="D1483" s="1" t="s">
        <v>4019</v>
      </c>
      <c r="E1483" s="1">
        <v>10900000</v>
      </c>
    </row>
    <row r="1484" spans="1:5" ht="14.4" x14ac:dyDescent="0.3">
      <c r="A1484" s="20" t="s">
        <v>7903</v>
      </c>
      <c r="B1484" s="1" t="s">
        <v>242</v>
      </c>
      <c r="C1484" s="1" t="s">
        <v>2921</v>
      </c>
      <c r="D1484" s="1" t="s">
        <v>2889</v>
      </c>
      <c r="E1484" s="1">
        <v>19000000</v>
      </c>
    </row>
    <row r="1485" spans="1:5" ht="14.4" x14ac:dyDescent="0.3">
      <c r="A1485" s="20" t="s">
        <v>7904</v>
      </c>
      <c r="B1485" s="1" t="s">
        <v>30</v>
      </c>
      <c r="C1485" s="1" t="s">
        <v>2987</v>
      </c>
      <c r="D1485" s="1" t="s">
        <v>4020</v>
      </c>
      <c r="E1485" s="1">
        <v>7980000</v>
      </c>
    </row>
    <row r="1486" spans="1:5" ht="14.4" x14ac:dyDescent="0.3">
      <c r="A1486" s="20" t="s">
        <v>7905</v>
      </c>
      <c r="B1486" s="1" t="s">
        <v>314</v>
      </c>
      <c r="C1486" s="1" t="s">
        <v>2977</v>
      </c>
      <c r="D1486" s="1" t="s">
        <v>4021</v>
      </c>
      <c r="E1486" s="1">
        <v>10000000</v>
      </c>
    </row>
    <row r="1487" spans="1:5" ht="14.4" x14ac:dyDescent="0.3">
      <c r="A1487" s="20" t="s">
        <v>7906</v>
      </c>
      <c r="B1487" s="1" t="s">
        <v>48</v>
      </c>
      <c r="C1487" s="1" t="s">
        <v>2967</v>
      </c>
      <c r="D1487" s="1" t="s">
        <v>3992</v>
      </c>
      <c r="E1487" s="1">
        <v>31300000</v>
      </c>
    </row>
    <row r="1488" spans="1:5" ht="14.4" x14ac:dyDescent="0.3">
      <c r="A1488" s="20" t="s">
        <v>7907</v>
      </c>
      <c r="B1488" s="1" t="s">
        <v>30</v>
      </c>
      <c r="C1488" s="1" t="s">
        <v>41</v>
      </c>
      <c r="D1488" s="1" t="s">
        <v>4022</v>
      </c>
      <c r="E1488" s="1">
        <v>12700000</v>
      </c>
    </row>
    <row r="1489" spans="1:5" ht="14.4" x14ac:dyDescent="0.3">
      <c r="A1489" s="20" t="s">
        <v>7908</v>
      </c>
      <c r="B1489" s="1" t="s">
        <v>93</v>
      </c>
      <c r="C1489" s="1" t="s">
        <v>3205</v>
      </c>
      <c r="D1489" s="1" t="s">
        <v>4023</v>
      </c>
      <c r="E1489" s="1">
        <v>17900000</v>
      </c>
    </row>
    <row r="1490" spans="1:5" ht="14.4" x14ac:dyDescent="0.3">
      <c r="A1490" s="20" t="s">
        <v>7909</v>
      </c>
      <c r="B1490" s="1" t="s">
        <v>242</v>
      </c>
      <c r="C1490" s="1" t="s">
        <v>3511</v>
      </c>
      <c r="D1490" s="1" t="s">
        <v>4024</v>
      </c>
      <c r="E1490" s="1">
        <v>10200000</v>
      </c>
    </row>
    <row r="1491" spans="1:5" ht="14.4" x14ac:dyDescent="0.3">
      <c r="A1491" s="20" t="s">
        <v>7910</v>
      </c>
      <c r="B1491" s="1" t="s">
        <v>2910</v>
      </c>
      <c r="C1491" s="1" t="s">
        <v>212</v>
      </c>
      <c r="D1491" s="1" t="s">
        <v>214</v>
      </c>
      <c r="E1491" s="1">
        <v>16900000</v>
      </c>
    </row>
    <row r="1492" spans="1:5" ht="14.4" x14ac:dyDescent="0.3">
      <c r="A1492" s="20" t="s">
        <v>7911</v>
      </c>
      <c r="B1492" s="1" t="s">
        <v>2910</v>
      </c>
      <c r="C1492" s="1" t="s">
        <v>3242</v>
      </c>
      <c r="D1492" s="1" t="s">
        <v>4025</v>
      </c>
      <c r="E1492" s="1">
        <v>19000000</v>
      </c>
    </row>
    <row r="1493" spans="1:5" ht="14.4" x14ac:dyDescent="0.3">
      <c r="A1493" s="20" t="s">
        <v>7912</v>
      </c>
      <c r="B1493" s="1" t="s">
        <v>264</v>
      </c>
      <c r="C1493" s="1">
        <v>2008</v>
      </c>
      <c r="D1493" s="1" t="s">
        <v>4026</v>
      </c>
      <c r="E1493" s="1">
        <v>12200000</v>
      </c>
    </row>
    <row r="1494" spans="1:5" ht="14.4" x14ac:dyDescent="0.3">
      <c r="A1494" s="20" t="s">
        <v>7913</v>
      </c>
      <c r="B1494" s="1" t="s">
        <v>48</v>
      </c>
      <c r="C1494" s="1" t="s">
        <v>3132</v>
      </c>
      <c r="D1494" s="1" t="s">
        <v>4027</v>
      </c>
      <c r="E1494" s="1">
        <v>14500000</v>
      </c>
    </row>
    <row r="1495" spans="1:5" ht="14.4" x14ac:dyDescent="0.3">
      <c r="A1495" s="20" t="s">
        <v>7914</v>
      </c>
      <c r="B1495" s="1" t="s">
        <v>93</v>
      </c>
      <c r="C1495" s="1" t="s">
        <v>3159</v>
      </c>
      <c r="D1495" s="1" t="s">
        <v>368</v>
      </c>
      <c r="E1495" s="1">
        <v>10100000</v>
      </c>
    </row>
    <row r="1496" spans="1:5" ht="14.4" x14ac:dyDescent="0.3">
      <c r="A1496" s="20" t="s">
        <v>7915</v>
      </c>
      <c r="B1496" s="1" t="s">
        <v>93</v>
      </c>
      <c r="C1496" s="1" t="s">
        <v>113</v>
      </c>
      <c r="D1496" s="1" t="s">
        <v>1169</v>
      </c>
      <c r="E1496" s="1">
        <v>34100000</v>
      </c>
    </row>
    <row r="1497" spans="1:5" ht="14.4" x14ac:dyDescent="0.3">
      <c r="A1497" s="20" t="s">
        <v>7916</v>
      </c>
      <c r="B1497" s="1" t="s">
        <v>334</v>
      </c>
      <c r="C1497" s="1" t="s">
        <v>4028</v>
      </c>
      <c r="D1497" s="1" t="s">
        <v>4029</v>
      </c>
      <c r="E1497" s="1">
        <v>8900000</v>
      </c>
    </row>
    <row r="1498" spans="1:5" ht="14.4" x14ac:dyDescent="0.3">
      <c r="A1498" s="20" t="s">
        <v>7917</v>
      </c>
      <c r="B1498" s="1" t="s">
        <v>93</v>
      </c>
      <c r="C1498" s="1" t="s">
        <v>143</v>
      </c>
      <c r="D1498" s="1" t="s">
        <v>715</v>
      </c>
      <c r="E1498" s="1">
        <v>12000000</v>
      </c>
    </row>
    <row r="1499" spans="1:5" ht="14.4" x14ac:dyDescent="0.3">
      <c r="A1499" s="20" t="s">
        <v>7918</v>
      </c>
      <c r="B1499" s="1" t="s">
        <v>260</v>
      </c>
      <c r="C1499" s="1" t="s">
        <v>69</v>
      </c>
      <c r="D1499" s="1" t="s">
        <v>3412</v>
      </c>
      <c r="E1499" s="1">
        <v>15400000</v>
      </c>
    </row>
    <row r="1500" spans="1:5" ht="14.4" x14ac:dyDescent="0.3">
      <c r="A1500" s="20" t="s">
        <v>7919</v>
      </c>
      <c r="B1500" s="1" t="s">
        <v>48</v>
      </c>
      <c r="C1500" s="1" t="s">
        <v>3308</v>
      </c>
      <c r="D1500" s="1" t="s">
        <v>4030</v>
      </c>
      <c r="E1500" s="1">
        <v>16100000</v>
      </c>
    </row>
    <row r="1501" spans="1:5" ht="14.4" x14ac:dyDescent="0.3">
      <c r="A1501" s="20" t="s">
        <v>7920</v>
      </c>
      <c r="B1501" s="1" t="s">
        <v>167</v>
      </c>
      <c r="C1501" s="1" t="s">
        <v>3508</v>
      </c>
      <c r="D1501" s="1" t="s">
        <v>4031</v>
      </c>
      <c r="E1501" s="1">
        <v>17400000</v>
      </c>
    </row>
    <row r="1502" spans="1:5" ht="14.4" x14ac:dyDescent="0.3">
      <c r="A1502" s="20" t="s">
        <v>7921</v>
      </c>
      <c r="B1502" s="1" t="s">
        <v>334</v>
      </c>
      <c r="C1502" s="1" t="s">
        <v>4032</v>
      </c>
      <c r="D1502" s="1" t="s">
        <v>4033</v>
      </c>
      <c r="E1502" s="1">
        <v>12300000</v>
      </c>
    </row>
    <row r="1503" spans="1:5" ht="14.4" x14ac:dyDescent="0.3">
      <c r="A1503" s="20" t="s">
        <v>7922</v>
      </c>
      <c r="B1503" s="1" t="s">
        <v>2906</v>
      </c>
      <c r="C1503" s="1" t="s">
        <v>3909</v>
      </c>
      <c r="D1503" s="1" t="s">
        <v>380</v>
      </c>
      <c r="E1503" s="1">
        <v>16000000</v>
      </c>
    </row>
    <row r="1504" spans="1:5" ht="14.4" x14ac:dyDescent="0.3">
      <c r="A1504" s="20" t="s">
        <v>7923</v>
      </c>
      <c r="B1504" s="1" t="s">
        <v>264</v>
      </c>
      <c r="C1504" s="1" t="s">
        <v>2917</v>
      </c>
      <c r="D1504" s="1" t="s">
        <v>4034</v>
      </c>
      <c r="E1504" s="1">
        <v>22300000</v>
      </c>
    </row>
    <row r="1505" spans="1:5" ht="14.4" x14ac:dyDescent="0.3">
      <c r="A1505" s="20" t="s">
        <v>7924</v>
      </c>
      <c r="B1505" s="1" t="s">
        <v>327</v>
      </c>
      <c r="C1505" s="1" t="s">
        <v>3544</v>
      </c>
      <c r="D1505" s="1" t="s">
        <v>2889</v>
      </c>
      <c r="E1505" s="1">
        <v>10600000</v>
      </c>
    </row>
    <row r="1506" spans="1:5" ht="14.4" x14ac:dyDescent="0.3">
      <c r="A1506" s="20" t="s">
        <v>7925</v>
      </c>
      <c r="B1506" s="1" t="s">
        <v>48</v>
      </c>
      <c r="C1506" s="1" t="s">
        <v>49</v>
      </c>
      <c r="D1506" s="1" t="s">
        <v>371</v>
      </c>
      <c r="E1506" s="1">
        <v>13500000</v>
      </c>
    </row>
    <row r="1507" spans="1:5" ht="14.4" x14ac:dyDescent="0.3">
      <c r="A1507" s="20" t="s">
        <v>7926</v>
      </c>
      <c r="B1507" s="1" t="s">
        <v>93</v>
      </c>
      <c r="C1507" s="1" t="s">
        <v>3205</v>
      </c>
      <c r="D1507" s="1" t="s">
        <v>4035</v>
      </c>
      <c r="E1507" s="1">
        <v>17600000</v>
      </c>
    </row>
    <row r="1508" spans="1:5" ht="14.4" x14ac:dyDescent="0.3">
      <c r="A1508" s="20" t="s">
        <v>7927</v>
      </c>
      <c r="B1508" s="1" t="s">
        <v>2910</v>
      </c>
      <c r="C1508" s="1" t="s">
        <v>3245</v>
      </c>
      <c r="D1508" s="1" t="s">
        <v>4036</v>
      </c>
      <c r="E1508" s="1">
        <v>37700000</v>
      </c>
    </row>
    <row r="1509" spans="1:5" ht="14.4" x14ac:dyDescent="0.3">
      <c r="A1509" s="20" t="s">
        <v>7928</v>
      </c>
      <c r="B1509" s="1" t="s">
        <v>2957</v>
      </c>
      <c r="C1509" s="1" t="s">
        <v>4037</v>
      </c>
      <c r="D1509" s="1" t="s">
        <v>4038</v>
      </c>
      <c r="E1509" s="1">
        <v>30600000</v>
      </c>
    </row>
    <row r="1510" spans="1:5" ht="14.4" x14ac:dyDescent="0.3">
      <c r="A1510" s="20" t="s">
        <v>7929</v>
      </c>
      <c r="B1510" s="1" t="s">
        <v>30</v>
      </c>
      <c r="C1510" s="1" t="s">
        <v>2987</v>
      </c>
      <c r="D1510" s="1" t="s">
        <v>4039</v>
      </c>
      <c r="E1510" s="1">
        <v>8100000</v>
      </c>
    </row>
    <row r="1511" spans="1:5" ht="14.4" x14ac:dyDescent="0.3">
      <c r="A1511" s="20" t="s">
        <v>7930</v>
      </c>
      <c r="B1511" s="1" t="s">
        <v>2910</v>
      </c>
      <c r="C1511" s="1" t="s">
        <v>218</v>
      </c>
      <c r="D1511" s="1" t="s">
        <v>4040</v>
      </c>
      <c r="E1511" s="1">
        <v>22000000</v>
      </c>
    </row>
    <row r="1512" spans="1:5" ht="14.4" x14ac:dyDescent="0.3">
      <c r="A1512" s="20" t="s">
        <v>7931</v>
      </c>
      <c r="B1512" s="1" t="s">
        <v>334</v>
      </c>
      <c r="C1512" s="1" t="s">
        <v>4028</v>
      </c>
      <c r="D1512" s="1" t="s">
        <v>4041</v>
      </c>
      <c r="E1512" s="1">
        <v>10700000</v>
      </c>
    </row>
    <row r="1513" spans="1:5" ht="14.4" x14ac:dyDescent="0.3">
      <c r="A1513" s="20" t="s">
        <v>7932</v>
      </c>
      <c r="B1513" s="1" t="s">
        <v>334</v>
      </c>
      <c r="C1513" s="1" t="s">
        <v>4028</v>
      </c>
      <c r="D1513" s="1" t="s">
        <v>4041</v>
      </c>
      <c r="E1513" s="1">
        <v>9900000</v>
      </c>
    </row>
    <row r="1514" spans="1:5" ht="14.4" x14ac:dyDescent="0.3">
      <c r="A1514" s="20" t="s">
        <v>7933</v>
      </c>
      <c r="B1514" s="1" t="s">
        <v>2910</v>
      </c>
      <c r="C1514" s="1" t="s">
        <v>218</v>
      </c>
      <c r="D1514" s="1" t="s">
        <v>4040</v>
      </c>
      <c r="E1514" s="1">
        <v>23100000</v>
      </c>
    </row>
    <row r="1515" spans="1:5" ht="14.4" x14ac:dyDescent="0.3">
      <c r="A1515" s="20" t="s">
        <v>7934</v>
      </c>
      <c r="B1515" s="1" t="s">
        <v>264</v>
      </c>
      <c r="C1515" s="1" t="s">
        <v>2996</v>
      </c>
      <c r="D1515" s="1" t="s">
        <v>4042</v>
      </c>
      <c r="E1515" s="1">
        <v>16000000</v>
      </c>
    </row>
    <row r="1516" spans="1:5" ht="14.4" x14ac:dyDescent="0.3">
      <c r="A1516" s="20" t="s">
        <v>7935</v>
      </c>
      <c r="B1516" s="1" t="s">
        <v>264</v>
      </c>
      <c r="C1516" s="1">
        <v>2008</v>
      </c>
      <c r="D1516" s="1" t="s">
        <v>3034</v>
      </c>
      <c r="E1516" s="1">
        <v>20000000</v>
      </c>
    </row>
    <row r="1517" spans="1:5" ht="14.4" x14ac:dyDescent="0.3">
      <c r="A1517" s="20" t="s">
        <v>7936</v>
      </c>
      <c r="B1517" s="1" t="s">
        <v>264</v>
      </c>
      <c r="C1517" s="1" t="s">
        <v>2996</v>
      </c>
      <c r="D1517" s="1" t="s">
        <v>3471</v>
      </c>
      <c r="E1517" s="1">
        <v>16700000</v>
      </c>
    </row>
    <row r="1518" spans="1:5" ht="14.4" x14ac:dyDescent="0.3">
      <c r="A1518" s="20" t="s">
        <v>7937</v>
      </c>
      <c r="B1518" s="1" t="s">
        <v>264</v>
      </c>
      <c r="C1518" s="1" t="s">
        <v>2996</v>
      </c>
      <c r="D1518" s="1" t="s">
        <v>3036</v>
      </c>
      <c r="E1518" s="1">
        <v>15700000</v>
      </c>
    </row>
    <row r="1519" spans="1:5" ht="14.4" x14ac:dyDescent="0.3">
      <c r="A1519" s="20" t="s">
        <v>7938</v>
      </c>
      <c r="B1519" s="1" t="s">
        <v>264</v>
      </c>
      <c r="C1519" s="1" t="s">
        <v>3033</v>
      </c>
      <c r="D1519" s="1" t="s">
        <v>4043</v>
      </c>
      <c r="E1519" s="1">
        <v>22500000</v>
      </c>
    </row>
    <row r="1520" spans="1:5" ht="14.4" x14ac:dyDescent="0.3">
      <c r="A1520" s="20" t="s">
        <v>7939</v>
      </c>
      <c r="B1520" s="1" t="s">
        <v>264</v>
      </c>
      <c r="C1520" s="1" t="s">
        <v>2996</v>
      </c>
      <c r="D1520" s="1" t="s">
        <v>4044</v>
      </c>
      <c r="E1520" s="1">
        <v>18200000</v>
      </c>
    </row>
    <row r="1521" spans="1:5" ht="14.4" x14ac:dyDescent="0.3">
      <c r="A1521" s="20" t="s">
        <v>7940</v>
      </c>
      <c r="B1521" s="1" t="s">
        <v>264</v>
      </c>
      <c r="C1521" s="1">
        <v>208</v>
      </c>
      <c r="D1521" s="1" t="s">
        <v>3061</v>
      </c>
      <c r="E1521" s="1">
        <v>13300000</v>
      </c>
    </row>
    <row r="1522" spans="1:5" ht="14.4" x14ac:dyDescent="0.3">
      <c r="A1522" s="20" t="s">
        <v>7941</v>
      </c>
      <c r="B1522" s="1" t="s">
        <v>260</v>
      </c>
      <c r="C1522" s="1" t="s">
        <v>69</v>
      </c>
      <c r="D1522" s="1" t="s">
        <v>4045</v>
      </c>
      <c r="E1522" s="1">
        <v>13300000</v>
      </c>
    </row>
    <row r="1523" spans="1:5" ht="14.4" x14ac:dyDescent="0.3">
      <c r="A1523" s="20" t="s">
        <v>7942</v>
      </c>
      <c r="B1523" s="1" t="s">
        <v>48</v>
      </c>
      <c r="C1523" s="1" t="s">
        <v>61</v>
      </c>
      <c r="D1523" s="1" t="s">
        <v>4046</v>
      </c>
      <c r="E1523" s="1">
        <v>14700000</v>
      </c>
    </row>
    <row r="1524" spans="1:5" ht="14.4" x14ac:dyDescent="0.3">
      <c r="A1524" s="20" t="s">
        <v>7943</v>
      </c>
      <c r="B1524" s="1" t="s">
        <v>3362</v>
      </c>
      <c r="C1524" s="1" t="s">
        <v>3363</v>
      </c>
      <c r="D1524" s="1" t="s">
        <v>4047</v>
      </c>
      <c r="E1524" s="1">
        <v>10600000</v>
      </c>
    </row>
    <row r="1525" spans="1:5" ht="14.4" x14ac:dyDescent="0.3">
      <c r="A1525" s="20" t="s">
        <v>7944</v>
      </c>
      <c r="B1525" s="1" t="s">
        <v>334</v>
      </c>
      <c r="C1525" s="1" t="s">
        <v>4048</v>
      </c>
      <c r="D1525" s="1" t="s">
        <v>4049</v>
      </c>
      <c r="E1525" s="1">
        <v>16000000</v>
      </c>
    </row>
    <row r="1526" spans="1:5" ht="14.4" x14ac:dyDescent="0.3">
      <c r="A1526" s="20" t="s">
        <v>7945</v>
      </c>
      <c r="B1526" s="1" t="s">
        <v>264</v>
      </c>
      <c r="C1526" s="1" t="s">
        <v>2925</v>
      </c>
      <c r="D1526" s="1" t="s">
        <v>2926</v>
      </c>
      <c r="E1526" s="1">
        <v>19800000</v>
      </c>
    </row>
    <row r="1527" spans="1:5" ht="14.4" x14ac:dyDescent="0.3">
      <c r="A1527" s="20" t="s">
        <v>7946</v>
      </c>
      <c r="B1527" s="1" t="s">
        <v>264</v>
      </c>
      <c r="C1527" s="1" t="s">
        <v>2925</v>
      </c>
      <c r="D1527" s="1" t="s">
        <v>4050</v>
      </c>
      <c r="E1527" s="1">
        <v>21800000</v>
      </c>
    </row>
    <row r="1528" spans="1:5" ht="14.4" x14ac:dyDescent="0.3">
      <c r="A1528" s="20" t="s">
        <v>7947</v>
      </c>
      <c r="B1528" s="1" t="s">
        <v>264</v>
      </c>
      <c r="C1528" s="1" t="s">
        <v>3005</v>
      </c>
      <c r="D1528" s="1" t="s">
        <v>4051</v>
      </c>
      <c r="E1528" s="1">
        <v>16300000</v>
      </c>
    </row>
    <row r="1529" spans="1:5" ht="14.4" x14ac:dyDescent="0.3">
      <c r="A1529" s="20" t="s">
        <v>7948</v>
      </c>
      <c r="B1529" s="1" t="s">
        <v>264</v>
      </c>
      <c r="C1529" s="1" t="s">
        <v>2890</v>
      </c>
      <c r="D1529" s="1" t="s">
        <v>3196</v>
      </c>
      <c r="E1529" s="1">
        <v>16500000</v>
      </c>
    </row>
    <row r="1530" spans="1:5" ht="14.4" x14ac:dyDescent="0.3">
      <c r="A1530" s="20" t="s">
        <v>7949</v>
      </c>
      <c r="B1530" s="1" t="s">
        <v>264</v>
      </c>
      <c r="C1530" s="1">
        <v>3008</v>
      </c>
      <c r="D1530" s="1" t="s">
        <v>3029</v>
      </c>
      <c r="E1530" s="1">
        <v>30000000</v>
      </c>
    </row>
    <row r="1531" spans="1:5" ht="14.4" x14ac:dyDescent="0.3">
      <c r="A1531" s="20" t="s">
        <v>7950</v>
      </c>
      <c r="B1531" s="1" t="s">
        <v>2957</v>
      </c>
      <c r="C1531" s="1" t="s">
        <v>4037</v>
      </c>
      <c r="D1531" s="1" t="s">
        <v>4052</v>
      </c>
      <c r="E1531" s="1">
        <v>6480000</v>
      </c>
    </row>
    <row r="1532" spans="1:5" ht="14.4" x14ac:dyDescent="0.3">
      <c r="A1532" s="20" t="s">
        <v>7951</v>
      </c>
      <c r="B1532" s="1" t="s">
        <v>93</v>
      </c>
      <c r="C1532" s="1" t="s">
        <v>3205</v>
      </c>
      <c r="D1532" s="1" t="s">
        <v>4053</v>
      </c>
      <c r="E1532" s="1">
        <v>17800000</v>
      </c>
    </row>
    <row r="1533" spans="1:5" ht="14.4" x14ac:dyDescent="0.3">
      <c r="A1533" s="20" t="s">
        <v>7952</v>
      </c>
      <c r="B1533" s="1" t="s">
        <v>93</v>
      </c>
      <c r="C1533" s="1" t="s">
        <v>3205</v>
      </c>
      <c r="D1533" s="1" t="s">
        <v>376</v>
      </c>
      <c r="E1533" s="1">
        <v>16200000</v>
      </c>
    </row>
    <row r="1534" spans="1:5" ht="14.4" x14ac:dyDescent="0.3">
      <c r="A1534" s="20" t="s">
        <v>7953</v>
      </c>
      <c r="B1534" s="1" t="s">
        <v>2910</v>
      </c>
      <c r="C1534" s="1" t="s">
        <v>218</v>
      </c>
      <c r="D1534" s="1" t="s">
        <v>4054</v>
      </c>
      <c r="E1534" s="1">
        <v>12400000</v>
      </c>
    </row>
    <row r="1535" spans="1:5" ht="14.4" x14ac:dyDescent="0.3">
      <c r="A1535" s="20" t="s">
        <v>7954</v>
      </c>
      <c r="B1535" s="1" t="s">
        <v>2933</v>
      </c>
      <c r="C1535" s="1" t="s">
        <v>3727</v>
      </c>
      <c r="D1535" s="1" t="s">
        <v>2889</v>
      </c>
      <c r="E1535" s="1">
        <v>14700000</v>
      </c>
    </row>
    <row r="1536" spans="1:5" ht="14.4" x14ac:dyDescent="0.3">
      <c r="A1536" s="20" t="s">
        <v>7955</v>
      </c>
      <c r="B1536" s="1" t="s">
        <v>242</v>
      </c>
      <c r="C1536" s="1" t="s">
        <v>2989</v>
      </c>
      <c r="D1536" s="1" t="s">
        <v>4055</v>
      </c>
      <c r="E1536" s="1">
        <v>12100000</v>
      </c>
    </row>
    <row r="1537" spans="1:5" ht="14.4" x14ac:dyDescent="0.3">
      <c r="A1537" s="20" t="s">
        <v>7956</v>
      </c>
      <c r="B1537" s="1" t="s">
        <v>93</v>
      </c>
      <c r="C1537" s="1" t="s">
        <v>2919</v>
      </c>
      <c r="D1537" s="1" t="s">
        <v>379</v>
      </c>
      <c r="E1537" s="1">
        <v>44100000</v>
      </c>
    </row>
    <row r="1538" spans="1:5" ht="14.4" x14ac:dyDescent="0.3">
      <c r="A1538" s="20" t="s">
        <v>7957</v>
      </c>
      <c r="B1538" s="1" t="s">
        <v>48</v>
      </c>
      <c r="C1538" s="1" t="s">
        <v>52</v>
      </c>
      <c r="D1538" s="1" t="s">
        <v>4056</v>
      </c>
      <c r="E1538" s="1">
        <v>54000000</v>
      </c>
    </row>
    <row r="1539" spans="1:5" ht="14.4" x14ac:dyDescent="0.3">
      <c r="A1539" s="20" t="s">
        <v>7958</v>
      </c>
      <c r="B1539" s="1" t="s">
        <v>264</v>
      </c>
      <c r="C1539" s="1" t="s">
        <v>4057</v>
      </c>
      <c r="D1539" s="1" t="s">
        <v>4058</v>
      </c>
      <c r="E1539" s="1">
        <v>25200000</v>
      </c>
    </row>
    <row r="1540" spans="1:5" ht="14.4" x14ac:dyDescent="0.3">
      <c r="A1540" s="20" t="s">
        <v>7959</v>
      </c>
      <c r="B1540" s="1" t="s">
        <v>15</v>
      </c>
      <c r="C1540" s="1" t="s">
        <v>2920</v>
      </c>
      <c r="D1540" s="1" t="s">
        <v>4059</v>
      </c>
      <c r="E1540" s="1">
        <v>9400000</v>
      </c>
    </row>
    <row r="1541" spans="1:5" ht="14.4" x14ac:dyDescent="0.3">
      <c r="A1541" s="20" t="s">
        <v>7960</v>
      </c>
      <c r="B1541" s="1" t="s">
        <v>264</v>
      </c>
      <c r="C1541" s="1">
        <v>3008</v>
      </c>
      <c r="D1541" s="1" t="s">
        <v>4060</v>
      </c>
      <c r="E1541" s="1">
        <v>19300000</v>
      </c>
    </row>
    <row r="1542" spans="1:5" ht="14.4" x14ac:dyDescent="0.3">
      <c r="A1542" s="20" t="s">
        <v>7961</v>
      </c>
      <c r="B1542" s="1" t="s">
        <v>2910</v>
      </c>
      <c r="C1542" s="1" t="s">
        <v>218</v>
      </c>
      <c r="D1542" s="1" t="s">
        <v>220</v>
      </c>
      <c r="E1542" s="1">
        <v>20700000</v>
      </c>
    </row>
    <row r="1543" spans="1:5" ht="14.4" x14ac:dyDescent="0.3">
      <c r="A1543" s="20" t="s">
        <v>7962</v>
      </c>
      <c r="B1543" s="1" t="s">
        <v>264</v>
      </c>
      <c r="C1543" s="1">
        <v>3008</v>
      </c>
      <c r="D1543" s="1" t="s">
        <v>4060</v>
      </c>
      <c r="E1543" s="1">
        <v>19300000</v>
      </c>
    </row>
    <row r="1544" spans="1:5" ht="14.4" x14ac:dyDescent="0.3">
      <c r="A1544" s="20" t="s">
        <v>7963</v>
      </c>
      <c r="B1544" s="1" t="s">
        <v>242</v>
      </c>
      <c r="C1544" s="1" t="s">
        <v>3174</v>
      </c>
      <c r="D1544" s="1" t="s">
        <v>4061</v>
      </c>
      <c r="E1544" s="1">
        <v>14400000</v>
      </c>
    </row>
    <row r="1545" spans="1:5" ht="14.4" x14ac:dyDescent="0.3">
      <c r="A1545" s="20" t="s">
        <v>7964</v>
      </c>
      <c r="B1545" s="1" t="s">
        <v>2910</v>
      </c>
      <c r="C1545" s="1" t="s">
        <v>3702</v>
      </c>
      <c r="D1545" s="1" t="s">
        <v>3703</v>
      </c>
      <c r="E1545" s="1">
        <v>13100000</v>
      </c>
    </row>
    <row r="1546" spans="1:5" ht="14.4" x14ac:dyDescent="0.3">
      <c r="A1546" s="20" t="s">
        <v>7965</v>
      </c>
      <c r="B1546" s="1" t="s">
        <v>264</v>
      </c>
      <c r="C1546" s="1" t="s">
        <v>4057</v>
      </c>
      <c r="D1546" s="1" t="s">
        <v>4058</v>
      </c>
      <c r="E1546" s="1">
        <v>25200000</v>
      </c>
    </row>
    <row r="1547" spans="1:5" ht="14.4" x14ac:dyDescent="0.3">
      <c r="A1547" s="20" t="s">
        <v>7966</v>
      </c>
      <c r="B1547" s="1" t="s">
        <v>2910</v>
      </c>
      <c r="C1547" s="1" t="s">
        <v>3702</v>
      </c>
      <c r="D1547" s="1" t="s">
        <v>3703</v>
      </c>
      <c r="E1547" s="1">
        <v>13100000</v>
      </c>
    </row>
    <row r="1548" spans="1:5" ht="14.4" x14ac:dyDescent="0.3">
      <c r="A1548" s="20" t="s">
        <v>7967</v>
      </c>
      <c r="B1548" s="1" t="s">
        <v>2910</v>
      </c>
      <c r="C1548" s="1" t="s">
        <v>3702</v>
      </c>
      <c r="D1548" s="1" t="s">
        <v>3703</v>
      </c>
      <c r="E1548" s="1">
        <v>13100000</v>
      </c>
    </row>
    <row r="1549" spans="1:5" ht="14.4" x14ac:dyDescent="0.3">
      <c r="A1549" s="20" t="s">
        <v>7968</v>
      </c>
      <c r="B1549" s="1" t="s">
        <v>167</v>
      </c>
      <c r="C1549" s="1" t="s">
        <v>3484</v>
      </c>
      <c r="D1549" s="1" t="s">
        <v>4062</v>
      </c>
      <c r="E1549" s="1">
        <v>10300000</v>
      </c>
    </row>
    <row r="1550" spans="1:5" ht="14.4" x14ac:dyDescent="0.3">
      <c r="A1550" s="20" t="s">
        <v>7969</v>
      </c>
      <c r="B1550" s="1" t="s">
        <v>3228</v>
      </c>
      <c r="C1550" s="1" t="s">
        <v>3229</v>
      </c>
      <c r="D1550" s="1" t="s">
        <v>4063</v>
      </c>
      <c r="E1550" s="1">
        <v>13400000</v>
      </c>
    </row>
    <row r="1551" spans="1:5" ht="14.4" x14ac:dyDescent="0.3">
      <c r="A1551" s="20" t="s">
        <v>7970</v>
      </c>
      <c r="B1551" s="1" t="s">
        <v>260</v>
      </c>
      <c r="C1551" s="1" t="s">
        <v>69</v>
      </c>
      <c r="D1551" s="1" t="s">
        <v>4064</v>
      </c>
      <c r="E1551" s="1">
        <v>12100000</v>
      </c>
    </row>
    <row r="1552" spans="1:5" ht="14.4" x14ac:dyDescent="0.3">
      <c r="A1552" s="20" t="s">
        <v>7971</v>
      </c>
      <c r="B1552" s="1" t="s">
        <v>64</v>
      </c>
      <c r="C1552" s="1" t="s">
        <v>3612</v>
      </c>
      <c r="D1552" s="1" t="s">
        <v>4065</v>
      </c>
      <c r="E1552" s="1">
        <v>9400000</v>
      </c>
    </row>
    <row r="1553" spans="1:5" ht="14.4" x14ac:dyDescent="0.3">
      <c r="A1553" s="20" t="s">
        <v>7972</v>
      </c>
      <c r="B1553" s="1" t="s">
        <v>303</v>
      </c>
      <c r="C1553" s="1">
        <v>700</v>
      </c>
      <c r="D1553" s="1" t="s">
        <v>4066</v>
      </c>
      <c r="E1553" s="1">
        <v>14300000</v>
      </c>
    </row>
    <row r="1554" spans="1:5" ht="14.4" x14ac:dyDescent="0.3">
      <c r="A1554" s="20" t="s">
        <v>7973</v>
      </c>
      <c r="B1554" s="1" t="s">
        <v>30</v>
      </c>
      <c r="C1554" s="1" t="s">
        <v>2908</v>
      </c>
      <c r="D1554" s="1" t="s">
        <v>373</v>
      </c>
      <c r="E1554" s="1">
        <v>8200000</v>
      </c>
    </row>
    <row r="1555" spans="1:5" ht="14.4" x14ac:dyDescent="0.3">
      <c r="A1555" s="20" t="s">
        <v>7974</v>
      </c>
      <c r="B1555" s="1" t="s">
        <v>72</v>
      </c>
      <c r="C1555" s="1">
        <v>500</v>
      </c>
      <c r="D1555" s="1" t="s">
        <v>356</v>
      </c>
      <c r="E1555" s="1">
        <v>11600000</v>
      </c>
    </row>
    <row r="1556" spans="1:5" ht="14.4" x14ac:dyDescent="0.3">
      <c r="A1556" s="20" t="s">
        <v>7975</v>
      </c>
      <c r="B1556" s="1" t="s">
        <v>93</v>
      </c>
      <c r="C1556" s="1" t="s">
        <v>100</v>
      </c>
      <c r="D1556" s="1" t="s">
        <v>4067</v>
      </c>
      <c r="E1556" s="1">
        <v>31400000</v>
      </c>
    </row>
    <row r="1557" spans="1:5" ht="14.4" x14ac:dyDescent="0.3">
      <c r="A1557" s="20" t="s">
        <v>7976</v>
      </c>
      <c r="B1557" s="1" t="s">
        <v>167</v>
      </c>
      <c r="C1557" s="1" t="s">
        <v>3508</v>
      </c>
      <c r="D1557" s="1" t="s">
        <v>177</v>
      </c>
      <c r="E1557" s="1">
        <v>20600000</v>
      </c>
    </row>
    <row r="1558" spans="1:5" ht="14.4" x14ac:dyDescent="0.3">
      <c r="A1558" s="20" t="s">
        <v>7977</v>
      </c>
      <c r="B1558" s="1" t="s">
        <v>2906</v>
      </c>
      <c r="C1558" s="1" t="s">
        <v>4068</v>
      </c>
      <c r="D1558" s="1" t="s">
        <v>4069</v>
      </c>
      <c r="E1558" s="1">
        <v>12000000</v>
      </c>
    </row>
    <row r="1559" spans="1:5" ht="14.4" x14ac:dyDescent="0.3">
      <c r="A1559" s="20" t="s">
        <v>7978</v>
      </c>
      <c r="B1559" s="1" t="s">
        <v>242</v>
      </c>
      <c r="C1559" s="1" t="s">
        <v>246</v>
      </c>
      <c r="D1559" s="1" t="s">
        <v>248</v>
      </c>
      <c r="E1559" s="1">
        <v>18000000</v>
      </c>
    </row>
    <row r="1560" spans="1:5" ht="14.4" x14ac:dyDescent="0.3">
      <c r="A1560" s="20" t="s">
        <v>7979</v>
      </c>
      <c r="B1560" s="1" t="s">
        <v>339</v>
      </c>
      <c r="C1560" s="1" t="s">
        <v>343</v>
      </c>
      <c r="D1560" s="1" t="s">
        <v>345</v>
      </c>
      <c r="E1560" s="1">
        <v>11600000</v>
      </c>
    </row>
    <row r="1561" spans="1:5" ht="14.4" x14ac:dyDescent="0.3">
      <c r="A1561" s="20" t="s">
        <v>7980</v>
      </c>
      <c r="B1561" s="1" t="s">
        <v>2961</v>
      </c>
      <c r="C1561" s="1" t="s">
        <v>4070</v>
      </c>
      <c r="D1561" s="1" t="s">
        <v>4071</v>
      </c>
      <c r="E1561" s="1">
        <v>14800000</v>
      </c>
    </row>
    <row r="1562" spans="1:5" ht="14.4" x14ac:dyDescent="0.3">
      <c r="A1562" s="20" t="s">
        <v>7981</v>
      </c>
      <c r="B1562" s="1" t="s">
        <v>2945</v>
      </c>
      <c r="C1562" s="1" t="s">
        <v>3011</v>
      </c>
      <c r="D1562" s="1" t="s">
        <v>370</v>
      </c>
      <c r="E1562" s="1">
        <v>7520000</v>
      </c>
    </row>
    <row r="1563" spans="1:5" ht="14.4" x14ac:dyDescent="0.3">
      <c r="A1563" s="20" t="s">
        <v>7982</v>
      </c>
      <c r="B1563" s="1" t="s">
        <v>188</v>
      </c>
      <c r="C1563" s="1">
        <v>7</v>
      </c>
      <c r="D1563" s="1" t="s">
        <v>190</v>
      </c>
      <c r="E1563" s="1">
        <v>17400000</v>
      </c>
    </row>
    <row r="1564" spans="1:5" ht="14.4" x14ac:dyDescent="0.3">
      <c r="A1564" s="20" t="s">
        <v>7983</v>
      </c>
      <c r="B1564" s="1" t="s">
        <v>188</v>
      </c>
      <c r="C1564" s="1">
        <v>7</v>
      </c>
      <c r="D1564" s="1" t="s">
        <v>190</v>
      </c>
      <c r="E1564" s="1">
        <v>21600000</v>
      </c>
    </row>
    <row r="1565" spans="1:5" ht="14.4" x14ac:dyDescent="0.3">
      <c r="A1565" s="20" t="s">
        <v>7984</v>
      </c>
      <c r="B1565" s="1" t="s">
        <v>236</v>
      </c>
      <c r="C1565" s="1" t="s">
        <v>3087</v>
      </c>
      <c r="D1565" s="1" t="s">
        <v>4072</v>
      </c>
      <c r="E1565" s="1">
        <v>18200000</v>
      </c>
    </row>
    <row r="1566" spans="1:5" ht="14.4" x14ac:dyDescent="0.3">
      <c r="A1566" s="20" t="s">
        <v>7985</v>
      </c>
      <c r="B1566" s="1" t="s">
        <v>167</v>
      </c>
      <c r="C1566" s="1" t="s">
        <v>3437</v>
      </c>
      <c r="D1566" s="1" t="s">
        <v>3691</v>
      </c>
      <c r="E1566" s="1">
        <v>24300000</v>
      </c>
    </row>
    <row r="1567" spans="1:5" ht="14.4" x14ac:dyDescent="0.3">
      <c r="A1567" s="20" t="s">
        <v>7986</v>
      </c>
      <c r="B1567" s="1" t="s">
        <v>346</v>
      </c>
      <c r="C1567" s="1" t="s">
        <v>347</v>
      </c>
      <c r="D1567" s="1" t="s">
        <v>351</v>
      </c>
      <c r="E1567" s="1">
        <v>11100000</v>
      </c>
    </row>
    <row r="1568" spans="1:5" ht="14.4" x14ac:dyDescent="0.3">
      <c r="A1568" s="20" t="s">
        <v>7987</v>
      </c>
      <c r="B1568" s="1" t="s">
        <v>93</v>
      </c>
      <c r="C1568" s="1" t="s">
        <v>97</v>
      </c>
      <c r="D1568" s="1" t="s">
        <v>4073</v>
      </c>
      <c r="E1568" s="1">
        <v>12400000</v>
      </c>
    </row>
    <row r="1569" spans="1:5" ht="14.4" x14ac:dyDescent="0.3">
      <c r="A1569" s="20" t="s">
        <v>7988</v>
      </c>
      <c r="B1569" s="1" t="s">
        <v>2906</v>
      </c>
      <c r="C1569" s="1" t="s">
        <v>2943</v>
      </c>
      <c r="D1569" s="1" t="s">
        <v>4074</v>
      </c>
      <c r="E1569" s="1">
        <v>8400000</v>
      </c>
    </row>
    <row r="1570" spans="1:5" ht="14.4" x14ac:dyDescent="0.3">
      <c r="A1570" s="20" t="s">
        <v>7989</v>
      </c>
      <c r="B1570" s="1" t="s">
        <v>157</v>
      </c>
      <c r="C1570" s="1" t="s">
        <v>164</v>
      </c>
      <c r="D1570" s="1" t="s">
        <v>166</v>
      </c>
      <c r="E1570" s="1">
        <v>12500000</v>
      </c>
    </row>
    <row r="1571" spans="1:5" ht="14.4" x14ac:dyDescent="0.3">
      <c r="A1571" s="20" t="s">
        <v>7990</v>
      </c>
      <c r="B1571" s="1" t="s">
        <v>2929</v>
      </c>
      <c r="C1571" s="1" t="s">
        <v>3100</v>
      </c>
      <c r="D1571" s="1" t="s">
        <v>4075</v>
      </c>
      <c r="E1571" s="1">
        <v>7430000</v>
      </c>
    </row>
    <row r="1572" spans="1:5" ht="14.4" x14ac:dyDescent="0.3">
      <c r="A1572" s="20" t="s">
        <v>7991</v>
      </c>
      <c r="B1572" s="1" t="s">
        <v>242</v>
      </c>
      <c r="C1572" s="1" t="s">
        <v>2904</v>
      </c>
      <c r="D1572" s="1" t="s">
        <v>2889</v>
      </c>
      <c r="E1572" s="1">
        <v>16500000</v>
      </c>
    </row>
    <row r="1573" spans="1:5" ht="14.4" x14ac:dyDescent="0.3">
      <c r="A1573" s="20" t="s">
        <v>7992</v>
      </c>
      <c r="B1573" s="1" t="s">
        <v>93</v>
      </c>
      <c r="C1573" s="1" t="s">
        <v>97</v>
      </c>
      <c r="D1573" s="1" t="s">
        <v>4076</v>
      </c>
      <c r="E1573" s="1">
        <v>8000000</v>
      </c>
    </row>
    <row r="1574" spans="1:5" ht="14.4" x14ac:dyDescent="0.3">
      <c r="A1574" s="20" t="s">
        <v>7993</v>
      </c>
      <c r="B1574" s="1" t="s">
        <v>236</v>
      </c>
      <c r="C1574" s="1" t="s">
        <v>237</v>
      </c>
      <c r="D1574" s="1" t="s">
        <v>241</v>
      </c>
      <c r="E1574" s="1">
        <v>27400000</v>
      </c>
    </row>
    <row r="1575" spans="1:5" ht="14.4" x14ac:dyDescent="0.3">
      <c r="A1575" s="20" t="s">
        <v>7994</v>
      </c>
      <c r="B1575" s="1" t="s">
        <v>236</v>
      </c>
      <c r="C1575" s="1" t="s">
        <v>237</v>
      </c>
      <c r="D1575" s="1" t="s">
        <v>2889</v>
      </c>
      <c r="E1575" s="1">
        <v>30000000</v>
      </c>
    </row>
    <row r="1576" spans="1:5" ht="14.4" x14ac:dyDescent="0.3">
      <c r="A1576" s="20" t="s">
        <v>7995</v>
      </c>
      <c r="B1576" s="1" t="s">
        <v>15</v>
      </c>
      <c r="C1576" s="1" t="s">
        <v>16</v>
      </c>
      <c r="D1576" s="1" t="s">
        <v>4077</v>
      </c>
      <c r="E1576" s="1">
        <v>7820000</v>
      </c>
    </row>
    <row r="1577" spans="1:5" ht="14.4" x14ac:dyDescent="0.3">
      <c r="A1577" s="20" t="s">
        <v>7996</v>
      </c>
      <c r="B1577" s="1" t="s">
        <v>93</v>
      </c>
      <c r="C1577" s="1" t="s">
        <v>3480</v>
      </c>
      <c r="D1577" s="1" t="s">
        <v>4078</v>
      </c>
      <c r="E1577" s="1">
        <v>32100000</v>
      </c>
    </row>
    <row r="1578" spans="1:5" ht="14.4" x14ac:dyDescent="0.3">
      <c r="A1578" s="20" t="s">
        <v>7997</v>
      </c>
      <c r="B1578" s="1" t="s">
        <v>93</v>
      </c>
      <c r="C1578" s="1" t="s">
        <v>97</v>
      </c>
      <c r="D1578" s="1" t="s">
        <v>361</v>
      </c>
      <c r="E1578" s="1">
        <v>7740000</v>
      </c>
    </row>
    <row r="1579" spans="1:5" ht="14.4" x14ac:dyDescent="0.3">
      <c r="A1579" s="20" t="s">
        <v>7998</v>
      </c>
      <c r="B1579" s="1" t="s">
        <v>93</v>
      </c>
      <c r="C1579" s="1" t="s">
        <v>2888</v>
      </c>
      <c r="D1579" s="1" t="s">
        <v>4079</v>
      </c>
      <c r="E1579" s="1">
        <v>57000000</v>
      </c>
    </row>
    <row r="1580" spans="1:5" ht="14.4" x14ac:dyDescent="0.3">
      <c r="A1580" s="20" t="s">
        <v>7999</v>
      </c>
      <c r="B1580" s="1" t="s">
        <v>64</v>
      </c>
      <c r="C1580" s="1" t="s">
        <v>3266</v>
      </c>
      <c r="D1580" s="1" t="s">
        <v>4080</v>
      </c>
      <c r="E1580" s="1">
        <v>17900000</v>
      </c>
    </row>
    <row r="1581" spans="1:5" ht="14.4" x14ac:dyDescent="0.3">
      <c r="A1581" s="20" t="s">
        <v>8000</v>
      </c>
      <c r="B1581" s="1" t="s">
        <v>242</v>
      </c>
      <c r="C1581" s="1" t="s">
        <v>2988</v>
      </c>
      <c r="D1581" s="1" t="s">
        <v>4081</v>
      </c>
      <c r="E1581" s="1">
        <v>30000000</v>
      </c>
    </row>
    <row r="1582" spans="1:5" ht="14.4" x14ac:dyDescent="0.3">
      <c r="A1582" s="20" t="s">
        <v>8001</v>
      </c>
      <c r="B1582" s="1" t="s">
        <v>2938</v>
      </c>
      <c r="C1582" s="1" t="s">
        <v>2939</v>
      </c>
      <c r="D1582" s="1" t="s">
        <v>4082</v>
      </c>
      <c r="E1582" s="1">
        <v>8400000</v>
      </c>
    </row>
    <row r="1583" spans="1:5" ht="14.4" x14ac:dyDescent="0.3">
      <c r="A1583" s="20" t="s">
        <v>8002</v>
      </c>
      <c r="B1583" s="1" t="s">
        <v>93</v>
      </c>
      <c r="C1583" s="1" t="s">
        <v>3205</v>
      </c>
      <c r="D1583" s="1" t="s">
        <v>4083</v>
      </c>
      <c r="E1583" s="1">
        <v>16000000</v>
      </c>
    </row>
    <row r="1584" spans="1:5" ht="14.4" x14ac:dyDescent="0.3">
      <c r="A1584" s="20" t="s">
        <v>8003</v>
      </c>
      <c r="B1584" s="1" t="s">
        <v>264</v>
      </c>
      <c r="C1584" s="1" t="s">
        <v>2897</v>
      </c>
      <c r="D1584" s="1" t="s">
        <v>3447</v>
      </c>
      <c r="E1584" s="1">
        <v>13300000</v>
      </c>
    </row>
    <row r="1585" spans="1:5" ht="14.4" x14ac:dyDescent="0.3">
      <c r="A1585" s="20" t="s">
        <v>8004</v>
      </c>
      <c r="B1585" s="1" t="s">
        <v>48</v>
      </c>
      <c r="C1585" s="1" t="s">
        <v>3234</v>
      </c>
      <c r="D1585" s="1" t="s">
        <v>4084</v>
      </c>
      <c r="E1585" s="1">
        <v>7970000</v>
      </c>
    </row>
    <row r="1586" spans="1:5" ht="14.4" x14ac:dyDescent="0.3">
      <c r="A1586" s="20" t="s">
        <v>8005</v>
      </c>
      <c r="B1586" s="1" t="s">
        <v>2945</v>
      </c>
      <c r="C1586" s="1" t="s">
        <v>3011</v>
      </c>
      <c r="D1586" s="1" t="s">
        <v>4085</v>
      </c>
      <c r="E1586" s="1">
        <v>10100000</v>
      </c>
    </row>
    <row r="1587" spans="1:5" ht="14.4" x14ac:dyDescent="0.3">
      <c r="A1587" s="20" t="s">
        <v>8006</v>
      </c>
      <c r="B1587" s="1" t="s">
        <v>48</v>
      </c>
      <c r="C1587" s="1" t="s">
        <v>3407</v>
      </c>
      <c r="D1587" s="1" t="s">
        <v>4086</v>
      </c>
      <c r="E1587" s="1">
        <v>8000000</v>
      </c>
    </row>
    <row r="1588" spans="1:5" ht="14.4" x14ac:dyDescent="0.3">
      <c r="A1588" s="20" t="s">
        <v>8007</v>
      </c>
      <c r="B1588" s="1" t="s">
        <v>157</v>
      </c>
      <c r="C1588" s="1" t="s">
        <v>164</v>
      </c>
      <c r="D1588" s="1" t="s">
        <v>4087</v>
      </c>
      <c r="E1588" s="1">
        <v>12300000</v>
      </c>
    </row>
    <row r="1589" spans="1:5" ht="14.4" x14ac:dyDescent="0.3">
      <c r="A1589" s="20" t="s">
        <v>8008</v>
      </c>
      <c r="B1589" s="1" t="s">
        <v>264</v>
      </c>
      <c r="C1589" s="1" t="s">
        <v>293</v>
      </c>
      <c r="D1589" s="1" t="s">
        <v>2889</v>
      </c>
      <c r="E1589" s="1">
        <v>18700000</v>
      </c>
    </row>
    <row r="1590" spans="1:5" ht="14.4" x14ac:dyDescent="0.3">
      <c r="A1590" s="20" t="s">
        <v>8009</v>
      </c>
      <c r="B1590" s="1" t="s">
        <v>2957</v>
      </c>
      <c r="C1590" s="1" t="s">
        <v>3145</v>
      </c>
      <c r="D1590" s="1" t="s">
        <v>4088</v>
      </c>
      <c r="E1590" s="1">
        <v>21000000</v>
      </c>
    </row>
    <row r="1591" spans="1:5" ht="14.4" x14ac:dyDescent="0.3">
      <c r="A1591" s="20" t="s">
        <v>8010</v>
      </c>
      <c r="B1591" s="1" t="s">
        <v>48</v>
      </c>
      <c r="C1591" s="1" t="s">
        <v>2937</v>
      </c>
      <c r="D1591" s="1" t="s">
        <v>4089</v>
      </c>
      <c r="E1591" s="1">
        <v>20900000</v>
      </c>
    </row>
    <row r="1592" spans="1:5" ht="14.4" x14ac:dyDescent="0.3">
      <c r="A1592" s="20" t="s">
        <v>8011</v>
      </c>
      <c r="B1592" s="1" t="s">
        <v>339</v>
      </c>
      <c r="C1592" s="1" t="s">
        <v>4005</v>
      </c>
      <c r="D1592" s="1" t="s">
        <v>4090</v>
      </c>
      <c r="E1592" s="1">
        <v>7140000</v>
      </c>
    </row>
    <row r="1593" spans="1:5" ht="14.4" x14ac:dyDescent="0.3">
      <c r="A1593" s="20" t="s">
        <v>8012</v>
      </c>
      <c r="B1593" s="1" t="s">
        <v>264</v>
      </c>
      <c r="C1593" s="1" t="s">
        <v>2917</v>
      </c>
      <c r="D1593" s="1" t="s">
        <v>4091</v>
      </c>
      <c r="E1593" s="1">
        <v>23600000</v>
      </c>
    </row>
    <row r="1594" spans="1:5" ht="14.4" x14ac:dyDescent="0.3">
      <c r="A1594" s="20" t="s">
        <v>8013</v>
      </c>
      <c r="B1594" s="1" t="s">
        <v>334</v>
      </c>
      <c r="C1594" s="1" t="s">
        <v>2976</v>
      </c>
      <c r="D1594" s="1" t="s">
        <v>4092</v>
      </c>
      <c r="E1594" s="1">
        <v>14000000</v>
      </c>
    </row>
    <row r="1595" spans="1:5" ht="14.4" x14ac:dyDescent="0.3">
      <c r="A1595" s="20" t="s">
        <v>8014</v>
      </c>
      <c r="B1595" s="1" t="s">
        <v>30</v>
      </c>
      <c r="C1595" s="1" t="s">
        <v>45</v>
      </c>
      <c r="D1595" s="1" t="s">
        <v>4093</v>
      </c>
      <c r="E1595" s="1">
        <v>14800000</v>
      </c>
    </row>
    <row r="1596" spans="1:5" ht="14.4" x14ac:dyDescent="0.3">
      <c r="A1596" s="20" t="s">
        <v>8015</v>
      </c>
      <c r="B1596" s="1" t="s">
        <v>2910</v>
      </c>
      <c r="C1596" s="1" t="s">
        <v>206</v>
      </c>
      <c r="D1596" s="1" t="s">
        <v>4094</v>
      </c>
      <c r="E1596" s="1">
        <v>7360000</v>
      </c>
    </row>
    <row r="1597" spans="1:5" ht="14.4" x14ac:dyDescent="0.3">
      <c r="A1597" s="20" t="s">
        <v>8016</v>
      </c>
      <c r="B1597" s="1" t="s">
        <v>93</v>
      </c>
      <c r="C1597" s="1" t="s">
        <v>3480</v>
      </c>
      <c r="D1597" s="1" t="s">
        <v>4095</v>
      </c>
      <c r="E1597" s="1">
        <v>34100000</v>
      </c>
    </row>
    <row r="1598" spans="1:5" ht="14.4" x14ac:dyDescent="0.3">
      <c r="A1598" s="20" t="s">
        <v>8017</v>
      </c>
      <c r="B1598" s="1" t="s">
        <v>93</v>
      </c>
      <c r="C1598" s="1" t="s">
        <v>4096</v>
      </c>
      <c r="D1598" s="1" t="s">
        <v>4097</v>
      </c>
      <c r="E1598" s="1">
        <v>65000000</v>
      </c>
    </row>
    <row r="1599" spans="1:5" ht="14.4" x14ac:dyDescent="0.3">
      <c r="A1599" s="20" t="s">
        <v>8018</v>
      </c>
      <c r="B1599" s="1" t="s">
        <v>151</v>
      </c>
      <c r="C1599" s="1" t="s">
        <v>154</v>
      </c>
      <c r="D1599" s="1" t="s">
        <v>4098</v>
      </c>
      <c r="E1599" s="1">
        <v>18700000</v>
      </c>
    </row>
    <row r="1600" spans="1:5" ht="14.4" x14ac:dyDescent="0.3">
      <c r="A1600" s="20" t="s">
        <v>8019</v>
      </c>
      <c r="B1600" s="1" t="s">
        <v>167</v>
      </c>
      <c r="C1600" s="1" t="s">
        <v>2891</v>
      </c>
      <c r="D1600" s="1" t="s">
        <v>4099</v>
      </c>
      <c r="E1600" s="1">
        <v>7560000</v>
      </c>
    </row>
    <row r="1601" spans="1:5" ht="14.4" x14ac:dyDescent="0.3">
      <c r="A1601" s="20" t="s">
        <v>8020</v>
      </c>
      <c r="B1601" s="1" t="s">
        <v>72</v>
      </c>
      <c r="C1601" s="1">
        <v>560</v>
      </c>
      <c r="D1601" s="1" t="s">
        <v>4100</v>
      </c>
      <c r="E1601" s="1">
        <v>7990000</v>
      </c>
    </row>
    <row r="1602" spans="1:5" ht="14.4" x14ac:dyDescent="0.3">
      <c r="A1602" s="20" t="s">
        <v>8021</v>
      </c>
      <c r="B1602" s="1" t="s">
        <v>93</v>
      </c>
      <c r="C1602" s="1" t="s">
        <v>113</v>
      </c>
      <c r="D1602" s="1" t="s">
        <v>4101</v>
      </c>
      <c r="E1602" s="1">
        <v>19400000</v>
      </c>
    </row>
    <row r="1603" spans="1:5" ht="14.4" x14ac:dyDescent="0.3">
      <c r="A1603" s="20" t="s">
        <v>8022</v>
      </c>
      <c r="B1603" s="1" t="s">
        <v>317</v>
      </c>
      <c r="C1603" s="1" t="s">
        <v>2949</v>
      </c>
      <c r="D1603" s="1" t="s">
        <v>4102</v>
      </c>
      <c r="E1603" s="1">
        <v>12800000</v>
      </c>
    </row>
    <row r="1604" spans="1:5" ht="14.4" x14ac:dyDescent="0.3">
      <c r="A1604" s="20" t="s">
        <v>8023</v>
      </c>
      <c r="B1604" s="1" t="s">
        <v>236</v>
      </c>
      <c r="C1604" s="1" t="s">
        <v>3087</v>
      </c>
      <c r="D1604" s="1" t="s">
        <v>4103</v>
      </c>
      <c r="E1604" s="1">
        <v>21800000</v>
      </c>
    </row>
    <row r="1605" spans="1:5" ht="14.4" x14ac:dyDescent="0.3">
      <c r="A1605" s="20" t="s">
        <v>8024</v>
      </c>
      <c r="B1605" s="1" t="s">
        <v>93</v>
      </c>
      <c r="C1605" s="1" t="s">
        <v>4104</v>
      </c>
      <c r="D1605" s="1" t="s">
        <v>4105</v>
      </c>
      <c r="E1605" s="1">
        <v>33400000</v>
      </c>
    </row>
    <row r="1606" spans="1:5" ht="14.4" x14ac:dyDescent="0.3">
      <c r="A1606" s="20" t="s">
        <v>8025</v>
      </c>
      <c r="B1606" s="1" t="s">
        <v>2910</v>
      </c>
      <c r="C1606" s="1" t="s">
        <v>3548</v>
      </c>
      <c r="D1606" s="1" t="s">
        <v>4106</v>
      </c>
      <c r="E1606" s="1">
        <v>17800000</v>
      </c>
    </row>
    <row r="1607" spans="1:5" ht="14.4" x14ac:dyDescent="0.3">
      <c r="A1607" s="20" t="s">
        <v>8026</v>
      </c>
      <c r="B1607" s="1" t="s">
        <v>167</v>
      </c>
      <c r="C1607" s="1" t="s">
        <v>3484</v>
      </c>
      <c r="D1607" s="1" t="s">
        <v>171</v>
      </c>
      <c r="E1607" s="1">
        <v>9300000</v>
      </c>
    </row>
    <row r="1608" spans="1:5" ht="14.4" x14ac:dyDescent="0.3">
      <c r="A1608" s="20" t="s">
        <v>8027</v>
      </c>
      <c r="B1608" s="1" t="s">
        <v>2910</v>
      </c>
      <c r="C1608" s="1" t="s">
        <v>3332</v>
      </c>
      <c r="D1608" s="1" t="s">
        <v>4107</v>
      </c>
      <c r="E1608" s="1">
        <v>16400000</v>
      </c>
    </row>
    <row r="1609" spans="1:5" ht="14.4" x14ac:dyDescent="0.3">
      <c r="A1609" s="20" t="s">
        <v>8028</v>
      </c>
      <c r="B1609" s="1" t="s">
        <v>72</v>
      </c>
      <c r="C1609" s="1">
        <v>560</v>
      </c>
      <c r="D1609" s="1" t="s">
        <v>76</v>
      </c>
      <c r="E1609" s="1">
        <v>9300000</v>
      </c>
    </row>
    <row r="1610" spans="1:5" ht="14.4" x14ac:dyDescent="0.3">
      <c r="A1610" s="20" t="s">
        <v>8029</v>
      </c>
      <c r="B1610" s="1" t="s">
        <v>2906</v>
      </c>
      <c r="C1610" s="1" t="s">
        <v>3909</v>
      </c>
      <c r="D1610" s="1" t="s">
        <v>4108</v>
      </c>
      <c r="E1610" s="1">
        <v>15400000</v>
      </c>
    </row>
    <row r="1611" spans="1:5" ht="14.4" x14ac:dyDescent="0.3">
      <c r="A1611" s="20" t="s">
        <v>8030</v>
      </c>
      <c r="B1611" s="1" t="s">
        <v>264</v>
      </c>
      <c r="C1611" s="1" t="s">
        <v>2996</v>
      </c>
      <c r="D1611" s="1" t="s">
        <v>4109</v>
      </c>
      <c r="E1611" s="1">
        <v>15600000</v>
      </c>
    </row>
    <row r="1612" spans="1:5" ht="14.4" x14ac:dyDescent="0.3">
      <c r="A1612" s="20" t="s">
        <v>8031</v>
      </c>
      <c r="B1612" s="1" t="s">
        <v>30</v>
      </c>
      <c r="C1612" s="1" t="s">
        <v>41</v>
      </c>
      <c r="D1612" s="1" t="s">
        <v>4110</v>
      </c>
      <c r="E1612" s="1">
        <v>11700000</v>
      </c>
    </row>
    <row r="1613" spans="1:5" ht="14.4" x14ac:dyDescent="0.3">
      <c r="A1613" s="20" t="s">
        <v>8032</v>
      </c>
      <c r="B1613" s="1" t="s">
        <v>327</v>
      </c>
      <c r="C1613" s="1" t="s">
        <v>4111</v>
      </c>
      <c r="D1613" s="1" t="s">
        <v>369</v>
      </c>
      <c r="E1613" s="1">
        <v>14300000</v>
      </c>
    </row>
    <row r="1614" spans="1:5" ht="14.4" x14ac:dyDescent="0.3">
      <c r="A1614" s="20" t="s">
        <v>8033</v>
      </c>
      <c r="B1614" s="1" t="s">
        <v>264</v>
      </c>
      <c r="C1614" s="1" t="s">
        <v>2899</v>
      </c>
      <c r="D1614" s="1" t="s">
        <v>1181</v>
      </c>
      <c r="E1614" s="1">
        <v>17900000</v>
      </c>
    </row>
    <row r="1615" spans="1:5" ht="14.4" x14ac:dyDescent="0.3">
      <c r="A1615" s="20" t="s">
        <v>8034</v>
      </c>
      <c r="B1615" s="1" t="s">
        <v>242</v>
      </c>
      <c r="C1615" s="1" t="s">
        <v>2904</v>
      </c>
      <c r="D1615" s="1" t="s">
        <v>4112</v>
      </c>
      <c r="E1615" s="1">
        <v>22300000</v>
      </c>
    </row>
    <row r="1616" spans="1:5" ht="14.4" x14ac:dyDescent="0.3">
      <c r="A1616" s="20" t="s">
        <v>8035</v>
      </c>
      <c r="B1616" s="1" t="s">
        <v>2906</v>
      </c>
      <c r="C1616" s="1" t="s">
        <v>2907</v>
      </c>
      <c r="D1616" s="1" t="s">
        <v>4113</v>
      </c>
      <c r="E1616" s="1">
        <v>7670000</v>
      </c>
    </row>
    <row r="1617" spans="1:5" ht="14.4" x14ac:dyDescent="0.3">
      <c r="A1617" s="20" t="s">
        <v>8036</v>
      </c>
      <c r="B1617" s="1" t="s">
        <v>3839</v>
      </c>
      <c r="C1617" s="1" t="s">
        <v>4114</v>
      </c>
      <c r="D1617" s="1" t="s">
        <v>4115</v>
      </c>
      <c r="E1617" s="1">
        <v>15400000</v>
      </c>
    </row>
    <row r="1618" spans="1:5" ht="14.4" x14ac:dyDescent="0.3">
      <c r="A1618" s="20" t="s">
        <v>8037</v>
      </c>
      <c r="B1618" s="1" t="s">
        <v>339</v>
      </c>
      <c r="C1618" s="1" t="s">
        <v>4011</v>
      </c>
      <c r="D1618" s="1" t="s">
        <v>4116</v>
      </c>
      <c r="E1618" s="1">
        <v>16900000</v>
      </c>
    </row>
    <row r="1619" spans="1:5" ht="14.4" x14ac:dyDescent="0.3">
      <c r="A1619" s="20" t="s">
        <v>8038</v>
      </c>
      <c r="B1619" s="1" t="s">
        <v>3367</v>
      </c>
      <c r="C1619" s="1" t="s">
        <v>2930</v>
      </c>
      <c r="D1619" s="1" t="s">
        <v>4117</v>
      </c>
      <c r="E1619" s="1">
        <v>8600000</v>
      </c>
    </row>
    <row r="1620" spans="1:5" ht="14.4" x14ac:dyDescent="0.3">
      <c r="A1620" s="20" t="s">
        <v>8039</v>
      </c>
      <c r="B1620" s="1" t="s">
        <v>264</v>
      </c>
      <c r="C1620" s="1" t="s">
        <v>293</v>
      </c>
      <c r="D1620" s="1" t="s">
        <v>4118</v>
      </c>
      <c r="E1620" s="1">
        <v>19300000</v>
      </c>
    </row>
    <row r="1621" spans="1:5" ht="14.4" x14ac:dyDescent="0.3">
      <c r="A1621" s="20" t="s">
        <v>8040</v>
      </c>
      <c r="B1621" s="1" t="s">
        <v>181</v>
      </c>
      <c r="C1621" s="1" t="s">
        <v>2941</v>
      </c>
      <c r="D1621" s="1" t="s">
        <v>4119</v>
      </c>
      <c r="E1621" s="1">
        <v>8100000</v>
      </c>
    </row>
    <row r="1622" spans="1:5" ht="14.4" x14ac:dyDescent="0.3">
      <c r="A1622" s="20" t="s">
        <v>8041</v>
      </c>
      <c r="B1622" s="1" t="s">
        <v>15</v>
      </c>
      <c r="C1622" s="1" t="s">
        <v>2920</v>
      </c>
      <c r="D1622" s="1" t="s">
        <v>4120</v>
      </c>
      <c r="E1622" s="1">
        <v>12400000</v>
      </c>
    </row>
    <row r="1623" spans="1:5" ht="14.4" x14ac:dyDescent="0.3">
      <c r="A1623" s="20" t="s">
        <v>8042</v>
      </c>
      <c r="B1623" s="1" t="s">
        <v>314</v>
      </c>
      <c r="C1623" s="1" t="s">
        <v>4121</v>
      </c>
      <c r="D1623" s="1" t="s">
        <v>4122</v>
      </c>
      <c r="E1623" s="1">
        <v>15200000</v>
      </c>
    </row>
    <row r="1624" spans="1:5" ht="14.4" x14ac:dyDescent="0.3">
      <c r="A1624" s="20" t="s">
        <v>8043</v>
      </c>
      <c r="B1624" s="1" t="s">
        <v>157</v>
      </c>
      <c r="C1624" s="1" t="s">
        <v>164</v>
      </c>
      <c r="D1624" s="1" t="s">
        <v>4123</v>
      </c>
      <c r="E1624" s="1">
        <v>11200000</v>
      </c>
    </row>
    <row r="1625" spans="1:5" ht="14.4" x14ac:dyDescent="0.3">
      <c r="A1625" s="20" t="s">
        <v>8044</v>
      </c>
      <c r="B1625" s="1" t="s">
        <v>93</v>
      </c>
      <c r="C1625" s="1" t="s">
        <v>143</v>
      </c>
      <c r="D1625" s="1" t="s">
        <v>4124</v>
      </c>
      <c r="E1625" s="1">
        <v>12800000</v>
      </c>
    </row>
    <row r="1626" spans="1:5" ht="14.4" x14ac:dyDescent="0.3">
      <c r="A1626" s="20" t="s">
        <v>8045</v>
      </c>
      <c r="B1626" s="1" t="s">
        <v>339</v>
      </c>
      <c r="C1626" s="1" t="s">
        <v>4125</v>
      </c>
      <c r="D1626" s="1" t="s">
        <v>4126</v>
      </c>
      <c r="E1626" s="1">
        <v>15000000</v>
      </c>
    </row>
    <row r="1627" spans="1:5" ht="14.4" x14ac:dyDescent="0.3">
      <c r="A1627" s="20" t="s">
        <v>8046</v>
      </c>
      <c r="B1627" s="1" t="s">
        <v>2961</v>
      </c>
      <c r="C1627" s="1" t="s">
        <v>3067</v>
      </c>
      <c r="D1627" s="1" t="s">
        <v>4127</v>
      </c>
      <c r="E1627" s="1">
        <v>20500000</v>
      </c>
    </row>
    <row r="1628" spans="1:5" ht="14.4" x14ac:dyDescent="0.3">
      <c r="A1628" s="20" t="s">
        <v>8047</v>
      </c>
      <c r="B1628" s="1" t="s">
        <v>2905</v>
      </c>
      <c r="C1628" s="1" t="s">
        <v>90</v>
      </c>
      <c r="D1628" s="1" t="s">
        <v>92</v>
      </c>
      <c r="E1628" s="1">
        <v>13800000</v>
      </c>
    </row>
    <row r="1629" spans="1:5" ht="14.4" x14ac:dyDescent="0.3">
      <c r="A1629" s="20" t="s">
        <v>8048</v>
      </c>
      <c r="B1629" s="1" t="s">
        <v>2957</v>
      </c>
      <c r="C1629" s="1" t="s">
        <v>2958</v>
      </c>
      <c r="D1629" s="1" t="s">
        <v>4128</v>
      </c>
      <c r="E1629" s="1">
        <v>15500000</v>
      </c>
    </row>
    <row r="1630" spans="1:5" ht="14.4" x14ac:dyDescent="0.3">
      <c r="A1630" s="20" t="s">
        <v>8049</v>
      </c>
      <c r="B1630" s="1" t="s">
        <v>167</v>
      </c>
      <c r="C1630" s="1" t="s">
        <v>3280</v>
      </c>
      <c r="D1630" s="1" t="s">
        <v>169</v>
      </c>
      <c r="E1630" s="1">
        <v>12500000</v>
      </c>
    </row>
    <row r="1631" spans="1:5" ht="14.4" x14ac:dyDescent="0.3">
      <c r="A1631" s="20" t="s">
        <v>8050</v>
      </c>
      <c r="B1631" s="1" t="s">
        <v>264</v>
      </c>
      <c r="C1631" s="1" t="s">
        <v>2917</v>
      </c>
      <c r="D1631" s="1" t="s">
        <v>4129</v>
      </c>
      <c r="E1631" s="1">
        <v>24000000</v>
      </c>
    </row>
    <row r="1632" spans="1:5" ht="14.4" x14ac:dyDescent="0.3">
      <c r="A1632" s="20" t="s">
        <v>8051</v>
      </c>
      <c r="B1632" s="1" t="s">
        <v>314</v>
      </c>
      <c r="C1632" s="1" t="s">
        <v>3875</v>
      </c>
      <c r="D1632" s="1" t="s">
        <v>316</v>
      </c>
      <c r="E1632" s="1">
        <v>7900000</v>
      </c>
    </row>
    <row r="1633" spans="1:5" ht="14.4" x14ac:dyDescent="0.3">
      <c r="A1633" s="20" t="s">
        <v>8052</v>
      </c>
      <c r="B1633" s="1" t="s">
        <v>30</v>
      </c>
      <c r="C1633" s="1" t="s">
        <v>2908</v>
      </c>
      <c r="D1633" s="1" t="s">
        <v>4130</v>
      </c>
      <c r="E1633" s="1">
        <v>7940000</v>
      </c>
    </row>
    <row r="1634" spans="1:5" ht="14.4" x14ac:dyDescent="0.3">
      <c r="A1634" s="20" t="s">
        <v>8053</v>
      </c>
      <c r="B1634" s="1" t="s">
        <v>30</v>
      </c>
      <c r="C1634" s="1" t="s">
        <v>2987</v>
      </c>
      <c r="D1634" s="1" t="s">
        <v>2889</v>
      </c>
      <c r="E1634" s="1">
        <v>7850000</v>
      </c>
    </row>
    <row r="1635" spans="1:5" ht="14.4" x14ac:dyDescent="0.3">
      <c r="A1635" s="20" t="s">
        <v>8054</v>
      </c>
      <c r="B1635" s="1" t="s">
        <v>30</v>
      </c>
      <c r="C1635" s="1" t="s">
        <v>41</v>
      </c>
      <c r="D1635" s="1" t="s">
        <v>2323</v>
      </c>
      <c r="E1635" s="1">
        <v>11800000</v>
      </c>
    </row>
    <row r="1636" spans="1:5" ht="14.4" x14ac:dyDescent="0.3">
      <c r="A1636" s="20" t="s">
        <v>8055</v>
      </c>
      <c r="B1636" s="1" t="s">
        <v>236</v>
      </c>
      <c r="C1636" s="1" t="s">
        <v>3087</v>
      </c>
      <c r="D1636" s="1" t="s">
        <v>4131</v>
      </c>
      <c r="E1636" s="1">
        <v>17800000</v>
      </c>
    </row>
    <row r="1637" spans="1:5" ht="14.4" x14ac:dyDescent="0.3">
      <c r="A1637" s="20" t="s">
        <v>8056</v>
      </c>
      <c r="B1637" s="1" t="s">
        <v>236</v>
      </c>
      <c r="C1637" s="1" t="s">
        <v>3087</v>
      </c>
      <c r="D1637" s="1" t="s">
        <v>4132</v>
      </c>
      <c r="E1637" s="1">
        <v>18300000</v>
      </c>
    </row>
    <row r="1638" spans="1:5" ht="14.4" x14ac:dyDescent="0.3">
      <c r="A1638" s="20" t="s">
        <v>8057</v>
      </c>
      <c r="B1638" s="1" t="s">
        <v>236</v>
      </c>
      <c r="C1638" s="1" t="s">
        <v>3087</v>
      </c>
      <c r="D1638" s="1" t="s">
        <v>4133</v>
      </c>
      <c r="E1638" s="1">
        <v>17800000</v>
      </c>
    </row>
    <row r="1639" spans="1:5" ht="14.4" x14ac:dyDescent="0.3">
      <c r="A1639" s="20" t="s">
        <v>8058</v>
      </c>
      <c r="B1639" s="1" t="s">
        <v>334</v>
      </c>
      <c r="C1639" s="1" t="s">
        <v>4134</v>
      </c>
      <c r="D1639" s="1" t="s">
        <v>362</v>
      </c>
      <c r="E1639" s="1">
        <v>25600000</v>
      </c>
    </row>
    <row r="1640" spans="1:5" ht="14.4" x14ac:dyDescent="0.3">
      <c r="A1640" s="20" t="s">
        <v>8059</v>
      </c>
      <c r="B1640" s="1" t="s">
        <v>2945</v>
      </c>
      <c r="C1640" s="1" t="s">
        <v>2946</v>
      </c>
      <c r="D1640" s="1" t="s">
        <v>4135</v>
      </c>
      <c r="E1640" s="1">
        <v>9400000</v>
      </c>
    </row>
    <row r="1641" spans="1:5" ht="14.4" x14ac:dyDescent="0.3">
      <c r="A1641" s="20" t="s">
        <v>8060</v>
      </c>
      <c r="B1641" s="1" t="s">
        <v>236</v>
      </c>
      <c r="C1641" s="1" t="s">
        <v>3087</v>
      </c>
      <c r="D1641" s="1" t="s">
        <v>4136</v>
      </c>
      <c r="E1641" s="1">
        <v>14100000</v>
      </c>
    </row>
    <row r="1642" spans="1:5" ht="14.4" x14ac:dyDescent="0.3">
      <c r="A1642" s="20" t="s">
        <v>8061</v>
      </c>
      <c r="B1642" s="1" t="s">
        <v>30</v>
      </c>
      <c r="C1642" s="1" t="s">
        <v>38</v>
      </c>
      <c r="D1642" s="1" t="s">
        <v>4137</v>
      </c>
      <c r="E1642" s="1">
        <v>10500000</v>
      </c>
    </row>
    <row r="1643" spans="1:5" ht="14.4" x14ac:dyDescent="0.3">
      <c r="A1643" s="20" t="s">
        <v>8062</v>
      </c>
      <c r="B1643" s="1" t="s">
        <v>242</v>
      </c>
      <c r="C1643" s="1" t="s">
        <v>3094</v>
      </c>
      <c r="D1643" s="1" t="s">
        <v>4138</v>
      </c>
      <c r="E1643" s="1">
        <v>24200000</v>
      </c>
    </row>
    <row r="1644" spans="1:5" ht="14.4" x14ac:dyDescent="0.3">
      <c r="A1644" s="20" t="s">
        <v>8063</v>
      </c>
      <c r="B1644" s="1" t="s">
        <v>3228</v>
      </c>
      <c r="C1644" s="1" t="s">
        <v>3229</v>
      </c>
      <c r="D1644" s="1" t="s">
        <v>4139</v>
      </c>
      <c r="E1644" s="1">
        <v>10300000</v>
      </c>
    </row>
    <row r="1645" spans="1:5" ht="14.4" x14ac:dyDescent="0.3">
      <c r="A1645" s="20" t="s">
        <v>8064</v>
      </c>
      <c r="B1645" s="1" t="s">
        <v>30</v>
      </c>
      <c r="C1645" s="1" t="s">
        <v>38</v>
      </c>
      <c r="D1645" s="1" t="s">
        <v>40</v>
      </c>
      <c r="E1645" s="1">
        <v>11300000</v>
      </c>
    </row>
    <row r="1646" spans="1:5" ht="14.4" x14ac:dyDescent="0.3">
      <c r="A1646" s="20" t="s">
        <v>8065</v>
      </c>
      <c r="B1646" s="1" t="s">
        <v>229</v>
      </c>
      <c r="C1646" s="1" t="s">
        <v>3255</v>
      </c>
      <c r="D1646" s="1" t="s">
        <v>4140</v>
      </c>
      <c r="E1646" s="1">
        <v>21100000</v>
      </c>
    </row>
    <row r="1647" spans="1:5" ht="14.4" x14ac:dyDescent="0.3">
      <c r="A1647" s="20" t="s">
        <v>8066</v>
      </c>
      <c r="B1647" s="1" t="s">
        <v>229</v>
      </c>
      <c r="C1647" s="1" t="s">
        <v>3015</v>
      </c>
      <c r="D1647" s="1" t="s">
        <v>4141</v>
      </c>
      <c r="E1647" s="1">
        <v>16400000</v>
      </c>
    </row>
    <row r="1648" spans="1:5" ht="14.4" x14ac:dyDescent="0.3">
      <c r="A1648" s="20" t="s">
        <v>8067</v>
      </c>
      <c r="B1648" s="1" t="s">
        <v>72</v>
      </c>
      <c r="C1648" s="1">
        <v>560</v>
      </c>
      <c r="D1648" s="1" t="s">
        <v>78</v>
      </c>
      <c r="E1648" s="1">
        <v>8900000</v>
      </c>
    </row>
    <row r="1649" spans="1:5" ht="14.4" x14ac:dyDescent="0.3">
      <c r="A1649" s="20" t="s">
        <v>8068</v>
      </c>
      <c r="B1649" s="1" t="s">
        <v>264</v>
      </c>
      <c r="C1649" s="1">
        <v>3008</v>
      </c>
      <c r="D1649" s="1" t="s">
        <v>3027</v>
      </c>
      <c r="E1649" s="1">
        <v>22500000</v>
      </c>
    </row>
    <row r="1650" spans="1:5" ht="14.4" x14ac:dyDescent="0.3">
      <c r="A1650" s="20" t="s">
        <v>8069</v>
      </c>
      <c r="B1650" s="1" t="s">
        <v>2910</v>
      </c>
      <c r="C1650" s="1" t="s">
        <v>2911</v>
      </c>
      <c r="D1650" s="1" t="s">
        <v>4142</v>
      </c>
      <c r="E1650" s="1">
        <v>8600000</v>
      </c>
    </row>
    <row r="1651" spans="1:5" ht="14.4" x14ac:dyDescent="0.3">
      <c r="A1651" s="20" t="s">
        <v>8070</v>
      </c>
      <c r="B1651" s="1" t="s">
        <v>181</v>
      </c>
      <c r="C1651" s="1" t="s">
        <v>4143</v>
      </c>
      <c r="D1651" s="1" t="s">
        <v>4144</v>
      </c>
      <c r="E1651" s="1">
        <v>17500000</v>
      </c>
    </row>
    <row r="1652" spans="1:5" ht="14.4" x14ac:dyDescent="0.3">
      <c r="A1652" s="20" t="s">
        <v>8071</v>
      </c>
      <c r="B1652" s="1" t="s">
        <v>3404</v>
      </c>
      <c r="C1652" s="1" t="s">
        <v>3405</v>
      </c>
      <c r="D1652" s="1" t="s">
        <v>2889</v>
      </c>
      <c r="E1652" s="1">
        <v>16000000</v>
      </c>
    </row>
    <row r="1653" spans="1:5" ht="14.4" x14ac:dyDescent="0.3">
      <c r="A1653" s="20" t="s">
        <v>8072</v>
      </c>
      <c r="B1653" s="1" t="s">
        <v>3404</v>
      </c>
      <c r="C1653" s="1" t="s">
        <v>3405</v>
      </c>
      <c r="D1653" s="1" t="s">
        <v>2889</v>
      </c>
      <c r="E1653" s="1">
        <v>16000000</v>
      </c>
    </row>
    <row r="1654" spans="1:5" ht="14.4" x14ac:dyDescent="0.3">
      <c r="A1654" s="20" t="s">
        <v>8073</v>
      </c>
      <c r="B1654" s="1" t="s">
        <v>2957</v>
      </c>
      <c r="C1654" s="1" t="s">
        <v>4145</v>
      </c>
      <c r="D1654" s="1" t="s">
        <v>4146</v>
      </c>
      <c r="E1654" s="1">
        <v>31200000</v>
      </c>
    </row>
    <row r="1655" spans="1:5" ht="14.4" x14ac:dyDescent="0.3">
      <c r="A1655" s="20" t="s">
        <v>8074</v>
      </c>
      <c r="B1655" s="1" t="s">
        <v>242</v>
      </c>
      <c r="C1655" s="1" t="s">
        <v>2988</v>
      </c>
      <c r="D1655" s="1" t="s">
        <v>4147</v>
      </c>
      <c r="E1655" s="1">
        <v>16200000</v>
      </c>
    </row>
    <row r="1656" spans="1:5" ht="14.4" x14ac:dyDescent="0.3">
      <c r="A1656" s="20" t="s">
        <v>8075</v>
      </c>
      <c r="B1656" s="1" t="s">
        <v>48</v>
      </c>
      <c r="C1656" s="1" t="s">
        <v>2952</v>
      </c>
      <c r="D1656" s="1" t="s">
        <v>4148</v>
      </c>
      <c r="E1656" s="1">
        <v>9600000</v>
      </c>
    </row>
    <row r="1657" spans="1:5" ht="14.4" x14ac:dyDescent="0.3">
      <c r="A1657" s="20" t="s">
        <v>8076</v>
      </c>
      <c r="B1657" s="1" t="s">
        <v>30</v>
      </c>
      <c r="C1657" s="1" t="s">
        <v>2987</v>
      </c>
      <c r="D1657" s="1" t="s">
        <v>4149</v>
      </c>
      <c r="E1657" s="1">
        <v>8200000</v>
      </c>
    </row>
    <row r="1658" spans="1:5" ht="14.4" x14ac:dyDescent="0.3">
      <c r="A1658" s="20" t="s">
        <v>8077</v>
      </c>
      <c r="B1658" s="1" t="s">
        <v>264</v>
      </c>
      <c r="C1658" s="1" t="s">
        <v>2996</v>
      </c>
      <c r="D1658" s="1" t="s">
        <v>4150</v>
      </c>
      <c r="E1658" s="1">
        <v>17200000</v>
      </c>
    </row>
    <row r="1659" spans="1:5" ht="14.4" x14ac:dyDescent="0.3">
      <c r="A1659" s="20" t="s">
        <v>8078</v>
      </c>
      <c r="B1659" s="1" t="s">
        <v>2961</v>
      </c>
      <c r="C1659" s="1" t="s">
        <v>3897</v>
      </c>
      <c r="D1659" s="1" t="s">
        <v>4151</v>
      </c>
      <c r="E1659" s="1">
        <v>12400000</v>
      </c>
    </row>
    <row r="1660" spans="1:5" ht="14.4" x14ac:dyDescent="0.3">
      <c r="A1660" s="20" t="s">
        <v>8079</v>
      </c>
      <c r="B1660" s="1" t="s">
        <v>2906</v>
      </c>
      <c r="C1660" s="1" t="s">
        <v>2943</v>
      </c>
      <c r="D1660" s="1" t="s">
        <v>4152</v>
      </c>
      <c r="E1660" s="1">
        <v>10100000</v>
      </c>
    </row>
    <row r="1661" spans="1:5" ht="14.4" x14ac:dyDescent="0.3">
      <c r="A1661" s="20" t="s">
        <v>8080</v>
      </c>
      <c r="B1661" s="1" t="s">
        <v>339</v>
      </c>
      <c r="C1661" s="1" t="s">
        <v>3104</v>
      </c>
      <c r="D1661" s="1" t="s">
        <v>4153</v>
      </c>
      <c r="E1661" s="1">
        <v>8700000</v>
      </c>
    </row>
    <row r="1662" spans="1:5" ht="14.4" x14ac:dyDescent="0.3">
      <c r="A1662" s="20" t="s">
        <v>8081</v>
      </c>
      <c r="B1662" s="1" t="s">
        <v>2910</v>
      </c>
      <c r="C1662" s="1" t="s">
        <v>212</v>
      </c>
      <c r="D1662" s="1" t="s">
        <v>456</v>
      </c>
      <c r="E1662" s="1">
        <v>12300000</v>
      </c>
    </row>
    <row r="1663" spans="1:5" ht="14.4" x14ac:dyDescent="0.3">
      <c r="A1663" s="20" t="s">
        <v>8082</v>
      </c>
      <c r="B1663" s="1" t="s">
        <v>2910</v>
      </c>
      <c r="C1663" s="1" t="s">
        <v>2999</v>
      </c>
      <c r="D1663" s="1" t="s">
        <v>4154</v>
      </c>
      <c r="E1663" s="1">
        <v>17300000</v>
      </c>
    </row>
    <row r="1664" spans="1:5" ht="14.4" x14ac:dyDescent="0.3">
      <c r="A1664" s="20" t="s">
        <v>8083</v>
      </c>
      <c r="B1664" s="1" t="s">
        <v>334</v>
      </c>
      <c r="C1664" s="1" t="s">
        <v>3008</v>
      </c>
      <c r="D1664" s="1" t="s">
        <v>4155</v>
      </c>
      <c r="E1664" s="1">
        <v>13300000</v>
      </c>
    </row>
    <row r="1665" spans="1:5" ht="14.4" x14ac:dyDescent="0.3">
      <c r="A1665" s="20" t="s">
        <v>8084</v>
      </c>
      <c r="B1665" s="1" t="s">
        <v>72</v>
      </c>
      <c r="C1665" s="1">
        <v>500</v>
      </c>
      <c r="D1665" s="1" t="s">
        <v>4156</v>
      </c>
      <c r="E1665" s="1">
        <v>10000000</v>
      </c>
    </row>
    <row r="1666" spans="1:5" ht="14.4" x14ac:dyDescent="0.3">
      <c r="A1666" s="20" t="s">
        <v>8085</v>
      </c>
      <c r="B1666" s="1" t="s">
        <v>264</v>
      </c>
      <c r="C1666" s="1">
        <v>5008</v>
      </c>
      <c r="D1666" s="1" t="s">
        <v>1910</v>
      </c>
      <c r="E1666" s="1">
        <v>16800000</v>
      </c>
    </row>
    <row r="1667" spans="1:5" ht="14.4" x14ac:dyDescent="0.3">
      <c r="A1667" s="20" t="s">
        <v>8086</v>
      </c>
      <c r="B1667" s="1" t="s">
        <v>242</v>
      </c>
      <c r="C1667" s="1" t="s">
        <v>2921</v>
      </c>
      <c r="D1667" s="1" t="s">
        <v>4157</v>
      </c>
      <c r="E1667" s="1">
        <v>12700000</v>
      </c>
    </row>
    <row r="1668" spans="1:5" ht="14.4" x14ac:dyDescent="0.3">
      <c r="A1668" s="20" t="s">
        <v>8087</v>
      </c>
      <c r="B1668" s="1" t="s">
        <v>264</v>
      </c>
      <c r="C1668" s="1" t="s">
        <v>2917</v>
      </c>
      <c r="D1668" s="1" t="s">
        <v>447</v>
      </c>
      <c r="E1668" s="1">
        <v>23900000</v>
      </c>
    </row>
    <row r="1669" spans="1:5" ht="14.4" x14ac:dyDescent="0.3">
      <c r="A1669" s="20" t="s">
        <v>8088</v>
      </c>
      <c r="B1669" s="1" t="s">
        <v>264</v>
      </c>
      <c r="C1669" s="1" t="s">
        <v>2917</v>
      </c>
      <c r="D1669" s="1" t="s">
        <v>4158</v>
      </c>
      <c r="E1669" s="1">
        <v>22800000</v>
      </c>
    </row>
    <row r="1670" spans="1:5" ht="14.4" x14ac:dyDescent="0.3">
      <c r="A1670" s="20" t="s">
        <v>8089</v>
      </c>
      <c r="B1670" s="1" t="s">
        <v>30</v>
      </c>
      <c r="C1670" s="1" t="s">
        <v>2908</v>
      </c>
      <c r="D1670" s="1" t="s">
        <v>364</v>
      </c>
      <c r="E1670" s="1">
        <v>7050000</v>
      </c>
    </row>
    <row r="1671" spans="1:5" ht="14.4" x14ac:dyDescent="0.3">
      <c r="A1671" s="20" t="s">
        <v>8090</v>
      </c>
      <c r="B1671" s="1" t="s">
        <v>93</v>
      </c>
      <c r="C1671" s="1" t="s">
        <v>143</v>
      </c>
      <c r="D1671" s="1" t="s">
        <v>4159</v>
      </c>
      <c r="E1671" s="1">
        <v>12600000</v>
      </c>
    </row>
    <row r="1672" spans="1:5" ht="14.4" x14ac:dyDescent="0.3">
      <c r="A1672" s="20" t="s">
        <v>8091</v>
      </c>
      <c r="B1672" s="1" t="s">
        <v>327</v>
      </c>
      <c r="C1672" s="1" t="s">
        <v>3320</v>
      </c>
      <c r="D1672" s="1" t="s">
        <v>4160</v>
      </c>
      <c r="E1672" s="1">
        <v>12700000</v>
      </c>
    </row>
    <row r="1673" spans="1:5" ht="14.4" x14ac:dyDescent="0.3">
      <c r="A1673" s="20" t="s">
        <v>8092</v>
      </c>
      <c r="B1673" s="1" t="s">
        <v>2910</v>
      </c>
      <c r="C1673" s="1" t="s">
        <v>3673</v>
      </c>
      <c r="D1673" s="1" t="s">
        <v>4161</v>
      </c>
      <c r="E1673" s="1">
        <v>7710000</v>
      </c>
    </row>
    <row r="1674" spans="1:5" ht="14.4" x14ac:dyDescent="0.3">
      <c r="A1674" s="20" t="s">
        <v>8093</v>
      </c>
      <c r="B1674" s="1" t="s">
        <v>236</v>
      </c>
      <c r="C1674" s="1" t="s">
        <v>3087</v>
      </c>
      <c r="D1674" s="1" t="s">
        <v>4162</v>
      </c>
      <c r="E1674" s="1">
        <v>16000000</v>
      </c>
    </row>
    <row r="1675" spans="1:5" ht="14.4" x14ac:dyDescent="0.3">
      <c r="A1675" s="20" t="s">
        <v>8094</v>
      </c>
      <c r="B1675" s="1" t="s">
        <v>317</v>
      </c>
      <c r="C1675" s="1" t="s">
        <v>3492</v>
      </c>
      <c r="D1675" s="1" t="s">
        <v>4163</v>
      </c>
      <c r="E1675" s="1">
        <v>15500000</v>
      </c>
    </row>
    <row r="1676" spans="1:5" ht="14.4" x14ac:dyDescent="0.3">
      <c r="A1676" s="20" t="s">
        <v>8095</v>
      </c>
      <c r="B1676" s="1" t="s">
        <v>334</v>
      </c>
      <c r="C1676" s="1" t="s">
        <v>2903</v>
      </c>
      <c r="D1676" s="1" t="s">
        <v>4164</v>
      </c>
      <c r="E1676" s="1">
        <v>25000000</v>
      </c>
    </row>
    <row r="1677" spans="1:5" ht="14.4" x14ac:dyDescent="0.3">
      <c r="A1677" s="20" t="s">
        <v>8096</v>
      </c>
      <c r="B1677" s="1" t="s">
        <v>30</v>
      </c>
      <c r="C1677" s="1" t="s">
        <v>2987</v>
      </c>
      <c r="D1677" s="1" t="s">
        <v>4165</v>
      </c>
      <c r="E1677" s="1">
        <v>8900000</v>
      </c>
    </row>
    <row r="1678" spans="1:5" ht="14.4" x14ac:dyDescent="0.3">
      <c r="A1678" s="20" t="s">
        <v>8097</v>
      </c>
      <c r="B1678" s="1" t="s">
        <v>48</v>
      </c>
      <c r="C1678" s="1" t="s">
        <v>52</v>
      </c>
      <c r="D1678" s="1" t="s">
        <v>4166</v>
      </c>
      <c r="E1678" s="1">
        <v>39800000</v>
      </c>
    </row>
    <row r="1679" spans="1:5" ht="14.4" x14ac:dyDescent="0.3">
      <c r="A1679" s="20" t="s">
        <v>8098</v>
      </c>
      <c r="B1679" s="1" t="s">
        <v>264</v>
      </c>
      <c r="C1679" s="1">
        <v>3008</v>
      </c>
      <c r="D1679" s="1" t="s">
        <v>4167</v>
      </c>
      <c r="E1679" s="1">
        <v>18800000</v>
      </c>
    </row>
    <row r="1680" spans="1:5" ht="14.4" x14ac:dyDescent="0.3">
      <c r="A1680" s="20" t="s">
        <v>8099</v>
      </c>
      <c r="B1680" s="1" t="s">
        <v>264</v>
      </c>
      <c r="C1680" s="1" t="s">
        <v>2897</v>
      </c>
      <c r="D1680" s="1" t="s">
        <v>2898</v>
      </c>
      <c r="E1680" s="1">
        <v>16100000</v>
      </c>
    </row>
    <row r="1681" spans="1:5" ht="14.4" x14ac:dyDescent="0.3">
      <c r="A1681" s="20" t="s">
        <v>8100</v>
      </c>
      <c r="B1681" s="1" t="s">
        <v>264</v>
      </c>
      <c r="C1681" s="1">
        <v>308</v>
      </c>
      <c r="D1681" s="1" t="s">
        <v>4168</v>
      </c>
      <c r="E1681" s="1">
        <v>19900000</v>
      </c>
    </row>
    <row r="1682" spans="1:5" ht="14.4" x14ac:dyDescent="0.3">
      <c r="A1682" s="20" t="s">
        <v>8101</v>
      </c>
      <c r="B1682" s="1" t="s">
        <v>264</v>
      </c>
      <c r="C1682" s="1">
        <v>308</v>
      </c>
      <c r="D1682" s="1" t="s">
        <v>4169</v>
      </c>
      <c r="E1682" s="1">
        <v>19500000</v>
      </c>
    </row>
    <row r="1683" spans="1:5" ht="14.4" x14ac:dyDescent="0.3">
      <c r="A1683" s="20" t="s">
        <v>8102</v>
      </c>
      <c r="B1683" s="1" t="s">
        <v>236</v>
      </c>
      <c r="C1683" s="1" t="s">
        <v>3087</v>
      </c>
      <c r="D1683" s="1" t="s">
        <v>4170</v>
      </c>
      <c r="E1683" s="1">
        <v>21700000</v>
      </c>
    </row>
    <row r="1684" spans="1:5" ht="14.4" x14ac:dyDescent="0.3">
      <c r="A1684" s="20" t="s">
        <v>8103</v>
      </c>
      <c r="B1684" s="1" t="s">
        <v>264</v>
      </c>
      <c r="C1684" s="1" t="s">
        <v>2917</v>
      </c>
      <c r="D1684" s="1" t="s">
        <v>4171</v>
      </c>
      <c r="E1684" s="1">
        <v>26600000</v>
      </c>
    </row>
    <row r="1685" spans="1:5" ht="14.4" x14ac:dyDescent="0.3">
      <c r="A1685" s="20" t="s">
        <v>8104</v>
      </c>
      <c r="B1685" s="1" t="s">
        <v>181</v>
      </c>
      <c r="C1685" s="1" t="s">
        <v>182</v>
      </c>
      <c r="D1685" s="1" t="s">
        <v>4172</v>
      </c>
      <c r="E1685" s="1">
        <v>10800000</v>
      </c>
    </row>
    <row r="1686" spans="1:5" ht="14.4" x14ac:dyDescent="0.3">
      <c r="A1686" s="20" t="s">
        <v>8105</v>
      </c>
      <c r="B1686" s="1" t="s">
        <v>229</v>
      </c>
      <c r="C1686" s="1" t="s">
        <v>3218</v>
      </c>
      <c r="D1686" s="1" t="s">
        <v>232</v>
      </c>
      <c r="E1686" s="1">
        <v>21600000</v>
      </c>
    </row>
    <row r="1687" spans="1:5" ht="14.4" x14ac:dyDescent="0.3">
      <c r="A1687" s="20" t="s">
        <v>8106</v>
      </c>
      <c r="B1687" s="1" t="s">
        <v>2945</v>
      </c>
      <c r="C1687" s="1">
        <v>3</v>
      </c>
      <c r="D1687" s="1" t="s">
        <v>4173</v>
      </c>
      <c r="E1687" s="1">
        <v>6210000</v>
      </c>
    </row>
    <row r="1688" spans="1:5" ht="14.4" x14ac:dyDescent="0.3">
      <c r="A1688" s="20" t="s">
        <v>8107</v>
      </c>
      <c r="B1688" s="1" t="s">
        <v>260</v>
      </c>
      <c r="C1688" s="1" t="s">
        <v>69</v>
      </c>
      <c r="D1688" s="1" t="s">
        <v>4174</v>
      </c>
      <c r="E1688" s="1">
        <v>15200000</v>
      </c>
    </row>
    <row r="1689" spans="1:5" ht="14.4" x14ac:dyDescent="0.3">
      <c r="A1689" s="20" t="s">
        <v>8108</v>
      </c>
      <c r="B1689" s="1" t="s">
        <v>2906</v>
      </c>
      <c r="C1689" s="1" t="s">
        <v>3909</v>
      </c>
      <c r="D1689" s="1" t="s">
        <v>4175</v>
      </c>
      <c r="E1689" s="1">
        <v>13000000</v>
      </c>
    </row>
    <row r="1690" spans="1:5" ht="14.4" x14ac:dyDescent="0.3">
      <c r="A1690" s="20" t="s">
        <v>8109</v>
      </c>
      <c r="B1690" s="1" t="s">
        <v>3433</v>
      </c>
      <c r="C1690" s="1" t="s">
        <v>4176</v>
      </c>
      <c r="D1690" s="1" t="s">
        <v>4177</v>
      </c>
      <c r="E1690" s="1">
        <v>65000000</v>
      </c>
    </row>
    <row r="1691" spans="1:5" ht="14.4" x14ac:dyDescent="0.3">
      <c r="A1691" s="20" t="s">
        <v>8110</v>
      </c>
      <c r="B1691" s="1" t="s">
        <v>264</v>
      </c>
      <c r="C1691" s="1" t="s">
        <v>2890</v>
      </c>
      <c r="D1691" s="1" t="s">
        <v>2889</v>
      </c>
      <c r="E1691" s="1">
        <v>13200000</v>
      </c>
    </row>
    <row r="1692" spans="1:5" ht="14.4" x14ac:dyDescent="0.3">
      <c r="A1692" s="20" t="s">
        <v>8111</v>
      </c>
      <c r="B1692" s="1" t="s">
        <v>242</v>
      </c>
      <c r="C1692" s="1" t="s">
        <v>3511</v>
      </c>
      <c r="D1692" s="1" t="s">
        <v>4178</v>
      </c>
      <c r="E1692" s="1">
        <v>11100000</v>
      </c>
    </row>
    <row r="1693" spans="1:5" ht="14.4" x14ac:dyDescent="0.3">
      <c r="A1693" s="20" t="s">
        <v>8112</v>
      </c>
      <c r="B1693" s="1" t="s">
        <v>3781</v>
      </c>
      <c r="C1693" s="1" t="s">
        <v>4179</v>
      </c>
      <c r="D1693" s="1" t="s">
        <v>4180</v>
      </c>
      <c r="E1693" s="1">
        <v>6830000</v>
      </c>
    </row>
    <row r="1694" spans="1:5" ht="14.4" x14ac:dyDescent="0.3">
      <c r="A1694" s="20" t="s">
        <v>8113</v>
      </c>
      <c r="B1694" s="1" t="s">
        <v>93</v>
      </c>
      <c r="C1694" s="1" t="s">
        <v>113</v>
      </c>
      <c r="D1694" s="1" t="s">
        <v>4181</v>
      </c>
      <c r="E1694" s="1">
        <v>14700000</v>
      </c>
    </row>
    <row r="1695" spans="1:5" ht="14.4" x14ac:dyDescent="0.3">
      <c r="A1695" s="20" t="s">
        <v>8114</v>
      </c>
      <c r="B1695" s="1" t="s">
        <v>260</v>
      </c>
      <c r="C1695" s="1" t="s">
        <v>69</v>
      </c>
      <c r="D1695" s="1" t="s">
        <v>4182</v>
      </c>
      <c r="E1695" s="1">
        <v>13900000</v>
      </c>
    </row>
    <row r="1696" spans="1:5" ht="14.4" x14ac:dyDescent="0.3">
      <c r="A1696" s="20" t="s">
        <v>8115</v>
      </c>
      <c r="B1696" s="1" t="s">
        <v>334</v>
      </c>
      <c r="C1696" s="1" t="s">
        <v>4183</v>
      </c>
      <c r="D1696" s="1" t="s">
        <v>4184</v>
      </c>
      <c r="E1696" s="1">
        <v>14900000</v>
      </c>
    </row>
    <row r="1697" spans="1:5" ht="14.4" x14ac:dyDescent="0.3">
      <c r="A1697" s="20" t="s">
        <v>8116</v>
      </c>
      <c r="B1697" s="1" t="s">
        <v>3362</v>
      </c>
      <c r="C1697" s="1" t="s">
        <v>3378</v>
      </c>
      <c r="D1697" s="1" t="s">
        <v>4185</v>
      </c>
      <c r="E1697" s="1">
        <v>9300000</v>
      </c>
    </row>
    <row r="1698" spans="1:5" ht="14.4" x14ac:dyDescent="0.3">
      <c r="A1698" s="20" t="s">
        <v>8117</v>
      </c>
      <c r="B1698" s="1" t="s">
        <v>317</v>
      </c>
      <c r="C1698" s="1" t="s">
        <v>3492</v>
      </c>
      <c r="D1698" s="1" t="s">
        <v>4186</v>
      </c>
      <c r="E1698" s="1">
        <v>17100000</v>
      </c>
    </row>
    <row r="1699" spans="1:5" ht="14.4" x14ac:dyDescent="0.3">
      <c r="A1699" s="20" t="s">
        <v>8118</v>
      </c>
      <c r="B1699" s="1" t="s">
        <v>264</v>
      </c>
      <c r="C1699" s="1" t="s">
        <v>293</v>
      </c>
      <c r="D1699" s="1" t="s">
        <v>537</v>
      </c>
      <c r="E1699" s="1">
        <v>23200000</v>
      </c>
    </row>
    <row r="1700" spans="1:5" ht="14.4" x14ac:dyDescent="0.3">
      <c r="A1700" s="20" t="s">
        <v>8119</v>
      </c>
      <c r="B1700" s="1" t="s">
        <v>264</v>
      </c>
      <c r="C1700" s="1" t="s">
        <v>2913</v>
      </c>
      <c r="D1700" s="1" t="s">
        <v>4187</v>
      </c>
      <c r="E1700" s="1">
        <v>20000000</v>
      </c>
    </row>
    <row r="1701" spans="1:5" ht="14.4" x14ac:dyDescent="0.3">
      <c r="A1701" s="20" t="s">
        <v>8120</v>
      </c>
      <c r="B1701" s="1" t="s">
        <v>48</v>
      </c>
      <c r="C1701" s="1" t="s">
        <v>3308</v>
      </c>
      <c r="D1701" s="1" t="s">
        <v>4188</v>
      </c>
      <c r="E1701" s="1">
        <v>15200000</v>
      </c>
    </row>
    <row r="1702" spans="1:5" ht="14.4" x14ac:dyDescent="0.3">
      <c r="A1702" s="20" t="s">
        <v>8121</v>
      </c>
      <c r="B1702" s="1" t="s">
        <v>72</v>
      </c>
      <c r="C1702" s="1">
        <v>560</v>
      </c>
      <c r="D1702" s="1" t="s">
        <v>4189</v>
      </c>
      <c r="E1702" s="1">
        <v>9200000</v>
      </c>
    </row>
    <row r="1703" spans="1:5" ht="14.4" x14ac:dyDescent="0.3">
      <c r="A1703" s="20" t="s">
        <v>8122</v>
      </c>
      <c r="B1703" s="1" t="s">
        <v>334</v>
      </c>
      <c r="C1703" s="1" t="s">
        <v>2976</v>
      </c>
      <c r="D1703" s="1" t="s">
        <v>4190</v>
      </c>
      <c r="E1703" s="1">
        <v>14000000</v>
      </c>
    </row>
    <row r="1704" spans="1:5" ht="14.4" x14ac:dyDescent="0.3">
      <c r="A1704" s="20" t="s">
        <v>8123</v>
      </c>
      <c r="B1704" s="1" t="s">
        <v>2910</v>
      </c>
      <c r="C1704" s="1" t="s">
        <v>3618</v>
      </c>
      <c r="D1704" s="1" t="s">
        <v>4191</v>
      </c>
      <c r="E1704" s="1">
        <v>9600000</v>
      </c>
    </row>
    <row r="1705" spans="1:5" ht="14.4" x14ac:dyDescent="0.3">
      <c r="A1705" s="20" t="s">
        <v>8124</v>
      </c>
      <c r="B1705" s="1" t="s">
        <v>264</v>
      </c>
      <c r="C1705" s="1">
        <v>5008</v>
      </c>
      <c r="D1705" s="1" t="s">
        <v>4192</v>
      </c>
      <c r="E1705" s="1">
        <v>13800000</v>
      </c>
    </row>
    <row r="1706" spans="1:5" ht="14.4" x14ac:dyDescent="0.3">
      <c r="A1706" s="20" t="s">
        <v>8125</v>
      </c>
      <c r="B1706" s="1" t="s">
        <v>30</v>
      </c>
      <c r="C1706" s="1" t="s">
        <v>41</v>
      </c>
      <c r="D1706" s="1" t="s">
        <v>4193</v>
      </c>
      <c r="E1706" s="1">
        <v>11700000</v>
      </c>
    </row>
    <row r="1707" spans="1:5" ht="14.4" x14ac:dyDescent="0.3">
      <c r="A1707" s="20" t="s">
        <v>8126</v>
      </c>
      <c r="B1707" s="1" t="s">
        <v>3228</v>
      </c>
      <c r="C1707" s="1" t="s">
        <v>3229</v>
      </c>
      <c r="D1707" s="1" t="s">
        <v>4194</v>
      </c>
      <c r="E1707" s="1">
        <v>9800000</v>
      </c>
    </row>
    <row r="1708" spans="1:5" ht="14.4" x14ac:dyDescent="0.3">
      <c r="A1708" s="20" t="s">
        <v>8127</v>
      </c>
      <c r="B1708" s="1" t="s">
        <v>2910</v>
      </c>
      <c r="C1708" s="1" t="s">
        <v>3245</v>
      </c>
      <c r="D1708" s="1" t="s">
        <v>4195</v>
      </c>
      <c r="E1708" s="1">
        <v>29300000</v>
      </c>
    </row>
    <row r="1709" spans="1:5" ht="14.4" x14ac:dyDescent="0.3">
      <c r="A1709" s="20" t="s">
        <v>8128</v>
      </c>
      <c r="B1709" s="1" t="s">
        <v>327</v>
      </c>
      <c r="C1709" s="1" t="s">
        <v>3065</v>
      </c>
      <c r="D1709" s="1" t="s">
        <v>4196</v>
      </c>
      <c r="E1709" s="1">
        <v>7710000</v>
      </c>
    </row>
    <row r="1710" spans="1:5" ht="14.4" x14ac:dyDescent="0.3">
      <c r="A1710" s="20" t="s">
        <v>8129</v>
      </c>
      <c r="B1710" s="1" t="s">
        <v>181</v>
      </c>
      <c r="C1710" s="1" t="s">
        <v>4197</v>
      </c>
      <c r="D1710" s="1" t="s">
        <v>4198</v>
      </c>
      <c r="E1710" s="1">
        <v>9900000</v>
      </c>
    </row>
    <row r="1711" spans="1:5" ht="14.4" x14ac:dyDescent="0.3">
      <c r="A1711" s="20" t="s">
        <v>8130</v>
      </c>
      <c r="B1711" s="1" t="s">
        <v>236</v>
      </c>
      <c r="C1711" s="1" t="s">
        <v>4199</v>
      </c>
      <c r="D1711" s="1" t="s">
        <v>4200</v>
      </c>
      <c r="E1711" s="1">
        <v>12900000</v>
      </c>
    </row>
    <row r="1712" spans="1:5" ht="14.4" x14ac:dyDescent="0.3">
      <c r="A1712" s="20" t="s">
        <v>8131</v>
      </c>
      <c r="B1712" s="1" t="s">
        <v>30</v>
      </c>
      <c r="C1712" s="1" t="s">
        <v>41</v>
      </c>
      <c r="D1712" s="1" t="s">
        <v>4201</v>
      </c>
      <c r="E1712" s="1">
        <v>12100000</v>
      </c>
    </row>
    <row r="1713" spans="1:5" ht="14.4" x14ac:dyDescent="0.3">
      <c r="A1713" s="20" t="s">
        <v>8132</v>
      </c>
      <c r="B1713" s="1" t="s">
        <v>48</v>
      </c>
      <c r="C1713" s="1" t="s">
        <v>61</v>
      </c>
      <c r="D1713" s="1" t="s">
        <v>4202</v>
      </c>
      <c r="E1713" s="1">
        <v>7100000</v>
      </c>
    </row>
    <row r="1714" spans="1:5" ht="14.4" x14ac:dyDescent="0.3">
      <c r="A1714" s="20" t="s">
        <v>8133</v>
      </c>
      <c r="B1714" s="1" t="s">
        <v>157</v>
      </c>
      <c r="C1714" s="1" t="s">
        <v>3257</v>
      </c>
      <c r="D1714" s="1" t="s">
        <v>4203</v>
      </c>
      <c r="E1714" s="1">
        <v>15200000</v>
      </c>
    </row>
    <row r="1715" spans="1:5" ht="14.4" x14ac:dyDescent="0.3">
      <c r="A1715" s="20" t="s">
        <v>8134</v>
      </c>
      <c r="B1715" s="1" t="s">
        <v>2910</v>
      </c>
      <c r="C1715" s="1" t="s">
        <v>2935</v>
      </c>
      <c r="D1715" s="1" t="s">
        <v>4204</v>
      </c>
      <c r="E1715" s="1">
        <v>8900000</v>
      </c>
    </row>
    <row r="1716" spans="1:5" ht="14.4" x14ac:dyDescent="0.3">
      <c r="A1716" s="20" t="s">
        <v>8135</v>
      </c>
      <c r="B1716" s="1" t="s">
        <v>2910</v>
      </c>
      <c r="C1716" s="1" t="s">
        <v>2911</v>
      </c>
      <c r="D1716" s="1" t="s">
        <v>4205</v>
      </c>
      <c r="E1716" s="1">
        <v>8800000</v>
      </c>
    </row>
    <row r="1717" spans="1:5" ht="14.4" x14ac:dyDescent="0.3">
      <c r="A1717" s="20" t="s">
        <v>8136</v>
      </c>
      <c r="B1717" s="1" t="s">
        <v>264</v>
      </c>
      <c r="C1717" s="1" t="s">
        <v>2890</v>
      </c>
      <c r="D1717" s="1" t="s">
        <v>4206</v>
      </c>
      <c r="E1717" s="1">
        <v>13500000</v>
      </c>
    </row>
    <row r="1718" spans="1:5" ht="14.4" x14ac:dyDescent="0.3">
      <c r="A1718" s="20" t="s">
        <v>8137</v>
      </c>
      <c r="B1718" s="1" t="s">
        <v>30</v>
      </c>
      <c r="C1718" s="1" t="s">
        <v>45</v>
      </c>
      <c r="D1718" s="1" t="s">
        <v>47</v>
      </c>
      <c r="E1718" s="1">
        <v>11500000</v>
      </c>
    </row>
    <row r="1719" spans="1:5" ht="14.4" x14ac:dyDescent="0.3">
      <c r="A1719" s="20" t="s">
        <v>8138</v>
      </c>
      <c r="B1719" s="1" t="s">
        <v>151</v>
      </c>
      <c r="C1719" s="1" t="s">
        <v>154</v>
      </c>
      <c r="D1719" s="1" t="s">
        <v>156</v>
      </c>
      <c r="E1719" s="1">
        <v>16500000</v>
      </c>
    </row>
    <row r="1720" spans="1:5" ht="14.4" x14ac:dyDescent="0.3">
      <c r="A1720" s="20" t="s">
        <v>8139</v>
      </c>
      <c r="B1720" s="1" t="s">
        <v>339</v>
      </c>
      <c r="C1720" s="1" t="s">
        <v>3850</v>
      </c>
      <c r="D1720" s="1" t="s">
        <v>4207</v>
      </c>
      <c r="E1720" s="1">
        <v>7400000</v>
      </c>
    </row>
    <row r="1721" spans="1:5" ht="14.4" x14ac:dyDescent="0.3">
      <c r="A1721" s="20" t="s">
        <v>8140</v>
      </c>
      <c r="B1721" s="1" t="s">
        <v>3362</v>
      </c>
      <c r="C1721" s="1" t="s">
        <v>3378</v>
      </c>
      <c r="D1721" s="1" t="s">
        <v>150</v>
      </c>
      <c r="E1721" s="1">
        <v>10800000</v>
      </c>
    </row>
    <row r="1722" spans="1:5" ht="14.4" x14ac:dyDescent="0.3">
      <c r="A1722" s="20" t="s">
        <v>8141</v>
      </c>
      <c r="B1722" s="1" t="s">
        <v>2910</v>
      </c>
      <c r="C1722" s="1" t="s">
        <v>3673</v>
      </c>
      <c r="D1722" s="1" t="s">
        <v>4208</v>
      </c>
      <c r="E1722" s="1">
        <v>9700000</v>
      </c>
    </row>
    <row r="1723" spans="1:5" ht="14.4" x14ac:dyDescent="0.3">
      <c r="A1723" s="20" t="s">
        <v>8142</v>
      </c>
      <c r="B1723" s="1" t="s">
        <v>242</v>
      </c>
      <c r="C1723" s="1" t="s">
        <v>2988</v>
      </c>
      <c r="D1723" s="1" t="s">
        <v>4209</v>
      </c>
      <c r="E1723" s="1">
        <v>21500000</v>
      </c>
    </row>
    <row r="1724" spans="1:5" ht="14.4" x14ac:dyDescent="0.3">
      <c r="A1724" s="20" t="s">
        <v>8143</v>
      </c>
      <c r="B1724" s="1" t="s">
        <v>242</v>
      </c>
      <c r="C1724" s="1" t="s">
        <v>254</v>
      </c>
      <c r="D1724" s="1" t="s">
        <v>4210</v>
      </c>
      <c r="E1724" s="1">
        <v>7350000</v>
      </c>
    </row>
    <row r="1725" spans="1:5" ht="14.4" x14ac:dyDescent="0.3">
      <c r="A1725" s="20" t="s">
        <v>8144</v>
      </c>
      <c r="B1725" s="1" t="s">
        <v>2945</v>
      </c>
      <c r="C1725" s="1" t="s">
        <v>4211</v>
      </c>
      <c r="D1725" s="1" t="s">
        <v>4212</v>
      </c>
      <c r="E1725" s="1">
        <v>6790000</v>
      </c>
    </row>
    <row r="1726" spans="1:5" ht="14.4" x14ac:dyDescent="0.3">
      <c r="A1726" s="20" t="s">
        <v>8145</v>
      </c>
      <c r="B1726" s="1" t="s">
        <v>2910</v>
      </c>
      <c r="C1726" s="1" t="s">
        <v>218</v>
      </c>
      <c r="D1726" s="1" t="s">
        <v>4213</v>
      </c>
      <c r="E1726" s="1">
        <v>20300000</v>
      </c>
    </row>
    <row r="1727" spans="1:5" ht="14.4" x14ac:dyDescent="0.3">
      <c r="A1727" s="20" t="s">
        <v>8146</v>
      </c>
      <c r="B1727" s="1" t="s">
        <v>264</v>
      </c>
      <c r="C1727" s="1" t="s">
        <v>2917</v>
      </c>
      <c r="D1727" s="1" t="s">
        <v>4034</v>
      </c>
      <c r="E1727" s="1">
        <v>22800000</v>
      </c>
    </row>
    <row r="1728" spans="1:5" ht="14.4" x14ac:dyDescent="0.3">
      <c r="A1728" s="20" t="s">
        <v>8147</v>
      </c>
      <c r="B1728" s="1" t="s">
        <v>48</v>
      </c>
      <c r="C1728" s="1" t="s">
        <v>3234</v>
      </c>
      <c r="D1728" s="1" t="s">
        <v>2889</v>
      </c>
      <c r="E1728" s="1">
        <v>11000000</v>
      </c>
    </row>
    <row r="1729" spans="1:5" ht="14.4" x14ac:dyDescent="0.3">
      <c r="A1729" s="20" t="s">
        <v>8148</v>
      </c>
      <c r="B1729" s="1" t="s">
        <v>30</v>
      </c>
      <c r="C1729" s="1" t="s">
        <v>3517</v>
      </c>
      <c r="D1729" s="1" t="s">
        <v>4214</v>
      </c>
      <c r="E1729" s="1">
        <v>16100000</v>
      </c>
    </row>
    <row r="1730" spans="1:5" ht="14.4" x14ac:dyDescent="0.3">
      <c r="A1730" s="20" t="s">
        <v>8149</v>
      </c>
      <c r="B1730" s="1" t="s">
        <v>334</v>
      </c>
      <c r="C1730" s="1" t="s">
        <v>3199</v>
      </c>
      <c r="D1730" s="1" t="s">
        <v>4215</v>
      </c>
      <c r="E1730" s="1">
        <v>18300000</v>
      </c>
    </row>
    <row r="1731" spans="1:5" ht="14.4" x14ac:dyDescent="0.3">
      <c r="A1731" s="20" t="s">
        <v>8150</v>
      </c>
      <c r="B1731" s="1" t="s">
        <v>2910</v>
      </c>
      <c r="C1731" s="1" t="s">
        <v>3076</v>
      </c>
      <c r="D1731" s="1" t="s">
        <v>4216</v>
      </c>
      <c r="E1731" s="1">
        <v>12200000</v>
      </c>
    </row>
    <row r="1732" spans="1:5" ht="14.4" x14ac:dyDescent="0.3">
      <c r="A1732" s="20" t="s">
        <v>8151</v>
      </c>
      <c r="B1732" s="1" t="s">
        <v>260</v>
      </c>
      <c r="C1732" s="1" t="s">
        <v>69</v>
      </c>
      <c r="D1732" s="1" t="s">
        <v>4217</v>
      </c>
      <c r="E1732" s="1">
        <v>13200000</v>
      </c>
    </row>
    <row r="1733" spans="1:5" ht="14.4" x14ac:dyDescent="0.3">
      <c r="A1733" s="20" t="s">
        <v>8152</v>
      </c>
      <c r="B1733" s="1" t="s">
        <v>264</v>
      </c>
      <c r="C1733" s="1" t="s">
        <v>2899</v>
      </c>
      <c r="D1733" s="1" t="s">
        <v>281</v>
      </c>
      <c r="E1733" s="1">
        <v>14400000</v>
      </c>
    </row>
    <row r="1734" spans="1:5" ht="14.4" x14ac:dyDescent="0.3">
      <c r="A1734" s="20" t="s">
        <v>8153</v>
      </c>
      <c r="B1734" s="1" t="s">
        <v>93</v>
      </c>
      <c r="C1734" s="1" t="s">
        <v>3205</v>
      </c>
      <c r="D1734" s="1" t="s">
        <v>4218</v>
      </c>
      <c r="E1734" s="1">
        <v>16300000</v>
      </c>
    </row>
    <row r="1735" spans="1:5" ht="14.4" x14ac:dyDescent="0.3">
      <c r="A1735" s="20" t="s">
        <v>8154</v>
      </c>
      <c r="B1735" s="1" t="s">
        <v>48</v>
      </c>
      <c r="C1735" s="1" t="s">
        <v>4219</v>
      </c>
      <c r="D1735" s="1" t="s">
        <v>4220</v>
      </c>
      <c r="E1735" s="1">
        <v>26200000</v>
      </c>
    </row>
    <row r="1736" spans="1:5" ht="14.4" x14ac:dyDescent="0.3">
      <c r="A1736" s="20" t="s">
        <v>8155</v>
      </c>
      <c r="B1736" s="1" t="s">
        <v>2910</v>
      </c>
      <c r="C1736" s="1" t="s">
        <v>215</v>
      </c>
      <c r="D1736" s="1" t="s">
        <v>4221</v>
      </c>
      <c r="E1736" s="1">
        <v>18800000</v>
      </c>
    </row>
    <row r="1737" spans="1:5" ht="14.4" x14ac:dyDescent="0.3">
      <c r="A1737" s="20" t="s">
        <v>8156</v>
      </c>
      <c r="B1737" s="1" t="s">
        <v>30</v>
      </c>
      <c r="C1737" s="1" t="s">
        <v>38</v>
      </c>
      <c r="D1737" s="1" t="s">
        <v>4222</v>
      </c>
      <c r="E1737" s="1">
        <v>10600000</v>
      </c>
    </row>
    <row r="1738" spans="1:5" ht="14.4" x14ac:dyDescent="0.3">
      <c r="A1738" s="20" t="s">
        <v>8157</v>
      </c>
      <c r="B1738" s="1" t="s">
        <v>93</v>
      </c>
      <c r="C1738" s="1" t="s">
        <v>4223</v>
      </c>
      <c r="D1738" s="1" t="s">
        <v>4224</v>
      </c>
      <c r="E1738" s="1">
        <v>6460000</v>
      </c>
    </row>
    <row r="1739" spans="1:5" ht="14.4" x14ac:dyDescent="0.3">
      <c r="A1739" s="20" t="s">
        <v>8158</v>
      </c>
      <c r="B1739" s="1" t="s">
        <v>3630</v>
      </c>
      <c r="C1739" s="1" t="s">
        <v>3631</v>
      </c>
      <c r="D1739" s="1" t="s">
        <v>4225</v>
      </c>
      <c r="E1739" s="1">
        <v>14300000</v>
      </c>
    </row>
    <row r="1740" spans="1:5" ht="14.4" x14ac:dyDescent="0.3">
      <c r="A1740" s="20" t="s">
        <v>8159</v>
      </c>
      <c r="B1740" s="1" t="s">
        <v>303</v>
      </c>
      <c r="C1740" s="1" t="s">
        <v>311</v>
      </c>
      <c r="D1740" s="1" t="s">
        <v>313</v>
      </c>
      <c r="E1740" s="1">
        <v>27500000</v>
      </c>
    </row>
    <row r="1741" spans="1:5" ht="14.4" x14ac:dyDescent="0.3">
      <c r="A1741" s="20" t="s">
        <v>8160</v>
      </c>
      <c r="B1741" s="1" t="s">
        <v>157</v>
      </c>
      <c r="C1741" s="1" t="s">
        <v>2940</v>
      </c>
      <c r="D1741" s="1" t="s">
        <v>163</v>
      </c>
      <c r="E1741" s="1">
        <v>18400000</v>
      </c>
    </row>
    <row r="1742" spans="1:5" ht="14.4" x14ac:dyDescent="0.3">
      <c r="A1742" s="20" t="s">
        <v>8161</v>
      </c>
      <c r="B1742" s="1" t="s">
        <v>264</v>
      </c>
      <c r="C1742" s="1">
        <v>3008</v>
      </c>
      <c r="D1742" s="1" t="s">
        <v>4226</v>
      </c>
      <c r="E1742" s="1">
        <v>22100000</v>
      </c>
    </row>
    <row r="1743" spans="1:5" ht="14.4" x14ac:dyDescent="0.3">
      <c r="A1743" s="20" t="s">
        <v>8162</v>
      </c>
      <c r="B1743" s="1" t="s">
        <v>2957</v>
      </c>
      <c r="C1743" s="1" t="s">
        <v>3268</v>
      </c>
      <c r="D1743" s="1" t="s">
        <v>4227</v>
      </c>
      <c r="E1743" s="1">
        <v>29500000</v>
      </c>
    </row>
    <row r="1744" spans="1:5" ht="14.4" x14ac:dyDescent="0.3">
      <c r="A1744" s="20" t="s">
        <v>8163</v>
      </c>
      <c r="B1744" s="1" t="s">
        <v>242</v>
      </c>
      <c r="C1744" s="1" t="s">
        <v>246</v>
      </c>
      <c r="D1744" s="1" t="s">
        <v>4228</v>
      </c>
      <c r="E1744" s="1">
        <v>18000000</v>
      </c>
    </row>
    <row r="1745" spans="1:5" ht="14.4" x14ac:dyDescent="0.3">
      <c r="A1745" s="20" t="s">
        <v>8164</v>
      </c>
      <c r="B1745" s="1" t="s">
        <v>229</v>
      </c>
      <c r="C1745" s="1" t="s">
        <v>3142</v>
      </c>
      <c r="D1745" s="1" t="s">
        <v>4229</v>
      </c>
      <c r="E1745" s="1">
        <v>12300000</v>
      </c>
    </row>
    <row r="1746" spans="1:5" ht="14.4" x14ac:dyDescent="0.3">
      <c r="A1746" s="20" t="s">
        <v>8165</v>
      </c>
      <c r="B1746" s="1" t="s">
        <v>2910</v>
      </c>
      <c r="C1746" s="1" t="s">
        <v>2911</v>
      </c>
      <c r="D1746" s="1" t="s">
        <v>4230</v>
      </c>
      <c r="E1746" s="1">
        <v>9800000</v>
      </c>
    </row>
    <row r="1747" spans="1:5" ht="14.4" x14ac:dyDescent="0.3">
      <c r="A1747" s="20" t="s">
        <v>8166</v>
      </c>
      <c r="B1747" s="1" t="s">
        <v>264</v>
      </c>
      <c r="C1747" s="1" t="s">
        <v>2913</v>
      </c>
      <c r="D1747" s="1" t="s">
        <v>3980</v>
      </c>
      <c r="E1747" s="1">
        <v>20400000</v>
      </c>
    </row>
    <row r="1748" spans="1:5" ht="14.4" x14ac:dyDescent="0.3">
      <c r="A1748" s="20" t="s">
        <v>8167</v>
      </c>
      <c r="B1748" s="1" t="s">
        <v>264</v>
      </c>
      <c r="C1748" s="1" t="s">
        <v>2913</v>
      </c>
      <c r="D1748" s="1" t="s">
        <v>3980</v>
      </c>
      <c r="E1748" s="1">
        <v>20500000</v>
      </c>
    </row>
    <row r="1749" spans="1:5" ht="14.4" x14ac:dyDescent="0.3">
      <c r="A1749" s="20" t="s">
        <v>8168</v>
      </c>
      <c r="B1749" s="1" t="s">
        <v>181</v>
      </c>
      <c r="C1749" s="1" t="s">
        <v>3604</v>
      </c>
      <c r="D1749" s="1" t="s">
        <v>4231</v>
      </c>
      <c r="E1749" s="1">
        <v>7980000</v>
      </c>
    </row>
    <row r="1750" spans="1:5" ht="14.4" x14ac:dyDescent="0.3">
      <c r="A1750" s="20" t="s">
        <v>8169</v>
      </c>
      <c r="B1750" s="1" t="s">
        <v>30</v>
      </c>
      <c r="C1750" s="1" t="s">
        <v>31</v>
      </c>
      <c r="D1750" s="1" t="s">
        <v>33</v>
      </c>
      <c r="E1750" s="1">
        <v>5990000</v>
      </c>
    </row>
    <row r="1751" spans="1:5" ht="14.4" x14ac:dyDescent="0.3">
      <c r="A1751" s="20" t="s">
        <v>8170</v>
      </c>
      <c r="B1751" s="1" t="s">
        <v>2957</v>
      </c>
      <c r="C1751" s="1" t="s">
        <v>2958</v>
      </c>
      <c r="D1751" s="1" t="s">
        <v>2340</v>
      </c>
      <c r="E1751" s="1">
        <v>10400000</v>
      </c>
    </row>
    <row r="1752" spans="1:5" ht="14.4" x14ac:dyDescent="0.3">
      <c r="A1752" s="20" t="s">
        <v>8171</v>
      </c>
      <c r="B1752" s="1" t="s">
        <v>264</v>
      </c>
      <c r="C1752" s="1" t="s">
        <v>300</v>
      </c>
      <c r="D1752" s="1" t="s">
        <v>302</v>
      </c>
      <c r="E1752" s="1">
        <v>16900000</v>
      </c>
    </row>
    <row r="1753" spans="1:5" ht="14.4" x14ac:dyDescent="0.3">
      <c r="A1753" s="20" t="s">
        <v>8172</v>
      </c>
      <c r="B1753" s="1" t="s">
        <v>2910</v>
      </c>
      <c r="C1753" s="1" t="s">
        <v>218</v>
      </c>
      <c r="D1753" s="1" t="s">
        <v>4232</v>
      </c>
      <c r="E1753" s="1">
        <v>18800000</v>
      </c>
    </row>
    <row r="1754" spans="1:5" ht="14.4" x14ac:dyDescent="0.3">
      <c r="A1754" s="20" t="s">
        <v>8173</v>
      </c>
      <c r="B1754" s="1" t="s">
        <v>327</v>
      </c>
      <c r="C1754" s="1" t="s">
        <v>3544</v>
      </c>
      <c r="D1754" s="1" t="s">
        <v>3545</v>
      </c>
      <c r="E1754" s="1">
        <v>12100000</v>
      </c>
    </row>
    <row r="1755" spans="1:5" ht="14.4" x14ac:dyDescent="0.3">
      <c r="A1755" s="20" t="s">
        <v>8174</v>
      </c>
      <c r="B1755" s="1" t="s">
        <v>327</v>
      </c>
      <c r="C1755" s="1" t="s">
        <v>3320</v>
      </c>
      <c r="D1755" s="1" t="s">
        <v>4233</v>
      </c>
      <c r="E1755" s="1">
        <v>11400000</v>
      </c>
    </row>
    <row r="1756" spans="1:5" ht="14.4" x14ac:dyDescent="0.3">
      <c r="A1756" s="20" t="s">
        <v>8175</v>
      </c>
      <c r="B1756" s="1" t="s">
        <v>93</v>
      </c>
      <c r="C1756" s="1" t="s">
        <v>3205</v>
      </c>
      <c r="D1756" s="1" t="s">
        <v>4234</v>
      </c>
      <c r="E1756" s="1">
        <v>16200000</v>
      </c>
    </row>
    <row r="1757" spans="1:5" ht="14.4" x14ac:dyDescent="0.3">
      <c r="A1757" s="20" t="s">
        <v>8176</v>
      </c>
      <c r="B1757" s="1" t="s">
        <v>260</v>
      </c>
      <c r="C1757" s="1" t="s">
        <v>69</v>
      </c>
      <c r="D1757" s="1" t="s">
        <v>4235</v>
      </c>
      <c r="E1757" s="1">
        <v>13100000</v>
      </c>
    </row>
    <row r="1758" spans="1:5" ht="14.4" x14ac:dyDescent="0.3">
      <c r="A1758" s="20" t="s">
        <v>8177</v>
      </c>
      <c r="B1758" s="1" t="s">
        <v>93</v>
      </c>
      <c r="C1758" s="1" t="s">
        <v>143</v>
      </c>
      <c r="D1758" s="1" t="s">
        <v>4236</v>
      </c>
      <c r="E1758" s="1">
        <v>12000000</v>
      </c>
    </row>
    <row r="1759" spans="1:5" ht="14.4" x14ac:dyDescent="0.3">
      <c r="A1759" s="20" t="s">
        <v>8178</v>
      </c>
      <c r="B1759" s="1" t="s">
        <v>2938</v>
      </c>
      <c r="C1759" s="1" t="s">
        <v>4237</v>
      </c>
      <c r="D1759" s="1" t="s">
        <v>4238</v>
      </c>
      <c r="E1759" s="1">
        <v>5420000</v>
      </c>
    </row>
    <row r="1760" spans="1:5" ht="14.4" x14ac:dyDescent="0.3">
      <c r="A1760" s="20" t="s">
        <v>8179</v>
      </c>
      <c r="B1760" s="1" t="s">
        <v>93</v>
      </c>
      <c r="C1760" s="1" t="s">
        <v>105</v>
      </c>
      <c r="D1760" s="1" t="s">
        <v>4239</v>
      </c>
      <c r="E1760" s="1">
        <v>10800000</v>
      </c>
    </row>
    <row r="1761" spans="1:5" ht="14.4" x14ac:dyDescent="0.3">
      <c r="A1761" s="20" t="s">
        <v>8180</v>
      </c>
      <c r="B1761" s="1" t="s">
        <v>2933</v>
      </c>
      <c r="C1761" s="1" t="s">
        <v>2955</v>
      </c>
      <c r="D1761" s="1" t="s">
        <v>4240</v>
      </c>
      <c r="E1761" s="1">
        <v>10500000</v>
      </c>
    </row>
    <row r="1762" spans="1:5" ht="14.4" x14ac:dyDescent="0.3">
      <c r="A1762" s="20" t="s">
        <v>8181</v>
      </c>
      <c r="B1762" s="1" t="s">
        <v>314</v>
      </c>
      <c r="C1762" s="1" t="s">
        <v>3875</v>
      </c>
      <c r="D1762" s="1" t="s">
        <v>4241</v>
      </c>
      <c r="E1762" s="1">
        <v>7910000</v>
      </c>
    </row>
    <row r="1763" spans="1:5" ht="14.4" x14ac:dyDescent="0.3">
      <c r="A1763" s="20" t="s">
        <v>8182</v>
      </c>
      <c r="B1763" s="1" t="s">
        <v>2910</v>
      </c>
      <c r="C1763" s="1" t="s">
        <v>2975</v>
      </c>
      <c r="D1763" s="1" t="s">
        <v>4242</v>
      </c>
      <c r="E1763" s="1">
        <v>17200000</v>
      </c>
    </row>
    <row r="1764" spans="1:5" ht="14.4" x14ac:dyDescent="0.3">
      <c r="A1764" s="20" t="s">
        <v>8183</v>
      </c>
      <c r="B1764" s="1" t="s">
        <v>93</v>
      </c>
      <c r="C1764" s="1" t="s">
        <v>2919</v>
      </c>
      <c r="D1764" s="1" t="s">
        <v>1068</v>
      </c>
      <c r="E1764" s="1">
        <v>29800000</v>
      </c>
    </row>
    <row r="1765" spans="1:5" ht="14.4" x14ac:dyDescent="0.3">
      <c r="A1765" s="20" t="s">
        <v>8184</v>
      </c>
      <c r="B1765" s="1" t="s">
        <v>2906</v>
      </c>
      <c r="C1765" s="1" t="s">
        <v>3399</v>
      </c>
      <c r="D1765" s="1" t="s">
        <v>4243</v>
      </c>
      <c r="E1765" s="1">
        <v>7190000</v>
      </c>
    </row>
    <row r="1766" spans="1:5" ht="14.4" x14ac:dyDescent="0.3">
      <c r="A1766" s="20" t="s">
        <v>8185</v>
      </c>
      <c r="B1766" s="1" t="s">
        <v>242</v>
      </c>
      <c r="C1766" s="1" t="s">
        <v>3094</v>
      </c>
      <c r="D1766" s="1" t="s">
        <v>4244</v>
      </c>
      <c r="E1766" s="1">
        <v>22700000</v>
      </c>
    </row>
    <row r="1767" spans="1:5" ht="14.4" x14ac:dyDescent="0.3">
      <c r="A1767" s="20" t="s">
        <v>8186</v>
      </c>
      <c r="B1767" s="1" t="s">
        <v>229</v>
      </c>
      <c r="C1767" s="1" t="s">
        <v>3349</v>
      </c>
      <c r="D1767" s="1" t="s">
        <v>4245</v>
      </c>
      <c r="E1767" s="1">
        <v>15200000</v>
      </c>
    </row>
    <row r="1768" spans="1:5" ht="14.4" x14ac:dyDescent="0.3">
      <c r="A1768" s="20" t="s">
        <v>8187</v>
      </c>
      <c r="B1768" s="1" t="s">
        <v>151</v>
      </c>
      <c r="C1768" s="1" t="s">
        <v>4246</v>
      </c>
      <c r="D1768" s="1" t="s">
        <v>4247</v>
      </c>
      <c r="E1768" s="1">
        <v>11300000</v>
      </c>
    </row>
    <row r="1769" spans="1:5" ht="14.4" x14ac:dyDescent="0.3">
      <c r="A1769" s="20" t="s">
        <v>8188</v>
      </c>
      <c r="B1769" s="1" t="s">
        <v>93</v>
      </c>
      <c r="C1769" s="1" t="s">
        <v>2919</v>
      </c>
      <c r="D1769" s="1" t="s">
        <v>4248</v>
      </c>
      <c r="E1769" s="1">
        <v>44100000</v>
      </c>
    </row>
    <row r="1770" spans="1:5" ht="14.4" x14ac:dyDescent="0.3">
      <c r="A1770" s="20" t="s">
        <v>8189</v>
      </c>
      <c r="B1770" s="1" t="s">
        <v>334</v>
      </c>
      <c r="C1770" s="1" t="s">
        <v>3274</v>
      </c>
      <c r="D1770" s="1" t="s">
        <v>4249</v>
      </c>
      <c r="E1770" s="1">
        <v>32600000</v>
      </c>
    </row>
    <row r="1771" spans="1:5" ht="14.4" x14ac:dyDescent="0.3">
      <c r="A1771" s="20" t="s">
        <v>8190</v>
      </c>
      <c r="B1771" s="1" t="s">
        <v>30</v>
      </c>
      <c r="C1771" s="1" t="s">
        <v>45</v>
      </c>
      <c r="D1771" s="1" t="s">
        <v>3753</v>
      </c>
      <c r="E1771" s="1">
        <v>11000000</v>
      </c>
    </row>
    <row r="1772" spans="1:5" ht="14.4" x14ac:dyDescent="0.3">
      <c r="A1772" s="20" t="s">
        <v>8191</v>
      </c>
      <c r="B1772" s="1" t="s">
        <v>48</v>
      </c>
      <c r="C1772" s="1" t="s">
        <v>52</v>
      </c>
      <c r="D1772" s="1" t="s">
        <v>4250</v>
      </c>
      <c r="E1772" s="1">
        <v>45400000</v>
      </c>
    </row>
    <row r="1773" spans="1:5" ht="14.4" x14ac:dyDescent="0.3">
      <c r="A1773" s="20" t="s">
        <v>8192</v>
      </c>
      <c r="B1773" s="1" t="s">
        <v>2910</v>
      </c>
      <c r="C1773" s="1" t="s">
        <v>218</v>
      </c>
      <c r="D1773" s="1" t="s">
        <v>4251</v>
      </c>
      <c r="E1773" s="1">
        <v>25900000</v>
      </c>
    </row>
    <row r="1774" spans="1:5" ht="14.4" x14ac:dyDescent="0.3">
      <c r="A1774" s="20" t="s">
        <v>8193</v>
      </c>
      <c r="B1774" s="1" t="s">
        <v>2957</v>
      </c>
      <c r="C1774" s="1" t="s">
        <v>3843</v>
      </c>
      <c r="D1774" s="1" t="s">
        <v>3844</v>
      </c>
      <c r="E1774" s="1">
        <v>14700000</v>
      </c>
    </row>
    <row r="1775" spans="1:5" ht="14.4" x14ac:dyDescent="0.3">
      <c r="A1775" s="20" t="s">
        <v>8194</v>
      </c>
      <c r="B1775" s="1" t="s">
        <v>93</v>
      </c>
      <c r="C1775" s="1" t="s">
        <v>4252</v>
      </c>
      <c r="D1775" s="1" t="s">
        <v>4253</v>
      </c>
      <c r="E1775" s="1">
        <v>22500000</v>
      </c>
    </row>
    <row r="1776" spans="1:5" ht="14.4" x14ac:dyDescent="0.3">
      <c r="A1776" s="20" t="s">
        <v>8195</v>
      </c>
      <c r="B1776" s="1" t="s">
        <v>195</v>
      </c>
      <c r="C1776" s="1" t="s">
        <v>198</v>
      </c>
      <c r="D1776" s="1" t="s">
        <v>2894</v>
      </c>
      <c r="E1776" s="1">
        <v>38900000</v>
      </c>
    </row>
    <row r="1777" spans="1:5" ht="14.4" x14ac:dyDescent="0.3">
      <c r="A1777" s="20" t="s">
        <v>8196</v>
      </c>
      <c r="B1777" s="1" t="s">
        <v>2910</v>
      </c>
      <c r="C1777" s="1" t="s">
        <v>2999</v>
      </c>
      <c r="D1777" s="1" t="s">
        <v>4254</v>
      </c>
      <c r="E1777" s="1">
        <v>15800000</v>
      </c>
    </row>
    <row r="1778" spans="1:5" ht="14.4" x14ac:dyDescent="0.3">
      <c r="A1778" s="20" t="s">
        <v>8197</v>
      </c>
      <c r="B1778" s="1" t="s">
        <v>264</v>
      </c>
      <c r="C1778" s="1" t="s">
        <v>2896</v>
      </c>
      <c r="D1778" s="1" t="s">
        <v>3293</v>
      </c>
      <c r="E1778" s="1">
        <v>13300000</v>
      </c>
    </row>
    <row r="1779" spans="1:5" ht="14.4" x14ac:dyDescent="0.3">
      <c r="A1779" s="20" t="s">
        <v>8198</v>
      </c>
      <c r="B1779" s="1" t="s">
        <v>157</v>
      </c>
      <c r="C1779" s="1" t="s">
        <v>164</v>
      </c>
      <c r="D1779" s="1" t="s">
        <v>4255</v>
      </c>
      <c r="E1779" s="1">
        <v>17300000</v>
      </c>
    </row>
    <row r="1780" spans="1:5" ht="14.4" x14ac:dyDescent="0.3">
      <c r="A1780" s="20" t="s">
        <v>8199</v>
      </c>
      <c r="B1780" s="1" t="s">
        <v>181</v>
      </c>
      <c r="C1780" s="1" t="s">
        <v>182</v>
      </c>
      <c r="D1780" s="1" t="s">
        <v>184</v>
      </c>
      <c r="E1780" s="1">
        <v>10800000</v>
      </c>
    </row>
    <row r="1781" spans="1:5" ht="14.4" x14ac:dyDescent="0.3">
      <c r="A1781" s="20" t="s">
        <v>8200</v>
      </c>
      <c r="B1781" s="1" t="s">
        <v>2957</v>
      </c>
      <c r="C1781" s="1" t="s">
        <v>2958</v>
      </c>
      <c r="D1781" s="1" t="s">
        <v>1593</v>
      </c>
      <c r="E1781" s="1">
        <v>12500000</v>
      </c>
    </row>
    <row r="1782" spans="1:5" ht="14.4" x14ac:dyDescent="0.3">
      <c r="A1782" s="20" t="s">
        <v>8201</v>
      </c>
      <c r="B1782" s="1" t="s">
        <v>317</v>
      </c>
      <c r="C1782" s="1" t="s">
        <v>4256</v>
      </c>
      <c r="D1782" s="1" t="s">
        <v>4257</v>
      </c>
      <c r="E1782" s="1">
        <v>14300000</v>
      </c>
    </row>
    <row r="1783" spans="1:5" ht="14.4" x14ac:dyDescent="0.3">
      <c r="A1783" s="20" t="s">
        <v>8202</v>
      </c>
      <c r="B1783" s="1" t="s">
        <v>48</v>
      </c>
      <c r="C1783" s="1" t="s">
        <v>52</v>
      </c>
      <c r="D1783" s="1" t="s">
        <v>4258</v>
      </c>
      <c r="E1783" s="1">
        <v>46300000</v>
      </c>
    </row>
    <row r="1784" spans="1:5" ht="14.4" x14ac:dyDescent="0.3">
      <c r="A1784" s="20" t="s">
        <v>8203</v>
      </c>
      <c r="B1784" s="1" t="s">
        <v>93</v>
      </c>
      <c r="C1784" s="1" t="s">
        <v>2888</v>
      </c>
      <c r="D1784" s="1" t="s">
        <v>4259</v>
      </c>
      <c r="E1784" s="1">
        <v>48800000</v>
      </c>
    </row>
    <row r="1785" spans="1:5" ht="14.4" x14ac:dyDescent="0.3">
      <c r="A1785" s="20" t="s">
        <v>8204</v>
      </c>
      <c r="B1785" s="1" t="s">
        <v>327</v>
      </c>
      <c r="C1785" s="1" t="s">
        <v>4111</v>
      </c>
      <c r="D1785" s="1" t="s">
        <v>4260</v>
      </c>
      <c r="E1785" s="1">
        <v>14000000</v>
      </c>
    </row>
    <row r="1786" spans="1:5" ht="14.4" x14ac:dyDescent="0.3">
      <c r="A1786" s="20" t="s">
        <v>8205</v>
      </c>
      <c r="B1786" s="1" t="s">
        <v>2933</v>
      </c>
      <c r="C1786" s="1" t="s">
        <v>2934</v>
      </c>
      <c r="D1786" s="1" t="s">
        <v>2889</v>
      </c>
      <c r="E1786" s="1">
        <v>22000000</v>
      </c>
    </row>
    <row r="1787" spans="1:5" ht="14.4" x14ac:dyDescent="0.3">
      <c r="A1787" s="20" t="s">
        <v>8206</v>
      </c>
      <c r="B1787" s="1" t="s">
        <v>93</v>
      </c>
      <c r="C1787" s="1" t="s">
        <v>3205</v>
      </c>
      <c r="D1787" s="1" t="s">
        <v>4261</v>
      </c>
      <c r="E1787" s="1">
        <v>15600000</v>
      </c>
    </row>
    <row r="1788" spans="1:5" ht="14.4" x14ac:dyDescent="0.3">
      <c r="A1788" s="20" t="s">
        <v>8207</v>
      </c>
      <c r="B1788" s="1" t="s">
        <v>2938</v>
      </c>
      <c r="C1788" s="1" t="s">
        <v>4262</v>
      </c>
      <c r="D1788" s="1" t="s">
        <v>4263</v>
      </c>
      <c r="E1788" s="1">
        <v>16100000</v>
      </c>
    </row>
    <row r="1789" spans="1:5" ht="14.4" x14ac:dyDescent="0.3">
      <c r="A1789" s="20" t="s">
        <v>8208</v>
      </c>
      <c r="B1789" s="1" t="s">
        <v>195</v>
      </c>
      <c r="C1789" s="1" t="s">
        <v>3074</v>
      </c>
      <c r="D1789" s="1" t="s">
        <v>4264</v>
      </c>
      <c r="E1789" s="1">
        <v>11900000</v>
      </c>
    </row>
    <row r="1790" spans="1:5" ht="14.4" x14ac:dyDescent="0.3">
      <c r="A1790" s="20" t="s">
        <v>8209</v>
      </c>
      <c r="B1790" s="1" t="s">
        <v>2910</v>
      </c>
      <c r="C1790" s="1" t="s">
        <v>3245</v>
      </c>
      <c r="D1790" s="1" t="s">
        <v>4036</v>
      </c>
      <c r="E1790" s="1">
        <v>40100000</v>
      </c>
    </row>
    <row r="1791" spans="1:5" ht="14.4" x14ac:dyDescent="0.3">
      <c r="A1791" s="20" t="s">
        <v>8210</v>
      </c>
      <c r="B1791" s="1" t="s">
        <v>236</v>
      </c>
      <c r="C1791" s="1" t="s">
        <v>237</v>
      </c>
      <c r="D1791" s="1" t="s">
        <v>2889</v>
      </c>
      <c r="E1791" s="1">
        <v>29700000</v>
      </c>
    </row>
    <row r="1792" spans="1:5" ht="14.4" x14ac:dyDescent="0.3">
      <c r="A1792" s="20" t="s">
        <v>8211</v>
      </c>
      <c r="B1792" s="1" t="s">
        <v>151</v>
      </c>
      <c r="C1792" s="1" t="s">
        <v>3180</v>
      </c>
      <c r="D1792" s="1" t="s">
        <v>1589</v>
      </c>
      <c r="E1792" s="1">
        <v>6960000</v>
      </c>
    </row>
    <row r="1793" spans="1:5" ht="14.4" x14ac:dyDescent="0.3">
      <c r="A1793" s="20" t="s">
        <v>8212</v>
      </c>
      <c r="B1793" s="1" t="s">
        <v>264</v>
      </c>
      <c r="C1793" s="1" t="s">
        <v>2917</v>
      </c>
      <c r="D1793" s="1" t="s">
        <v>799</v>
      </c>
      <c r="E1793" s="1">
        <v>23600000</v>
      </c>
    </row>
    <row r="1794" spans="1:5" ht="14.4" x14ac:dyDescent="0.3">
      <c r="A1794" s="20" t="s">
        <v>8213</v>
      </c>
      <c r="B1794" s="1" t="s">
        <v>188</v>
      </c>
      <c r="C1794" s="1">
        <v>7</v>
      </c>
      <c r="D1794" s="1" t="s">
        <v>194</v>
      </c>
      <c r="E1794" s="1">
        <v>18000000</v>
      </c>
    </row>
    <row r="1795" spans="1:5" ht="14.4" x14ac:dyDescent="0.3">
      <c r="A1795" s="20" t="s">
        <v>8214</v>
      </c>
      <c r="B1795" s="1" t="s">
        <v>30</v>
      </c>
      <c r="C1795" s="1" t="s">
        <v>34</v>
      </c>
      <c r="D1795" s="1" t="s">
        <v>4265</v>
      </c>
      <c r="E1795" s="1">
        <v>8200000</v>
      </c>
    </row>
    <row r="1796" spans="1:5" ht="14.4" x14ac:dyDescent="0.3">
      <c r="A1796" s="20" t="s">
        <v>8215</v>
      </c>
      <c r="B1796" s="1" t="s">
        <v>181</v>
      </c>
      <c r="C1796" s="1" t="s">
        <v>4197</v>
      </c>
      <c r="D1796" s="1" t="s">
        <v>4266</v>
      </c>
      <c r="E1796" s="1">
        <v>9100000</v>
      </c>
    </row>
    <row r="1797" spans="1:5" ht="14.4" x14ac:dyDescent="0.3">
      <c r="A1797" s="20" t="s">
        <v>8216</v>
      </c>
      <c r="B1797" s="1" t="s">
        <v>2957</v>
      </c>
      <c r="C1797" s="1" t="s">
        <v>3268</v>
      </c>
      <c r="D1797" s="1" t="s">
        <v>4267</v>
      </c>
      <c r="E1797" s="1">
        <v>25400000</v>
      </c>
    </row>
    <row r="1798" spans="1:5" ht="14.4" x14ac:dyDescent="0.3">
      <c r="A1798" s="20" t="s">
        <v>8217</v>
      </c>
      <c r="B1798" s="1" t="s">
        <v>30</v>
      </c>
      <c r="C1798" s="1" t="s">
        <v>34</v>
      </c>
      <c r="D1798" s="1" t="s">
        <v>4268</v>
      </c>
      <c r="E1798" s="1">
        <v>8700000</v>
      </c>
    </row>
    <row r="1799" spans="1:5" ht="14.4" x14ac:dyDescent="0.3">
      <c r="A1799" s="20" t="s">
        <v>8218</v>
      </c>
      <c r="B1799" s="1" t="s">
        <v>93</v>
      </c>
      <c r="C1799" s="1" t="s">
        <v>2888</v>
      </c>
      <c r="D1799" s="1" t="s">
        <v>4269</v>
      </c>
      <c r="E1799" s="1">
        <v>27200000</v>
      </c>
    </row>
    <row r="1800" spans="1:5" ht="14.4" x14ac:dyDescent="0.3">
      <c r="A1800" s="20" t="s">
        <v>8219</v>
      </c>
      <c r="B1800" s="1" t="s">
        <v>2910</v>
      </c>
      <c r="C1800" s="1" t="s">
        <v>218</v>
      </c>
      <c r="D1800" s="1" t="s">
        <v>4270</v>
      </c>
      <c r="E1800" s="1">
        <v>18700000</v>
      </c>
    </row>
    <row r="1801" spans="1:5" ht="14.4" x14ac:dyDescent="0.3">
      <c r="A1801" s="20" t="s">
        <v>8220</v>
      </c>
      <c r="B1801" s="1" t="s">
        <v>242</v>
      </c>
      <c r="C1801" s="1" t="s">
        <v>254</v>
      </c>
      <c r="D1801" s="1" t="s">
        <v>4271</v>
      </c>
      <c r="E1801" s="1">
        <v>11500000</v>
      </c>
    </row>
    <row r="1802" spans="1:5" ht="14.4" x14ac:dyDescent="0.3">
      <c r="A1802" s="20" t="s">
        <v>8221</v>
      </c>
      <c r="B1802" s="1" t="s">
        <v>195</v>
      </c>
      <c r="C1802" s="1" t="s">
        <v>3074</v>
      </c>
      <c r="D1802" s="1" t="s">
        <v>4272</v>
      </c>
      <c r="E1802" s="1">
        <v>11400000</v>
      </c>
    </row>
    <row r="1803" spans="1:5" ht="14.4" x14ac:dyDescent="0.3">
      <c r="A1803" s="20" t="s">
        <v>8222</v>
      </c>
      <c r="B1803" s="1" t="s">
        <v>236</v>
      </c>
      <c r="C1803" s="1" t="s">
        <v>2979</v>
      </c>
      <c r="D1803" s="1" t="s">
        <v>4273</v>
      </c>
      <c r="E1803" s="1">
        <v>15600000</v>
      </c>
    </row>
    <row r="1804" spans="1:5" ht="14.4" x14ac:dyDescent="0.3">
      <c r="A1804" s="20" t="s">
        <v>8223</v>
      </c>
      <c r="B1804" s="1" t="s">
        <v>167</v>
      </c>
      <c r="C1804" s="1" t="s">
        <v>3437</v>
      </c>
      <c r="D1804" s="1" t="s">
        <v>4274</v>
      </c>
      <c r="E1804" s="1">
        <v>23000000</v>
      </c>
    </row>
    <row r="1805" spans="1:5" ht="14.4" x14ac:dyDescent="0.3">
      <c r="A1805" s="20" t="s">
        <v>8224</v>
      </c>
      <c r="B1805" s="1" t="s">
        <v>30</v>
      </c>
      <c r="C1805" s="1" t="s">
        <v>2987</v>
      </c>
      <c r="D1805" s="1" t="s">
        <v>4275</v>
      </c>
      <c r="E1805" s="1">
        <v>8600000</v>
      </c>
    </row>
    <row r="1806" spans="1:5" ht="14.4" x14ac:dyDescent="0.3">
      <c r="A1806" s="20" t="s">
        <v>8225</v>
      </c>
      <c r="B1806" s="1" t="s">
        <v>93</v>
      </c>
      <c r="C1806" s="1" t="s">
        <v>2918</v>
      </c>
      <c r="D1806" s="1" t="s">
        <v>535</v>
      </c>
      <c r="E1806" s="1">
        <v>50000000</v>
      </c>
    </row>
    <row r="1807" spans="1:5" ht="14.4" x14ac:dyDescent="0.3">
      <c r="A1807" s="20" t="s">
        <v>8226</v>
      </c>
      <c r="B1807" s="1" t="s">
        <v>48</v>
      </c>
      <c r="C1807" s="1" t="s">
        <v>52</v>
      </c>
      <c r="D1807" s="1" t="s">
        <v>54</v>
      </c>
      <c r="E1807" s="1">
        <v>47200000</v>
      </c>
    </row>
    <row r="1808" spans="1:5" ht="14.4" x14ac:dyDescent="0.3">
      <c r="A1808" s="20" t="s">
        <v>8227</v>
      </c>
      <c r="B1808" s="1" t="s">
        <v>317</v>
      </c>
      <c r="C1808" s="1" t="s">
        <v>3573</v>
      </c>
      <c r="D1808" s="1" t="s">
        <v>4276</v>
      </c>
      <c r="E1808" s="1">
        <v>20300000</v>
      </c>
    </row>
    <row r="1809" spans="1:5" ht="14.4" x14ac:dyDescent="0.3">
      <c r="A1809" s="20" t="s">
        <v>8228</v>
      </c>
      <c r="B1809" s="1" t="s">
        <v>339</v>
      </c>
      <c r="C1809" s="1" t="s">
        <v>4277</v>
      </c>
      <c r="D1809" s="1" t="s">
        <v>354</v>
      </c>
      <c r="E1809" s="1">
        <v>15200000</v>
      </c>
    </row>
    <row r="1810" spans="1:5" ht="14.4" x14ac:dyDescent="0.3">
      <c r="A1810" s="20" t="s">
        <v>8229</v>
      </c>
      <c r="B1810" s="1" t="s">
        <v>242</v>
      </c>
      <c r="C1810" s="1" t="s">
        <v>2988</v>
      </c>
      <c r="D1810" s="1" t="s">
        <v>4278</v>
      </c>
      <c r="E1810" s="1">
        <v>24900000</v>
      </c>
    </row>
    <row r="1811" spans="1:5" ht="14.4" x14ac:dyDescent="0.3">
      <c r="A1811" s="20" t="s">
        <v>8230</v>
      </c>
      <c r="B1811" s="1" t="s">
        <v>2910</v>
      </c>
      <c r="C1811" s="1" t="s">
        <v>2911</v>
      </c>
      <c r="D1811" s="1" t="s">
        <v>4279</v>
      </c>
      <c r="E1811" s="1">
        <v>9200000</v>
      </c>
    </row>
    <row r="1812" spans="1:5" ht="14.4" x14ac:dyDescent="0.3">
      <c r="A1812" s="20" t="s">
        <v>8231</v>
      </c>
      <c r="B1812" s="1" t="s">
        <v>2910</v>
      </c>
      <c r="C1812" s="1" t="s">
        <v>3242</v>
      </c>
      <c r="D1812" s="1" t="s">
        <v>4280</v>
      </c>
      <c r="E1812" s="1">
        <v>14600000</v>
      </c>
    </row>
    <row r="1813" spans="1:5" ht="14.4" x14ac:dyDescent="0.3">
      <c r="A1813" s="20" t="s">
        <v>8232</v>
      </c>
      <c r="B1813" s="1" t="s">
        <v>2910</v>
      </c>
      <c r="C1813" s="1" t="s">
        <v>3076</v>
      </c>
      <c r="D1813" s="1" t="s">
        <v>4281</v>
      </c>
      <c r="E1813" s="1">
        <v>13600000</v>
      </c>
    </row>
    <row r="1814" spans="1:5" ht="14.4" x14ac:dyDescent="0.3">
      <c r="A1814" s="20" t="s">
        <v>8233</v>
      </c>
      <c r="B1814" s="1" t="s">
        <v>317</v>
      </c>
      <c r="C1814" s="1" t="s">
        <v>3492</v>
      </c>
      <c r="D1814" s="1" t="s">
        <v>4282</v>
      </c>
      <c r="E1814" s="1">
        <v>17000000</v>
      </c>
    </row>
    <row r="1815" spans="1:5" ht="14.4" x14ac:dyDescent="0.3">
      <c r="A1815" s="20" t="s">
        <v>8234</v>
      </c>
      <c r="B1815" s="1" t="s">
        <v>48</v>
      </c>
      <c r="C1815" s="1" t="s">
        <v>3473</v>
      </c>
      <c r="D1815" s="1" t="s">
        <v>4283</v>
      </c>
      <c r="E1815" s="1">
        <v>6900000</v>
      </c>
    </row>
    <row r="1816" spans="1:5" ht="14.4" x14ac:dyDescent="0.3">
      <c r="A1816" s="20" t="s">
        <v>8235</v>
      </c>
      <c r="B1816" s="1" t="s">
        <v>2910</v>
      </c>
      <c r="C1816" s="1" t="s">
        <v>3618</v>
      </c>
      <c r="D1816" s="1" t="s">
        <v>4284</v>
      </c>
      <c r="E1816" s="1">
        <v>9200000</v>
      </c>
    </row>
    <row r="1817" spans="1:5" ht="14.4" x14ac:dyDescent="0.3">
      <c r="A1817" s="20" t="s">
        <v>8236</v>
      </c>
      <c r="B1817" s="1" t="s">
        <v>93</v>
      </c>
      <c r="C1817" s="1" t="s">
        <v>2919</v>
      </c>
      <c r="D1817" s="1" t="s">
        <v>4285</v>
      </c>
      <c r="E1817" s="1">
        <v>34800000</v>
      </c>
    </row>
    <row r="1818" spans="1:5" ht="14.4" x14ac:dyDescent="0.3">
      <c r="A1818" s="20" t="s">
        <v>8237</v>
      </c>
      <c r="B1818" s="1" t="s">
        <v>2910</v>
      </c>
      <c r="C1818" s="1" t="s">
        <v>218</v>
      </c>
      <c r="D1818" s="1" t="s">
        <v>4286</v>
      </c>
      <c r="E1818" s="1">
        <v>21900000</v>
      </c>
    </row>
    <row r="1819" spans="1:5" ht="14.4" x14ac:dyDescent="0.3">
      <c r="A1819" s="20" t="s">
        <v>8238</v>
      </c>
      <c r="B1819" s="1" t="s">
        <v>93</v>
      </c>
      <c r="C1819" s="1" t="s">
        <v>131</v>
      </c>
      <c r="D1819" s="1" t="s">
        <v>4287</v>
      </c>
      <c r="E1819" s="1">
        <v>17400000</v>
      </c>
    </row>
    <row r="1820" spans="1:5" ht="14.4" x14ac:dyDescent="0.3">
      <c r="A1820" s="20" t="s">
        <v>8239</v>
      </c>
      <c r="B1820" s="1" t="s">
        <v>72</v>
      </c>
      <c r="C1820" s="1" t="s">
        <v>3755</v>
      </c>
      <c r="D1820" s="1" t="s">
        <v>4288</v>
      </c>
      <c r="E1820" s="1">
        <v>5960000</v>
      </c>
    </row>
    <row r="1821" spans="1:5" ht="14.4" x14ac:dyDescent="0.3">
      <c r="A1821" s="20" t="s">
        <v>8240</v>
      </c>
      <c r="B1821" s="1" t="s">
        <v>157</v>
      </c>
      <c r="C1821" s="1" t="s">
        <v>164</v>
      </c>
      <c r="D1821" s="1" t="s">
        <v>4289</v>
      </c>
      <c r="E1821" s="1">
        <v>10500000</v>
      </c>
    </row>
    <row r="1822" spans="1:5" ht="14.4" x14ac:dyDescent="0.3">
      <c r="A1822" s="20" t="s">
        <v>8241</v>
      </c>
      <c r="B1822" s="1" t="s">
        <v>264</v>
      </c>
      <c r="C1822" s="1" t="s">
        <v>2996</v>
      </c>
      <c r="D1822" s="1" t="s">
        <v>4290</v>
      </c>
      <c r="E1822" s="1">
        <v>15300000</v>
      </c>
    </row>
    <row r="1823" spans="1:5" ht="14.4" x14ac:dyDescent="0.3">
      <c r="A1823" s="20" t="s">
        <v>8242</v>
      </c>
      <c r="B1823" s="1" t="s">
        <v>242</v>
      </c>
      <c r="C1823" s="1" t="s">
        <v>2988</v>
      </c>
      <c r="D1823" s="1" t="s">
        <v>4291</v>
      </c>
      <c r="E1823" s="1">
        <v>16100000</v>
      </c>
    </row>
    <row r="1824" spans="1:5" ht="14.4" x14ac:dyDescent="0.3">
      <c r="A1824" s="20" t="s">
        <v>8243</v>
      </c>
      <c r="B1824" s="1" t="s">
        <v>2961</v>
      </c>
      <c r="C1824" s="1" t="s">
        <v>3067</v>
      </c>
      <c r="D1824" s="1" t="s">
        <v>1611</v>
      </c>
      <c r="E1824" s="1">
        <v>14000000</v>
      </c>
    </row>
    <row r="1825" spans="1:5" ht="14.4" x14ac:dyDescent="0.3">
      <c r="A1825" s="20" t="s">
        <v>8244</v>
      </c>
      <c r="B1825" s="1" t="s">
        <v>242</v>
      </c>
      <c r="C1825" s="1" t="s">
        <v>2988</v>
      </c>
      <c r="D1825" s="1" t="s">
        <v>4292</v>
      </c>
      <c r="E1825" s="1">
        <v>18700000</v>
      </c>
    </row>
    <row r="1826" spans="1:5" ht="14.4" x14ac:dyDescent="0.3">
      <c r="A1826" s="20" t="s">
        <v>8245</v>
      </c>
      <c r="B1826" s="1" t="s">
        <v>236</v>
      </c>
      <c r="C1826" s="1" t="s">
        <v>3087</v>
      </c>
      <c r="D1826" s="1" t="s">
        <v>4293</v>
      </c>
      <c r="E1826" s="1">
        <v>15400000</v>
      </c>
    </row>
    <row r="1827" spans="1:5" ht="14.4" x14ac:dyDescent="0.3">
      <c r="A1827" s="20" t="s">
        <v>8246</v>
      </c>
      <c r="B1827" s="1" t="s">
        <v>48</v>
      </c>
      <c r="C1827" s="1" t="s">
        <v>3737</v>
      </c>
      <c r="D1827" s="1" t="s">
        <v>60</v>
      </c>
      <c r="E1827" s="1">
        <v>28800000</v>
      </c>
    </row>
    <row r="1828" spans="1:5" ht="14.4" x14ac:dyDescent="0.3">
      <c r="A1828" s="20" t="s">
        <v>8247</v>
      </c>
      <c r="B1828" s="1" t="s">
        <v>264</v>
      </c>
      <c r="C1828" s="1" t="s">
        <v>293</v>
      </c>
      <c r="D1828" s="1" t="s">
        <v>355</v>
      </c>
      <c r="E1828" s="1">
        <v>21500000</v>
      </c>
    </row>
    <row r="1829" spans="1:5" ht="14.4" x14ac:dyDescent="0.3">
      <c r="A1829" s="20" t="s">
        <v>8248</v>
      </c>
      <c r="B1829" s="1" t="s">
        <v>93</v>
      </c>
      <c r="C1829" s="1" t="s">
        <v>3898</v>
      </c>
      <c r="D1829" s="1" t="s">
        <v>4294</v>
      </c>
      <c r="E1829" s="1">
        <v>58000000</v>
      </c>
    </row>
    <row r="1830" spans="1:5" ht="14.4" x14ac:dyDescent="0.3">
      <c r="A1830" s="20" t="s">
        <v>8249</v>
      </c>
      <c r="B1830" s="1" t="s">
        <v>93</v>
      </c>
      <c r="C1830" s="1" t="s">
        <v>113</v>
      </c>
      <c r="D1830" s="1" t="s">
        <v>4295</v>
      </c>
      <c r="E1830" s="1">
        <v>31600000</v>
      </c>
    </row>
    <row r="1831" spans="1:5" ht="14.4" x14ac:dyDescent="0.3">
      <c r="A1831" s="20" t="s">
        <v>8250</v>
      </c>
      <c r="B1831" s="1" t="s">
        <v>181</v>
      </c>
      <c r="C1831" s="1" t="s">
        <v>3604</v>
      </c>
      <c r="D1831" s="1" t="s">
        <v>4296</v>
      </c>
      <c r="E1831" s="1">
        <v>8900000</v>
      </c>
    </row>
    <row r="1832" spans="1:5" ht="14.4" x14ac:dyDescent="0.3">
      <c r="A1832" s="20" t="s">
        <v>8251</v>
      </c>
      <c r="B1832" s="1" t="s">
        <v>3404</v>
      </c>
      <c r="C1832" s="1" t="s">
        <v>3405</v>
      </c>
      <c r="D1832" s="1" t="s">
        <v>2889</v>
      </c>
      <c r="E1832" s="1">
        <v>18600000</v>
      </c>
    </row>
    <row r="1833" spans="1:5" ht="14.4" x14ac:dyDescent="0.3">
      <c r="A1833" s="20" t="s">
        <v>8252</v>
      </c>
      <c r="B1833" s="1" t="s">
        <v>242</v>
      </c>
      <c r="C1833" s="1" t="s">
        <v>3768</v>
      </c>
      <c r="D1833" s="1" t="s">
        <v>3769</v>
      </c>
      <c r="E1833" s="1">
        <v>27100000</v>
      </c>
    </row>
    <row r="1834" spans="1:5" ht="14.4" x14ac:dyDescent="0.3">
      <c r="A1834" s="20" t="s">
        <v>8253</v>
      </c>
      <c r="B1834" s="1" t="s">
        <v>242</v>
      </c>
      <c r="C1834" s="1" t="s">
        <v>3141</v>
      </c>
      <c r="D1834" s="1" t="s">
        <v>4297</v>
      </c>
      <c r="E1834" s="1">
        <v>11600000</v>
      </c>
    </row>
    <row r="1835" spans="1:5" ht="14.4" x14ac:dyDescent="0.3">
      <c r="A1835" s="20" t="s">
        <v>8254</v>
      </c>
      <c r="B1835" s="1" t="s">
        <v>2910</v>
      </c>
      <c r="C1835" s="1" t="s">
        <v>3075</v>
      </c>
      <c r="D1835" s="1" t="s">
        <v>4298</v>
      </c>
      <c r="E1835" s="1">
        <v>11900000</v>
      </c>
    </row>
    <row r="1836" spans="1:5" ht="14.4" x14ac:dyDescent="0.3">
      <c r="A1836" s="20" t="s">
        <v>8255</v>
      </c>
      <c r="B1836" s="1" t="s">
        <v>93</v>
      </c>
      <c r="C1836" s="1" t="s">
        <v>143</v>
      </c>
      <c r="D1836" s="1" t="s">
        <v>4299</v>
      </c>
      <c r="E1836" s="1">
        <v>13100000</v>
      </c>
    </row>
    <row r="1837" spans="1:5" ht="14.4" x14ac:dyDescent="0.3">
      <c r="A1837" s="20" t="s">
        <v>8256</v>
      </c>
      <c r="B1837" s="1" t="s">
        <v>264</v>
      </c>
      <c r="C1837" s="1" t="s">
        <v>300</v>
      </c>
      <c r="D1837" s="1" t="s">
        <v>4300</v>
      </c>
      <c r="E1837" s="1">
        <v>13200000</v>
      </c>
    </row>
    <row r="1838" spans="1:5" ht="14.4" x14ac:dyDescent="0.3">
      <c r="A1838" s="20" t="s">
        <v>8257</v>
      </c>
      <c r="B1838" s="1" t="s">
        <v>93</v>
      </c>
      <c r="C1838" s="1" t="s">
        <v>3205</v>
      </c>
      <c r="D1838" s="1" t="s">
        <v>4301</v>
      </c>
      <c r="E1838" s="1">
        <v>15500000</v>
      </c>
    </row>
    <row r="1839" spans="1:5" ht="14.4" x14ac:dyDescent="0.3">
      <c r="A1839" s="20" t="s">
        <v>8258</v>
      </c>
      <c r="B1839" s="1" t="s">
        <v>181</v>
      </c>
      <c r="C1839" s="1" t="s">
        <v>185</v>
      </c>
      <c r="D1839" s="1" t="s">
        <v>4302</v>
      </c>
      <c r="E1839" s="1">
        <v>12000000</v>
      </c>
    </row>
    <row r="1840" spans="1:5" ht="14.4" x14ac:dyDescent="0.3">
      <c r="A1840" s="20" t="s">
        <v>8259</v>
      </c>
      <c r="B1840" s="1" t="s">
        <v>30</v>
      </c>
      <c r="C1840" s="1" t="s">
        <v>41</v>
      </c>
      <c r="D1840" s="1" t="s">
        <v>4303</v>
      </c>
      <c r="E1840" s="1">
        <v>14900000</v>
      </c>
    </row>
    <row r="1841" spans="1:5" ht="14.4" x14ac:dyDescent="0.3">
      <c r="A1841" s="20" t="s">
        <v>8260</v>
      </c>
      <c r="B1841" s="1" t="s">
        <v>264</v>
      </c>
      <c r="C1841" s="1">
        <v>3008</v>
      </c>
      <c r="D1841" s="1" t="s">
        <v>4304</v>
      </c>
      <c r="E1841" s="1">
        <v>14400000</v>
      </c>
    </row>
    <row r="1842" spans="1:5" ht="14.4" x14ac:dyDescent="0.3">
      <c r="A1842" s="20" t="s">
        <v>8261</v>
      </c>
      <c r="B1842" s="1" t="s">
        <v>93</v>
      </c>
      <c r="C1842" s="1" t="s">
        <v>2919</v>
      </c>
      <c r="D1842" s="1" t="s">
        <v>4305</v>
      </c>
      <c r="E1842" s="1">
        <v>27800000</v>
      </c>
    </row>
    <row r="1843" spans="1:5" ht="14.4" x14ac:dyDescent="0.3">
      <c r="A1843" s="20" t="s">
        <v>8262</v>
      </c>
      <c r="B1843" s="1" t="s">
        <v>339</v>
      </c>
      <c r="C1843" s="1" t="s">
        <v>3868</v>
      </c>
      <c r="D1843" s="1" t="s">
        <v>4306</v>
      </c>
      <c r="E1843" s="1">
        <v>12200000</v>
      </c>
    </row>
    <row r="1844" spans="1:5" ht="14.4" x14ac:dyDescent="0.3">
      <c r="A1844" s="20" t="s">
        <v>8263</v>
      </c>
      <c r="B1844" s="1" t="s">
        <v>2957</v>
      </c>
      <c r="C1844" s="1" t="s">
        <v>3268</v>
      </c>
      <c r="D1844" s="1" t="s">
        <v>4307</v>
      </c>
      <c r="E1844" s="1">
        <v>22300000</v>
      </c>
    </row>
    <row r="1845" spans="1:5" ht="14.4" x14ac:dyDescent="0.3">
      <c r="A1845" s="20" t="s">
        <v>8264</v>
      </c>
      <c r="B1845" s="1" t="s">
        <v>2961</v>
      </c>
      <c r="C1845" s="1" t="s">
        <v>3453</v>
      </c>
      <c r="D1845" s="1" t="s">
        <v>4308</v>
      </c>
      <c r="E1845" s="1">
        <v>9500000</v>
      </c>
    </row>
    <row r="1846" spans="1:5" ht="14.4" x14ac:dyDescent="0.3">
      <c r="A1846" s="20" t="s">
        <v>8265</v>
      </c>
      <c r="B1846" s="1" t="s">
        <v>15</v>
      </c>
      <c r="C1846" s="1" t="s">
        <v>16</v>
      </c>
      <c r="D1846" s="1" t="s">
        <v>18</v>
      </c>
      <c r="E1846" s="1">
        <v>7450000</v>
      </c>
    </row>
    <row r="1847" spans="1:5" ht="14.4" x14ac:dyDescent="0.3">
      <c r="A1847" s="20" t="s">
        <v>8266</v>
      </c>
      <c r="B1847" s="1" t="s">
        <v>181</v>
      </c>
      <c r="C1847" s="1" t="s">
        <v>182</v>
      </c>
      <c r="D1847" s="1" t="s">
        <v>4309</v>
      </c>
      <c r="E1847" s="1">
        <v>9700000</v>
      </c>
    </row>
    <row r="1848" spans="1:5" ht="14.4" x14ac:dyDescent="0.3">
      <c r="A1848" s="20" t="s">
        <v>8267</v>
      </c>
      <c r="B1848" s="1" t="s">
        <v>242</v>
      </c>
      <c r="C1848" s="1" t="s">
        <v>3094</v>
      </c>
      <c r="D1848" s="1" t="s">
        <v>4310</v>
      </c>
      <c r="E1848" s="1">
        <v>25500000</v>
      </c>
    </row>
    <row r="1849" spans="1:5" ht="14.4" x14ac:dyDescent="0.3">
      <c r="A1849" s="20" t="s">
        <v>8268</v>
      </c>
      <c r="B1849" s="1" t="s">
        <v>30</v>
      </c>
      <c r="C1849" s="1" t="s">
        <v>2902</v>
      </c>
      <c r="D1849" s="1" t="s">
        <v>1187</v>
      </c>
      <c r="E1849" s="1">
        <v>14900000</v>
      </c>
    </row>
    <row r="1850" spans="1:5" ht="14.4" x14ac:dyDescent="0.3">
      <c r="A1850" s="20" t="s">
        <v>8269</v>
      </c>
      <c r="B1850" s="1" t="s">
        <v>3020</v>
      </c>
      <c r="C1850" s="1" t="s">
        <v>4311</v>
      </c>
      <c r="D1850" s="1" t="s">
        <v>4312</v>
      </c>
      <c r="E1850" s="1">
        <v>26000000</v>
      </c>
    </row>
    <row r="1851" spans="1:5" ht="14.4" x14ac:dyDescent="0.3">
      <c r="A1851" s="20" t="s">
        <v>8270</v>
      </c>
      <c r="B1851" s="1" t="s">
        <v>30</v>
      </c>
      <c r="C1851" s="1" t="s">
        <v>2908</v>
      </c>
      <c r="D1851" s="1" t="s">
        <v>2179</v>
      </c>
      <c r="E1851" s="1">
        <v>8700000</v>
      </c>
    </row>
    <row r="1852" spans="1:5" ht="14.4" x14ac:dyDescent="0.3">
      <c r="A1852" s="20" t="s">
        <v>8271</v>
      </c>
      <c r="B1852" s="1" t="s">
        <v>264</v>
      </c>
      <c r="C1852" s="1" t="s">
        <v>2896</v>
      </c>
      <c r="D1852" s="1" t="s">
        <v>4313</v>
      </c>
      <c r="E1852" s="1">
        <v>11600000</v>
      </c>
    </row>
    <row r="1853" spans="1:5" ht="14.4" x14ac:dyDescent="0.3">
      <c r="A1853" s="20" t="s">
        <v>8272</v>
      </c>
      <c r="B1853" s="1" t="s">
        <v>93</v>
      </c>
      <c r="C1853" s="1" t="s">
        <v>2888</v>
      </c>
      <c r="D1853" s="1" t="s">
        <v>1052</v>
      </c>
      <c r="E1853" s="1">
        <v>49800000</v>
      </c>
    </row>
    <row r="1854" spans="1:5" ht="14.4" x14ac:dyDescent="0.3">
      <c r="A1854" s="20" t="s">
        <v>8273</v>
      </c>
      <c r="B1854" s="1" t="s">
        <v>264</v>
      </c>
      <c r="C1854" s="1" t="s">
        <v>2996</v>
      </c>
      <c r="D1854" s="1" t="s">
        <v>358</v>
      </c>
      <c r="E1854" s="1">
        <v>14400000</v>
      </c>
    </row>
    <row r="1855" spans="1:5" ht="14.4" x14ac:dyDescent="0.3">
      <c r="A1855" s="20" t="s">
        <v>8274</v>
      </c>
      <c r="B1855" s="1" t="s">
        <v>93</v>
      </c>
      <c r="C1855" s="1" t="s">
        <v>2888</v>
      </c>
      <c r="D1855" s="1" t="s">
        <v>1052</v>
      </c>
      <c r="E1855" s="1">
        <v>49900000</v>
      </c>
    </row>
    <row r="1856" spans="1:5" ht="14.4" x14ac:dyDescent="0.3">
      <c r="A1856" s="20" t="s">
        <v>8275</v>
      </c>
      <c r="B1856" s="1" t="s">
        <v>3362</v>
      </c>
      <c r="C1856" s="1" t="s">
        <v>3956</v>
      </c>
      <c r="D1856" s="1" t="s">
        <v>4314</v>
      </c>
      <c r="E1856" s="1">
        <v>14300000</v>
      </c>
    </row>
    <row r="1857" spans="1:5" ht="14.4" x14ac:dyDescent="0.3">
      <c r="A1857" s="20" t="s">
        <v>8276</v>
      </c>
      <c r="B1857" s="1" t="s">
        <v>93</v>
      </c>
      <c r="C1857" s="1" t="s">
        <v>143</v>
      </c>
      <c r="D1857" s="1" t="s">
        <v>4315</v>
      </c>
      <c r="E1857" s="1">
        <v>11700000</v>
      </c>
    </row>
    <row r="1858" spans="1:5" ht="14.4" x14ac:dyDescent="0.3">
      <c r="A1858" s="20" t="s">
        <v>8277</v>
      </c>
      <c r="B1858" s="1" t="s">
        <v>93</v>
      </c>
      <c r="C1858" s="1" t="s">
        <v>131</v>
      </c>
      <c r="D1858" s="1" t="s">
        <v>4316</v>
      </c>
      <c r="E1858" s="1">
        <v>29000000</v>
      </c>
    </row>
    <row r="1859" spans="1:5" ht="14.4" x14ac:dyDescent="0.3">
      <c r="A1859" s="20" t="s">
        <v>8278</v>
      </c>
      <c r="B1859" s="1" t="s">
        <v>2906</v>
      </c>
      <c r="C1859" s="1" t="s">
        <v>3399</v>
      </c>
      <c r="D1859" s="1" t="s">
        <v>4317</v>
      </c>
      <c r="E1859" s="1">
        <v>7240000</v>
      </c>
    </row>
    <row r="1860" spans="1:5" ht="14.4" x14ac:dyDescent="0.3">
      <c r="A1860" s="20" t="s">
        <v>8279</v>
      </c>
      <c r="B1860" s="1" t="s">
        <v>264</v>
      </c>
      <c r="C1860" s="1" t="s">
        <v>3681</v>
      </c>
      <c r="D1860" s="1" t="s">
        <v>611</v>
      </c>
      <c r="E1860" s="1">
        <v>17700000</v>
      </c>
    </row>
    <row r="1861" spans="1:5" ht="14.4" x14ac:dyDescent="0.3">
      <c r="A1861" s="20" t="s">
        <v>8280</v>
      </c>
      <c r="B1861" s="1" t="s">
        <v>2910</v>
      </c>
      <c r="C1861" s="1" t="s">
        <v>206</v>
      </c>
      <c r="D1861" s="1" t="s">
        <v>4318</v>
      </c>
      <c r="E1861" s="1">
        <v>11500000</v>
      </c>
    </row>
    <row r="1862" spans="1:5" ht="14.4" x14ac:dyDescent="0.3">
      <c r="A1862" s="20" t="s">
        <v>8281</v>
      </c>
      <c r="B1862" s="1" t="s">
        <v>93</v>
      </c>
      <c r="C1862" s="1" t="s">
        <v>113</v>
      </c>
      <c r="D1862" s="1" t="s">
        <v>4319</v>
      </c>
      <c r="E1862" s="1">
        <v>20200000</v>
      </c>
    </row>
    <row r="1863" spans="1:5" ht="14.4" x14ac:dyDescent="0.3">
      <c r="A1863" s="20" t="s">
        <v>8282</v>
      </c>
      <c r="B1863" s="1" t="s">
        <v>2910</v>
      </c>
      <c r="C1863" s="1" t="s">
        <v>2911</v>
      </c>
      <c r="D1863" s="1" t="s">
        <v>359</v>
      </c>
      <c r="E1863" s="1">
        <v>8900000</v>
      </c>
    </row>
    <row r="1864" spans="1:5" ht="14.4" x14ac:dyDescent="0.3">
      <c r="A1864" s="20" t="s">
        <v>8283</v>
      </c>
      <c r="B1864" s="1" t="s">
        <v>93</v>
      </c>
      <c r="C1864" s="1" t="s">
        <v>131</v>
      </c>
      <c r="D1864" s="1" t="s">
        <v>4320</v>
      </c>
      <c r="E1864" s="1">
        <v>19800000</v>
      </c>
    </row>
    <row r="1865" spans="1:5" ht="14.4" x14ac:dyDescent="0.3">
      <c r="A1865" s="20" t="s">
        <v>8284</v>
      </c>
      <c r="B1865" s="1" t="s">
        <v>264</v>
      </c>
      <c r="C1865" s="1" t="s">
        <v>2897</v>
      </c>
      <c r="D1865" s="1" t="s">
        <v>4321</v>
      </c>
      <c r="E1865" s="1">
        <v>9000000</v>
      </c>
    </row>
    <row r="1866" spans="1:5" ht="14.4" x14ac:dyDescent="0.3">
      <c r="A1866" s="20" t="s">
        <v>8285</v>
      </c>
      <c r="B1866" s="1" t="s">
        <v>93</v>
      </c>
      <c r="C1866" s="1" t="s">
        <v>131</v>
      </c>
      <c r="D1866" s="1" t="s">
        <v>4322</v>
      </c>
      <c r="E1866" s="1">
        <v>22500000</v>
      </c>
    </row>
    <row r="1867" spans="1:5" ht="14.4" x14ac:dyDescent="0.3">
      <c r="A1867" s="20" t="s">
        <v>8286</v>
      </c>
      <c r="B1867" s="1" t="s">
        <v>314</v>
      </c>
      <c r="C1867" s="1" t="s">
        <v>4323</v>
      </c>
      <c r="D1867" s="1" t="s">
        <v>4324</v>
      </c>
      <c r="E1867" s="1">
        <v>6650000</v>
      </c>
    </row>
    <row r="1868" spans="1:5" ht="14.4" x14ac:dyDescent="0.3">
      <c r="A1868" s="20" t="s">
        <v>8287</v>
      </c>
      <c r="B1868" s="1" t="s">
        <v>48</v>
      </c>
      <c r="C1868" s="1" t="s">
        <v>3132</v>
      </c>
      <c r="D1868" s="1" t="s">
        <v>4325</v>
      </c>
      <c r="E1868" s="1">
        <v>15600000</v>
      </c>
    </row>
    <row r="1869" spans="1:5" ht="14.4" x14ac:dyDescent="0.3">
      <c r="A1869" s="20" t="s">
        <v>8288</v>
      </c>
      <c r="B1869" s="1" t="s">
        <v>317</v>
      </c>
      <c r="C1869" s="1" t="s">
        <v>3492</v>
      </c>
      <c r="D1869" s="1" t="s">
        <v>4326</v>
      </c>
      <c r="E1869" s="1">
        <v>24700000</v>
      </c>
    </row>
    <row r="1870" spans="1:5" ht="14.4" x14ac:dyDescent="0.3">
      <c r="A1870" s="20" t="s">
        <v>8289</v>
      </c>
      <c r="B1870" s="1" t="s">
        <v>93</v>
      </c>
      <c r="C1870" s="1" t="s">
        <v>3205</v>
      </c>
      <c r="D1870" s="1" t="s">
        <v>4327</v>
      </c>
      <c r="E1870" s="1">
        <v>19400000</v>
      </c>
    </row>
    <row r="1871" spans="1:5" ht="14.4" x14ac:dyDescent="0.3">
      <c r="A1871" s="20" t="s">
        <v>8290</v>
      </c>
      <c r="B1871" s="1" t="s">
        <v>327</v>
      </c>
      <c r="C1871" s="1" t="s">
        <v>3320</v>
      </c>
      <c r="D1871" s="1" t="s">
        <v>4328</v>
      </c>
      <c r="E1871" s="1">
        <v>12700000</v>
      </c>
    </row>
    <row r="1872" spans="1:5" ht="14.4" x14ac:dyDescent="0.3">
      <c r="A1872" s="20" t="s">
        <v>8291</v>
      </c>
      <c r="B1872" s="1" t="s">
        <v>264</v>
      </c>
      <c r="C1872" s="1">
        <v>3008</v>
      </c>
      <c r="D1872" s="1" t="s">
        <v>4329</v>
      </c>
      <c r="E1872" s="1">
        <v>22700000</v>
      </c>
    </row>
    <row r="1873" spans="1:5" ht="14.4" x14ac:dyDescent="0.3">
      <c r="A1873" s="20" t="s">
        <v>8292</v>
      </c>
      <c r="B1873" s="1" t="s">
        <v>264</v>
      </c>
      <c r="C1873" s="1" t="s">
        <v>2897</v>
      </c>
      <c r="D1873" s="1" t="s">
        <v>4321</v>
      </c>
      <c r="E1873" s="1">
        <v>9000000</v>
      </c>
    </row>
    <row r="1874" spans="1:5" ht="14.4" x14ac:dyDescent="0.3">
      <c r="A1874" s="20" t="s">
        <v>8293</v>
      </c>
      <c r="B1874" s="1" t="s">
        <v>236</v>
      </c>
      <c r="C1874" s="1" t="s">
        <v>3087</v>
      </c>
      <c r="D1874" s="1" t="s">
        <v>4330</v>
      </c>
      <c r="E1874" s="1">
        <v>14100000</v>
      </c>
    </row>
    <row r="1875" spans="1:5" ht="14.4" x14ac:dyDescent="0.3">
      <c r="A1875" s="20" t="s">
        <v>8294</v>
      </c>
      <c r="B1875" s="1" t="s">
        <v>72</v>
      </c>
      <c r="C1875" s="1">
        <v>580</v>
      </c>
      <c r="D1875" s="1" t="s">
        <v>4331</v>
      </c>
      <c r="E1875" s="1">
        <v>9900000</v>
      </c>
    </row>
    <row r="1876" spans="1:5" ht="14.4" x14ac:dyDescent="0.3">
      <c r="A1876" s="20" t="s">
        <v>8295</v>
      </c>
      <c r="B1876" s="1" t="s">
        <v>93</v>
      </c>
      <c r="C1876" s="1" t="s">
        <v>3205</v>
      </c>
      <c r="D1876" s="1" t="s">
        <v>4332</v>
      </c>
      <c r="E1876" s="1">
        <v>17700000</v>
      </c>
    </row>
    <row r="1877" spans="1:5" ht="14.4" x14ac:dyDescent="0.3">
      <c r="A1877" s="20" t="s">
        <v>8296</v>
      </c>
      <c r="B1877" s="1" t="s">
        <v>195</v>
      </c>
      <c r="C1877" s="1" t="s">
        <v>3831</v>
      </c>
      <c r="D1877" s="1" t="s">
        <v>4333</v>
      </c>
      <c r="E1877" s="1">
        <v>12000000</v>
      </c>
    </row>
    <row r="1878" spans="1:5" ht="14.4" x14ac:dyDescent="0.3">
      <c r="A1878" s="20" t="s">
        <v>8297</v>
      </c>
      <c r="B1878" s="1" t="s">
        <v>195</v>
      </c>
      <c r="C1878" s="1" t="s">
        <v>3074</v>
      </c>
      <c r="D1878" s="1" t="s">
        <v>4334</v>
      </c>
      <c r="E1878" s="1">
        <v>12400000</v>
      </c>
    </row>
    <row r="1879" spans="1:5" ht="14.4" x14ac:dyDescent="0.3">
      <c r="A1879" s="20" t="s">
        <v>8298</v>
      </c>
      <c r="B1879" s="1" t="s">
        <v>64</v>
      </c>
      <c r="C1879" s="1" t="s">
        <v>3562</v>
      </c>
      <c r="D1879" s="1" t="s">
        <v>4335</v>
      </c>
      <c r="E1879" s="1">
        <v>11700000</v>
      </c>
    </row>
    <row r="1880" spans="1:5" ht="14.4" x14ac:dyDescent="0.3">
      <c r="A1880" s="20" t="s">
        <v>8299</v>
      </c>
      <c r="B1880" s="1" t="s">
        <v>260</v>
      </c>
      <c r="C1880" s="1" t="s">
        <v>69</v>
      </c>
      <c r="D1880" s="1" t="s">
        <v>3170</v>
      </c>
      <c r="E1880" s="1">
        <v>14000000</v>
      </c>
    </row>
    <row r="1881" spans="1:5" ht="14.4" x14ac:dyDescent="0.3">
      <c r="A1881" s="20" t="s">
        <v>8300</v>
      </c>
      <c r="B1881" s="1" t="s">
        <v>157</v>
      </c>
      <c r="C1881" s="1" t="s">
        <v>2940</v>
      </c>
      <c r="D1881" s="1" t="s">
        <v>4336</v>
      </c>
      <c r="E1881" s="1">
        <v>18300000</v>
      </c>
    </row>
    <row r="1882" spans="1:5" ht="14.4" x14ac:dyDescent="0.3">
      <c r="A1882" s="20" t="s">
        <v>8301</v>
      </c>
      <c r="B1882" s="1" t="s">
        <v>30</v>
      </c>
      <c r="C1882" s="1" t="s">
        <v>41</v>
      </c>
      <c r="D1882" s="1" t="s">
        <v>3846</v>
      </c>
      <c r="E1882" s="1">
        <v>12200000</v>
      </c>
    </row>
    <row r="1883" spans="1:5" ht="14.4" x14ac:dyDescent="0.3">
      <c r="A1883" s="20" t="s">
        <v>8302</v>
      </c>
      <c r="B1883" s="1" t="s">
        <v>2945</v>
      </c>
      <c r="C1883" s="1" t="s">
        <v>3011</v>
      </c>
      <c r="D1883" s="1" t="s">
        <v>4337</v>
      </c>
      <c r="E1883" s="1">
        <v>9600000</v>
      </c>
    </row>
    <row r="1884" spans="1:5" ht="14.4" x14ac:dyDescent="0.3">
      <c r="A1884" s="20" t="s">
        <v>8303</v>
      </c>
      <c r="B1884" s="1" t="s">
        <v>72</v>
      </c>
      <c r="C1884" s="1" t="s">
        <v>3661</v>
      </c>
      <c r="D1884" s="1" t="s">
        <v>4338</v>
      </c>
      <c r="E1884" s="1">
        <v>17200000</v>
      </c>
    </row>
    <row r="1885" spans="1:5" ht="14.4" x14ac:dyDescent="0.3">
      <c r="A1885" s="20" t="s">
        <v>8304</v>
      </c>
      <c r="B1885" s="1" t="s">
        <v>93</v>
      </c>
      <c r="C1885" s="1" t="s">
        <v>143</v>
      </c>
      <c r="D1885" s="1" t="s">
        <v>4339</v>
      </c>
      <c r="E1885" s="1">
        <v>12200000</v>
      </c>
    </row>
    <row r="1886" spans="1:5" ht="14.4" x14ac:dyDescent="0.3">
      <c r="A1886" s="20" t="s">
        <v>8305</v>
      </c>
      <c r="B1886" s="1" t="s">
        <v>2910</v>
      </c>
      <c r="C1886" s="1" t="s">
        <v>206</v>
      </c>
      <c r="D1886" s="1" t="s">
        <v>4340</v>
      </c>
      <c r="E1886" s="1">
        <v>10100000</v>
      </c>
    </row>
    <row r="1887" spans="1:5" ht="14.4" x14ac:dyDescent="0.3">
      <c r="A1887" s="20" t="s">
        <v>8306</v>
      </c>
      <c r="B1887" s="1" t="s">
        <v>229</v>
      </c>
      <c r="C1887" s="1" t="s">
        <v>4341</v>
      </c>
      <c r="D1887" s="1" t="s">
        <v>4342</v>
      </c>
      <c r="E1887" s="1">
        <v>14900000</v>
      </c>
    </row>
    <row r="1888" spans="1:5" ht="14.4" x14ac:dyDescent="0.3">
      <c r="A1888" s="20" t="s">
        <v>8307</v>
      </c>
      <c r="B1888" s="1" t="s">
        <v>264</v>
      </c>
      <c r="C1888" s="1" t="s">
        <v>2996</v>
      </c>
      <c r="D1888" s="1" t="s">
        <v>4343</v>
      </c>
      <c r="E1888" s="1">
        <v>14600000</v>
      </c>
    </row>
    <row r="1889" spans="1:5" ht="14.4" x14ac:dyDescent="0.3">
      <c r="A1889" s="20" t="s">
        <v>8308</v>
      </c>
      <c r="B1889" s="1" t="s">
        <v>264</v>
      </c>
      <c r="C1889" s="1" t="s">
        <v>3042</v>
      </c>
      <c r="D1889" s="1" t="s">
        <v>4344</v>
      </c>
      <c r="E1889" s="1">
        <v>18200000</v>
      </c>
    </row>
    <row r="1890" spans="1:5" ht="14.4" x14ac:dyDescent="0.3">
      <c r="A1890" s="20" t="s">
        <v>8309</v>
      </c>
      <c r="B1890" s="1" t="s">
        <v>48</v>
      </c>
      <c r="C1890" s="1" t="s">
        <v>52</v>
      </c>
      <c r="D1890" s="1" t="s">
        <v>4345</v>
      </c>
      <c r="E1890" s="1">
        <v>35800000</v>
      </c>
    </row>
    <row r="1891" spans="1:5" ht="14.4" x14ac:dyDescent="0.3">
      <c r="A1891" s="20" t="s">
        <v>8310</v>
      </c>
      <c r="B1891" s="1" t="s">
        <v>93</v>
      </c>
      <c r="C1891" s="1" t="s">
        <v>131</v>
      </c>
      <c r="D1891" s="1" t="s">
        <v>4346</v>
      </c>
      <c r="E1891" s="1">
        <v>12900000</v>
      </c>
    </row>
    <row r="1892" spans="1:5" ht="14.4" x14ac:dyDescent="0.3">
      <c r="A1892" s="20" t="s">
        <v>8311</v>
      </c>
      <c r="B1892" s="1" t="s">
        <v>93</v>
      </c>
      <c r="C1892" s="1" t="s">
        <v>131</v>
      </c>
      <c r="D1892" s="1" t="s">
        <v>4347</v>
      </c>
      <c r="E1892" s="1">
        <v>23300000</v>
      </c>
    </row>
    <row r="1893" spans="1:5" ht="14.4" x14ac:dyDescent="0.3">
      <c r="A1893" s="20" t="s">
        <v>8312</v>
      </c>
      <c r="B1893" s="1" t="s">
        <v>2910</v>
      </c>
      <c r="C1893" s="1" t="s">
        <v>2911</v>
      </c>
      <c r="D1893" s="1" t="s">
        <v>4348</v>
      </c>
      <c r="E1893" s="1">
        <v>9100000</v>
      </c>
    </row>
    <row r="1894" spans="1:5" ht="14.4" x14ac:dyDescent="0.3">
      <c r="A1894" s="20" t="s">
        <v>8313</v>
      </c>
      <c r="B1894" s="1" t="s">
        <v>2910</v>
      </c>
      <c r="C1894" s="1" t="s">
        <v>2911</v>
      </c>
      <c r="D1894" s="1" t="s">
        <v>4349</v>
      </c>
      <c r="E1894" s="1">
        <v>9400000</v>
      </c>
    </row>
    <row r="1895" spans="1:5" ht="14.4" x14ac:dyDescent="0.3">
      <c r="A1895" s="20" t="s">
        <v>8314</v>
      </c>
      <c r="B1895" s="1" t="s">
        <v>3077</v>
      </c>
      <c r="C1895" s="1" t="s">
        <v>4350</v>
      </c>
      <c r="D1895" s="1" t="s">
        <v>4351</v>
      </c>
      <c r="E1895" s="1">
        <v>34400000</v>
      </c>
    </row>
    <row r="1896" spans="1:5" ht="14.4" x14ac:dyDescent="0.3">
      <c r="A1896" s="20" t="s">
        <v>8315</v>
      </c>
      <c r="B1896" s="1" t="s">
        <v>264</v>
      </c>
      <c r="C1896" s="1">
        <v>5008</v>
      </c>
      <c r="D1896" s="1" t="s">
        <v>4352</v>
      </c>
      <c r="E1896" s="1">
        <v>16100000</v>
      </c>
    </row>
    <row r="1897" spans="1:5" ht="14.4" x14ac:dyDescent="0.3">
      <c r="A1897" s="20" t="s">
        <v>8316</v>
      </c>
      <c r="B1897" s="1" t="s">
        <v>2910</v>
      </c>
      <c r="C1897" s="1" t="s">
        <v>206</v>
      </c>
      <c r="D1897" s="1" t="s">
        <v>4353</v>
      </c>
      <c r="E1897" s="1">
        <v>9500000</v>
      </c>
    </row>
    <row r="1898" spans="1:5" ht="14.4" x14ac:dyDescent="0.3">
      <c r="A1898" s="20" t="s">
        <v>8317</v>
      </c>
      <c r="B1898" s="1" t="s">
        <v>72</v>
      </c>
      <c r="C1898" s="1">
        <v>600</v>
      </c>
      <c r="D1898" s="1" t="s">
        <v>2889</v>
      </c>
      <c r="E1898" s="1">
        <v>19700000</v>
      </c>
    </row>
    <row r="1899" spans="1:5" ht="14.4" x14ac:dyDescent="0.3">
      <c r="A1899" s="20" t="s">
        <v>8318</v>
      </c>
      <c r="B1899" s="1" t="s">
        <v>264</v>
      </c>
      <c r="C1899" s="1" t="s">
        <v>2899</v>
      </c>
      <c r="D1899" s="1" t="s">
        <v>4354</v>
      </c>
      <c r="E1899" s="1">
        <v>13100000</v>
      </c>
    </row>
    <row r="1900" spans="1:5" ht="14.4" x14ac:dyDescent="0.3">
      <c r="A1900" s="20" t="s">
        <v>8319</v>
      </c>
      <c r="B1900" s="1" t="s">
        <v>303</v>
      </c>
      <c r="C1900" s="1">
        <v>1200</v>
      </c>
      <c r="D1900" s="1" t="s">
        <v>4355</v>
      </c>
      <c r="E1900" s="1">
        <v>19300000</v>
      </c>
    </row>
    <row r="1901" spans="1:5" ht="14.4" x14ac:dyDescent="0.3">
      <c r="A1901" s="20" t="s">
        <v>8320</v>
      </c>
      <c r="B1901" s="1" t="s">
        <v>317</v>
      </c>
      <c r="C1901" s="1" t="s">
        <v>3573</v>
      </c>
      <c r="D1901" s="1" t="s">
        <v>4356</v>
      </c>
      <c r="E1901" s="1">
        <v>31300000</v>
      </c>
    </row>
    <row r="1902" spans="1:5" ht="14.4" x14ac:dyDescent="0.3">
      <c r="A1902" s="20" t="s">
        <v>8321</v>
      </c>
      <c r="B1902" s="1" t="s">
        <v>264</v>
      </c>
      <c r="C1902" s="1" t="s">
        <v>2899</v>
      </c>
      <c r="D1902" s="1" t="s">
        <v>8322</v>
      </c>
      <c r="E1902" s="1">
        <v>15300000</v>
      </c>
    </row>
    <row r="1903" spans="1:5" ht="14.4" x14ac:dyDescent="0.3">
      <c r="A1903" s="20" t="s">
        <v>8323</v>
      </c>
      <c r="B1903" s="1" t="s">
        <v>317</v>
      </c>
      <c r="C1903" s="1" t="s">
        <v>2949</v>
      </c>
      <c r="D1903" s="1" t="s">
        <v>8324</v>
      </c>
      <c r="E1903" s="1">
        <v>13000000</v>
      </c>
    </row>
    <row r="1904" spans="1:5" ht="14.4" x14ac:dyDescent="0.3">
      <c r="A1904" s="20" t="s">
        <v>8325</v>
      </c>
      <c r="B1904" s="1" t="s">
        <v>242</v>
      </c>
      <c r="C1904" s="1" t="s">
        <v>3303</v>
      </c>
      <c r="D1904" s="1" t="s">
        <v>6431</v>
      </c>
      <c r="E1904" s="1">
        <v>36500000</v>
      </c>
    </row>
    <row r="1905" spans="1:5" ht="14.4" x14ac:dyDescent="0.3">
      <c r="A1905" s="20" t="s">
        <v>8326</v>
      </c>
      <c r="B1905" s="1" t="s">
        <v>236</v>
      </c>
      <c r="C1905" s="1" t="s">
        <v>3772</v>
      </c>
      <c r="D1905" s="1" t="s">
        <v>8327</v>
      </c>
      <c r="E1905" s="1">
        <v>16200000</v>
      </c>
    </row>
    <row r="1906" spans="1:5" ht="14.4" x14ac:dyDescent="0.3">
      <c r="A1906" s="20" t="s">
        <v>8328</v>
      </c>
      <c r="B1906" s="1" t="s">
        <v>48</v>
      </c>
      <c r="C1906" s="1" t="s">
        <v>2952</v>
      </c>
      <c r="D1906" s="1" t="s">
        <v>8329</v>
      </c>
      <c r="E1906" s="1">
        <v>8300000</v>
      </c>
    </row>
    <row r="1907" spans="1:5" ht="14.4" x14ac:dyDescent="0.3">
      <c r="A1907" s="20" t="s">
        <v>8330</v>
      </c>
      <c r="B1907" s="1" t="s">
        <v>3362</v>
      </c>
      <c r="C1907" s="1" t="s">
        <v>3378</v>
      </c>
      <c r="D1907" s="1" t="s">
        <v>8331</v>
      </c>
      <c r="E1907" s="1">
        <v>10200000</v>
      </c>
    </row>
    <row r="1908" spans="1:5" ht="14.4" x14ac:dyDescent="0.3">
      <c r="A1908" s="20" t="s">
        <v>8332</v>
      </c>
      <c r="B1908" s="1" t="s">
        <v>264</v>
      </c>
      <c r="C1908" s="1" t="s">
        <v>2897</v>
      </c>
      <c r="D1908" s="1" t="s">
        <v>8333</v>
      </c>
      <c r="E1908" s="1">
        <v>9800000</v>
      </c>
    </row>
    <row r="1909" spans="1:5" ht="14.4" x14ac:dyDescent="0.3">
      <c r="A1909" s="20" t="s">
        <v>8334</v>
      </c>
      <c r="B1909" s="1" t="s">
        <v>93</v>
      </c>
      <c r="C1909" s="1" t="s">
        <v>131</v>
      </c>
      <c r="D1909" s="1" t="s">
        <v>8335</v>
      </c>
      <c r="E1909" s="1">
        <v>16200000</v>
      </c>
    </row>
    <row r="1910" spans="1:5" ht="14.4" x14ac:dyDescent="0.3">
      <c r="A1910" s="20" t="s">
        <v>8336</v>
      </c>
      <c r="B1910" s="1" t="s">
        <v>181</v>
      </c>
      <c r="C1910" s="1" t="s">
        <v>2947</v>
      </c>
      <c r="D1910" s="1" t="s">
        <v>8337</v>
      </c>
      <c r="E1910" s="1">
        <v>14200000</v>
      </c>
    </row>
    <row r="1911" spans="1:5" ht="14.4" x14ac:dyDescent="0.3">
      <c r="A1911" s="20" t="s">
        <v>8338</v>
      </c>
      <c r="B1911" s="1" t="s">
        <v>264</v>
      </c>
      <c r="C1911" s="1" t="s">
        <v>300</v>
      </c>
      <c r="D1911" s="1" t="s">
        <v>8339</v>
      </c>
      <c r="E1911" s="1">
        <v>11500000</v>
      </c>
    </row>
    <row r="1912" spans="1:5" ht="14.4" x14ac:dyDescent="0.3">
      <c r="A1912" s="20" t="s">
        <v>8340</v>
      </c>
      <c r="B1912" s="1" t="s">
        <v>167</v>
      </c>
      <c r="C1912" s="1" t="s">
        <v>3280</v>
      </c>
      <c r="D1912" s="1" t="s">
        <v>8341</v>
      </c>
      <c r="E1912" s="1">
        <v>14100000</v>
      </c>
    </row>
    <row r="1913" spans="1:5" ht="14.4" x14ac:dyDescent="0.3">
      <c r="A1913" s="20" t="s">
        <v>8342</v>
      </c>
      <c r="B1913" s="1" t="s">
        <v>242</v>
      </c>
      <c r="C1913" s="1" t="s">
        <v>2988</v>
      </c>
      <c r="D1913" s="1" t="s">
        <v>8343</v>
      </c>
      <c r="E1913" s="1">
        <v>25100000</v>
      </c>
    </row>
    <row r="1914" spans="1:5" ht="14.4" x14ac:dyDescent="0.3">
      <c r="A1914" s="20" t="s">
        <v>8344</v>
      </c>
      <c r="B1914" s="1" t="s">
        <v>188</v>
      </c>
      <c r="C1914" s="1">
        <v>7</v>
      </c>
      <c r="D1914" s="1" t="s">
        <v>8345</v>
      </c>
      <c r="E1914" s="1">
        <v>16600000</v>
      </c>
    </row>
    <row r="1915" spans="1:5" ht="14.4" x14ac:dyDescent="0.3">
      <c r="A1915" s="20" t="s">
        <v>8346</v>
      </c>
      <c r="B1915" s="1" t="s">
        <v>93</v>
      </c>
      <c r="C1915" s="1" t="s">
        <v>143</v>
      </c>
      <c r="D1915" s="1" t="s">
        <v>8347</v>
      </c>
      <c r="E1915" s="1">
        <v>13600000</v>
      </c>
    </row>
    <row r="1916" spans="1:5" ht="14.4" x14ac:dyDescent="0.3">
      <c r="A1916" s="20" t="s">
        <v>8348</v>
      </c>
      <c r="B1916" s="1" t="s">
        <v>260</v>
      </c>
      <c r="C1916" s="1" t="s">
        <v>69</v>
      </c>
      <c r="D1916" s="1" t="s">
        <v>8349</v>
      </c>
      <c r="E1916" s="1">
        <v>14400000</v>
      </c>
    </row>
    <row r="1917" spans="1:5" ht="14.4" x14ac:dyDescent="0.3">
      <c r="A1917" s="20" t="s">
        <v>8350</v>
      </c>
      <c r="B1917" s="1" t="s">
        <v>2910</v>
      </c>
      <c r="C1917" s="1" t="s">
        <v>206</v>
      </c>
      <c r="D1917" s="1" t="s">
        <v>8351</v>
      </c>
      <c r="E1917" s="1">
        <v>6820000</v>
      </c>
    </row>
    <row r="1918" spans="1:5" ht="14.4" x14ac:dyDescent="0.3">
      <c r="A1918" s="20" t="s">
        <v>8352</v>
      </c>
      <c r="B1918" s="1" t="s">
        <v>181</v>
      </c>
      <c r="C1918" s="1" t="s">
        <v>3775</v>
      </c>
      <c r="D1918" s="1" t="s">
        <v>8353</v>
      </c>
      <c r="E1918" s="1">
        <v>7170000</v>
      </c>
    </row>
    <row r="1919" spans="1:5" ht="14.4" x14ac:dyDescent="0.3">
      <c r="A1919" s="20" t="s">
        <v>8354</v>
      </c>
      <c r="B1919" s="1" t="s">
        <v>2910</v>
      </c>
      <c r="C1919" s="1" t="s">
        <v>206</v>
      </c>
      <c r="D1919" s="1" t="s">
        <v>8351</v>
      </c>
      <c r="E1919" s="1">
        <v>6610000</v>
      </c>
    </row>
    <row r="1920" spans="1:5" ht="14.4" x14ac:dyDescent="0.3">
      <c r="A1920" s="20" t="s">
        <v>8355</v>
      </c>
      <c r="B1920" s="1" t="s">
        <v>303</v>
      </c>
      <c r="C1920" s="1">
        <v>1500</v>
      </c>
      <c r="D1920" s="1" t="s">
        <v>306</v>
      </c>
      <c r="E1920" s="1">
        <v>31200000</v>
      </c>
    </row>
    <row r="1921" spans="1:5" ht="14.4" x14ac:dyDescent="0.3">
      <c r="A1921" s="20" t="s">
        <v>8356</v>
      </c>
      <c r="B1921" s="1" t="s">
        <v>2945</v>
      </c>
      <c r="C1921" s="1">
        <v>3</v>
      </c>
      <c r="D1921" s="1" t="s">
        <v>8357</v>
      </c>
      <c r="E1921" s="1">
        <v>8600000</v>
      </c>
    </row>
    <row r="1922" spans="1:5" ht="14.4" x14ac:dyDescent="0.3">
      <c r="A1922" s="20" t="s">
        <v>8358</v>
      </c>
      <c r="B1922" s="1" t="s">
        <v>229</v>
      </c>
      <c r="C1922" s="1" t="s">
        <v>230</v>
      </c>
      <c r="D1922" s="1" t="s">
        <v>2175</v>
      </c>
      <c r="E1922" s="1">
        <v>15500000</v>
      </c>
    </row>
    <row r="1923" spans="1:5" ht="14.4" x14ac:dyDescent="0.3">
      <c r="A1923" s="20" t="s">
        <v>8359</v>
      </c>
      <c r="B1923" s="1" t="s">
        <v>242</v>
      </c>
      <c r="C1923" s="1" t="s">
        <v>246</v>
      </c>
      <c r="D1923" s="1" t="s">
        <v>8360</v>
      </c>
      <c r="E1923" s="1">
        <v>21000000</v>
      </c>
    </row>
    <row r="1924" spans="1:5" ht="14.4" x14ac:dyDescent="0.3">
      <c r="A1924" s="20" t="s">
        <v>8361</v>
      </c>
      <c r="B1924" s="1" t="s">
        <v>93</v>
      </c>
      <c r="C1924" s="1" t="s">
        <v>3205</v>
      </c>
      <c r="D1924" s="1" t="s">
        <v>8362</v>
      </c>
      <c r="E1924" s="1">
        <v>18200000</v>
      </c>
    </row>
    <row r="1925" spans="1:5" ht="14.4" x14ac:dyDescent="0.3">
      <c r="A1925" s="20" t="s">
        <v>8363</v>
      </c>
      <c r="B1925" s="1" t="s">
        <v>2945</v>
      </c>
      <c r="C1925" s="1" t="s">
        <v>3106</v>
      </c>
      <c r="D1925" s="1" t="s">
        <v>8364</v>
      </c>
      <c r="E1925" s="1">
        <v>8200000</v>
      </c>
    </row>
    <row r="1926" spans="1:5" ht="14.4" x14ac:dyDescent="0.3">
      <c r="A1926" s="20" t="s">
        <v>8365</v>
      </c>
      <c r="B1926" s="1" t="s">
        <v>317</v>
      </c>
      <c r="C1926" s="1" t="s">
        <v>3492</v>
      </c>
      <c r="D1926" s="1" t="s">
        <v>8366</v>
      </c>
      <c r="E1926" s="1">
        <v>17200000</v>
      </c>
    </row>
    <row r="1927" spans="1:5" ht="14.4" x14ac:dyDescent="0.3">
      <c r="A1927" s="20" t="s">
        <v>8367</v>
      </c>
      <c r="B1927" s="1" t="s">
        <v>264</v>
      </c>
      <c r="C1927" s="1" t="s">
        <v>293</v>
      </c>
      <c r="D1927" s="1" t="s">
        <v>8368</v>
      </c>
      <c r="E1927" s="1">
        <v>21000000</v>
      </c>
    </row>
    <row r="1928" spans="1:5" ht="14.4" x14ac:dyDescent="0.3">
      <c r="A1928" s="20" t="s">
        <v>8369</v>
      </c>
      <c r="B1928" s="1" t="s">
        <v>167</v>
      </c>
      <c r="C1928" s="1" t="s">
        <v>3119</v>
      </c>
      <c r="D1928" s="1" t="s">
        <v>8370</v>
      </c>
      <c r="E1928" s="1">
        <v>6840000</v>
      </c>
    </row>
    <row r="1929" spans="1:5" ht="14.4" x14ac:dyDescent="0.3">
      <c r="A1929" s="20" t="s">
        <v>8371</v>
      </c>
      <c r="B1929" s="1" t="s">
        <v>2910</v>
      </c>
      <c r="C1929" s="1" t="s">
        <v>3242</v>
      </c>
      <c r="D1929" s="1" t="s">
        <v>8372</v>
      </c>
      <c r="E1929" s="1">
        <v>14000000</v>
      </c>
    </row>
    <row r="1930" spans="1:5" ht="14.4" x14ac:dyDescent="0.3">
      <c r="A1930" s="20" t="s">
        <v>8373</v>
      </c>
      <c r="B1930" s="1" t="s">
        <v>181</v>
      </c>
      <c r="C1930" s="1" t="s">
        <v>4197</v>
      </c>
      <c r="D1930" s="1" t="s">
        <v>8374</v>
      </c>
      <c r="E1930" s="1">
        <v>10300000</v>
      </c>
    </row>
    <row r="1931" spans="1:5" ht="14.4" x14ac:dyDescent="0.3">
      <c r="A1931" s="20" t="s">
        <v>8375</v>
      </c>
      <c r="B1931" s="1" t="s">
        <v>242</v>
      </c>
      <c r="C1931" s="1" t="s">
        <v>2904</v>
      </c>
      <c r="D1931" s="1" t="s">
        <v>6668</v>
      </c>
      <c r="E1931" s="1">
        <v>14600000</v>
      </c>
    </row>
    <row r="1932" spans="1:5" ht="14.4" x14ac:dyDescent="0.3">
      <c r="A1932" s="20" t="s">
        <v>8376</v>
      </c>
      <c r="B1932" s="1" t="s">
        <v>167</v>
      </c>
      <c r="C1932" s="1" t="s">
        <v>3508</v>
      </c>
      <c r="D1932" s="1" t="s">
        <v>8377</v>
      </c>
      <c r="E1932" s="1">
        <v>12500000</v>
      </c>
    </row>
    <row r="1933" spans="1:5" ht="14.4" x14ac:dyDescent="0.3">
      <c r="A1933" s="20" t="s">
        <v>8378</v>
      </c>
      <c r="B1933" s="1" t="s">
        <v>195</v>
      </c>
      <c r="C1933" s="1" t="s">
        <v>4863</v>
      </c>
      <c r="D1933" s="1" t="s">
        <v>8379</v>
      </c>
      <c r="E1933" s="1">
        <v>16400000</v>
      </c>
    </row>
    <row r="1934" spans="1:5" ht="14.4" x14ac:dyDescent="0.3">
      <c r="A1934" s="20" t="s">
        <v>8380</v>
      </c>
      <c r="B1934" s="1" t="s">
        <v>236</v>
      </c>
      <c r="C1934" s="1" t="s">
        <v>3772</v>
      </c>
      <c r="D1934" s="1" t="s">
        <v>8381</v>
      </c>
      <c r="E1934" s="1">
        <v>14300000</v>
      </c>
    </row>
    <row r="1935" spans="1:5" ht="14.4" x14ac:dyDescent="0.3">
      <c r="A1935" s="20" t="s">
        <v>8382</v>
      </c>
      <c r="B1935" s="1" t="s">
        <v>72</v>
      </c>
      <c r="C1935" s="1">
        <v>580</v>
      </c>
      <c r="D1935" s="1" t="s">
        <v>8383</v>
      </c>
      <c r="E1935" s="1">
        <v>10800000</v>
      </c>
    </row>
    <row r="1936" spans="1:5" ht="14.4" x14ac:dyDescent="0.3">
      <c r="A1936" s="20" t="s">
        <v>8384</v>
      </c>
      <c r="B1936" s="1" t="s">
        <v>2905</v>
      </c>
      <c r="C1936" s="1" t="s">
        <v>8385</v>
      </c>
      <c r="D1936" s="1" t="s">
        <v>3443</v>
      </c>
      <c r="E1936" s="1">
        <v>30600000</v>
      </c>
    </row>
    <row r="1937" spans="1:5" ht="14.4" x14ac:dyDescent="0.3">
      <c r="A1937" s="20" t="s">
        <v>8386</v>
      </c>
      <c r="B1937" s="1" t="s">
        <v>2961</v>
      </c>
      <c r="C1937" s="1" t="s">
        <v>3453</v>
      </c>
      <c r="D1937" s="1" t="s">
        <v>3454</v>
      </c>
      <c r="E1937" s="1">
        <v>12000000</v>
      </c>
    </row>
    <row r="1938" spans="1:5" ht="14.4" x14ac:dyDescent="0.3">
      <c r="A1938" s="20" t="s">
        <v>8387</v>
      </c>
      <c r="B1938" s="1" t="s">
        <v>317</v>
      </c>
      <c r="C1938" s="1" t="s">
        <v>3573</v>
      </c>
      <c r="D1938" s="1" t="s">
        <v>750</v>
      </c>
      <c r="E1938" s="1">
        <v>20500000</v>
      </c>
    </row>
    <row r="1939" spans="1:5" ht="14.4" x14ac:dyDescent="0.3">
      <c r="A1939" s="20" t="s">
        <v>8388</v>
      </c>
      <c r="B1939" s="1" t="s">
        <v>167</v>
      </c>
      <c r="C1939" s="1" t="s">
        <v>3508</v>
      </c>
      <c r="D1939" s="1" t="s">
        <v>6666</v>
      </c>
      <c r="E1939" s="1">
        <v>16600000</v>
      </c>
    </row>
    <row r="1940" spans="1:5" ht="14.4" x14ac:dyDescent="0.3">
      <c r="A1940" s="20" t="s">
        <v>8389</v>
      </c>
      <c r="B1940" s="1" t="s">
        <v>2910</v>
      </c>
      <c r="C1940" s="1" t="s">
        <v>2999</v>
      </c>
      <c r="D1940" s="1" t="s">
        <v>8390</v>
      </c>
      <c r="E1940" s="1">
        <v>11100000</v>
      </c>
    </row>
    <row r="1941" spans="1:5" ht="14.4" x14ac:dyDescent="0.3">
      <c r="A1941" s="20" t="s">
        <v>8391</v>
      </c>
      <c r="B1941" s="1" t="s">
        <v>2910</v>
      </c>
      <c r="C1941" s="1" t="s">
        <v>2999</v>
      </c>
      <c r="D1941" s="1" t="s">
        <v>8390</v>
      </c>
      <c r="E1941" s="1">
        <v>15300000</v>
      </c>
    </row>
    <row r="1942" spans="1:5" ht="14.4" x14ac:dyDescent="0.3">
      <c r="A1942" s="20" t="s">
        <v>8392</v>
      </c>
      <c r="B1942" s="1" t="s">
        <v>264</v>
      </c>
      <c r="C1942" s="1">
        <v>3008</v>
      </c>
      <c r="D1942" s="1" t="s">
        <v>3059</v>
      </c>
      <c r="E1942" s="1">
        <v>15500000</v>
      </c>
    </row>
    <row r="1943" spans="1:5" ht="14.4" x14ac:dyDescent="0.3">
      <c r="A1943" s="20" t="s">
        <v>8393</v>
      </c>
      <c r="B1943" s="1" t="s">
        <v>167</v>
      </c>
      <c r="C1943" s="1" t="s">
        <v>3508</v>
      </c>
      <c r="D1943" s="1" t="s">
        <v>8394</v>
      </c>
      <c r="E1943" s="1">
        <v>17000000</v>
      </c>
    </row>
    <row r="1944" spans="1:5" ht="14.4" x14ac:dyDescent="0.3">
      <c r="A1944" s="20" t="s">
        <v>8395</v>
      </c>
      <c r="B1944" s="1" t="s">
        <v>317</v>
      </c>
      <c r="C1944" s="1" t="s">
        <v>4256</v>
      </c>
      <c r="D1944" s="1" t="s">
        <v>8396</v>
      </c>
      <c r="E1944" s="1">
        <v>24100000</v>
      </c>
    </row>
    <row r="1945" spans="1:5" ht="14.4" x14ac:dyDescent="0.3">
      <c r="A1945" s="20" t="s">
        <v>8397</v>
      </c>
      <c r="B1945" s="1" t="s">
        <v>93</v>
      </c>
      <c r="C1945" s="1" t="s">
        <v>2888</v>
      </c>
      <c r="D1945" s="1" t="s">
        <v>6671</v>
      </c>
      <c r="E1945" s="1">
        <v>57000000</v>
      </c>
    </row>
    <row r="1946" spans="1:5" ht="14.4" x14ac:dyDescent="0.3">
      <c r="A1946" s="20" t="s">
        <v>8398</v>
      </c>
      <c r="B1946" s="1" t="s">
        <v>2957</v>
      </c>
      <c r="C1946" s="1" t="s">
        <v>3268</v>
      </c>
      <c r="D1946" s="1" t="s">
        <v>8399</v>
      </c>
      <c r="E1946" s="1">
        <v>19500000</v>
      </c>
    </row>
    <row r="1947" spans="1:5" ht="14.4" x14ac:dyDescent="0.3">
      <c r="A1947" s="20" t="s">
        <v>8400</v>
      </c>
      <c r="B1947" s="1" t="s">
        <v>2906</v>
      </c>
      <c r="C1947" s="1" t="s">
        <v>3371</v>
      </c>
      <c r="D1947" s="1" t="s">
        <v>8401</v>
      </c>
      <c r="E1947" s="1">
        <v>12800000</v>
      </c>
    </row>
    <row r="1948" spans="1:5" ht="14.4" x14ac:dyDescent="0.3">
      <c r="A1948" s="20" t="s">
        <v>8402</v>
      </c>
      <c r="B1948" s="1" t="s">
        <v>2910</v>
      </c>
      <c r="C1948" s="1" t="s">
        <v>2935</v>
      </c>
      <c r="D1948" s="1" t="s">
        <v>8403</v>
      </c>
      <c r="E1948" s="1">
        <v>12500000</v>
      </c>
    </row>
    <row r="1949" spans="1:5" ht="14.4" x14ac:dyDescent="0.3">
      <c r="A1949" s="20" t="s">
        <v>8404</v>
      </c>
      <c r="B1949" s="1" t="s">
        <v>48</v>
      </c>
      <c r="C1949" s="1" t="s">
        <v>3308</v>
      </c>
      <c r="D1949" s="1" t="s">
        <v>8405</v>
      </c>
      <c r="E1949" s="1">
        <v>14700000</v>
      </c>
    </row>
    <row r="1950" spans="1:5" ht="14.4" x14ac:dyDescent="0.3">
      <c r="A1950" s="20" t="s">
        <v>8406</v>
      </c>
      <c r="B1950" s="1" t="s">
        <v>339</v>
      </c>
      <c r="C1950" s="1" t="s">
        <v>3790</v>
      </c>
      <c r="D1950" s="1" t="s">
        <v>8407</v>
      </c>
      <c r="E1950" s="1">
        <v>20400000</v>
      </c>
    </row>
    <row r="1951" spans="1:5" ht="14.4" x14ac:dyDescent="0.3">
      <c r="A1951" s="20" t="s">
        <v>8408</v>
      </c>
      <c r="B1951" s="1" t="s">
        <v>264</v>
      </c>
      <c r="C1951" s="1" t="s">
        <v>2890</v>
      </c>
      <c r="D1951" s="1" t="s">
        <v>8409</v>
      </c>
      <c r="E1951" s="1">
        <v>14800000</v>
      </c>
    </row>
    <row r="1952" spans="1:5" ht="14.4" x14ac:dyDescent="0.3">
      <c r="A1952" s="20" t="s">
        <v>8410</v>
      </c>
      <c r="B1952" s="1" t="s">
        <v>339</v>
      </c>
      <c r="C1952" s="1" t="s">
        <v>3868</v>
      </c>
      <c r="D1952" s="1" t="s">
        <v>8411</v>
      </c>
      <c r="E1952" s="1">
        <v>10800000</v>
      </c>
    </row>
    <row r="1953" spans="1:5" ht="14.4" x14ac:dyDescent="0.3">
      <c r="A1953" s="20" t="s">
        <v>8412</v>
      </c>
      <c r="B1953" s="1" t="s">
        <v>157</v>
      </c>
      <c r="C1953" s="1" t="s">
        <v>164</v>
      </c>
      <c r="D1953" s="1" t="s">
        <v>8413</v>
      </c>
      <c r="E1953" s="1">
        <v>10300000</v>
      </c>
    </row>
    <row r="1954" spans="1:5" ht="14.4" x14ac:dyDescent="0.3">
      <c r="A1954" s="20" t="s">
        <v>8414</v>
      </c>
      <c r="B1954" s="1" t="s">
        <v>236</v>
      </c>
      <c r="C1954" s="1" t="s">
        <v>3772</v>
      </c>
      <c r="D1954" s="1" t="s">
        <v>1509</v>
      </c>
      <c r="E1954" s="1">
        <v>13400000</v>
      </c>
    </row>
    <row r="1955" spans="1:5" ht="14.4" x14ac:dyDescent="0.3">
      <c r="A1955" s="20" t="s">
        <v>8415</v>
      </c>
      <c r="B1955" s="1" t="s">
        <v>93</v>
      </c>
      <c r="C1955" s="1" t="s">
        <v>100</v>
      </c>
      <c r="D1955" s="1" t="s">
        <v>8416</v>
      </c>
      <c r="E1955" s="1">
        <v>25300000</v>
      </c>
    </row>
    <row r="1956" spans="1:5" ht="14.4" x14ac:dyDescent="0.3">
      <c r="A1956" s="20" t="s">
        <v>8417</v>
      </c>
      <c r="B1956" s="1" t="s">
        <v>327</v>
      </c>
      <c r="C1956" s="1" t="s">
        <v>3320</v>
      </c>
      <c r="D1956" s="1" t="s">
        <v>8418</v>
      </c>
      <c r="E1956" s="1">
        <v>14700000</v>
      </c>
    </row>
    <row r="1957" spans="1:5" ht="14.4" x14ac:dyDescent="0.3">
      <c r="A1957" s="20" t="s">
        <v>8419</v>
      </c>
      <c r="B1957" s="1" t="s">
        <v>93</v>
      </c>
      <c r="C1957" s="1" t="s">
        <v>2888</v>
      </c>
      <c r="D1957" s="1" t="s">
        <v>8420</v>
      </c>
      <c r="E1957" s="1">
        <v>18300000</v>
      </c>
    </row>
    <row r="1958" spans="1:5" ht="14.4" x14ac:dyDescent="0.3">
      <c r="A1958" s="20" t="s">
        <v>8421</v>
      </c>
      <c r="B1958" s="1" t="s">
        <v>242</v>
      </c>
      <c r="C1958" s="1" t="s">
        <v>3174</v>
      </c>
      <c r="D1958" s="1" t="s">
        <v>8422</v>
      </c>
      <c r="E1958" s="1">
        <v>13400000</v>
      </c>
    </row>
    <row r="1959" spans="1:5" ht="14.4" x14ac:dyDescent="0.3">
      <c r="A1959" s="20" t="s">
        <v>8423</v>
      </c>
      <c r="B1959" s="1" t="s">
        <v>2910</v>
      </c>
      <c r="C1959" s="1" t="s">
        <v>218</v>
      </c>
      <c r="D1959" s="1" t="s">
        <v>8424</v>
      </c>
      <c r="E1959" s="1">
        <v>11300000</v>
      </c>
    </row>
    <row r="1960" spans="1:5" ht="14.4" x14ac:dyDescent="0.3">
      <c r="A1960" s="20" t="s">
        <v>8425</v>
      </c>
      <c r="B1960" s="1" t="s">
        <v>2910</v>
      </c>
      <c r="C1960" s="1" t="s">
        <v>218</v>
      </c>
      <c r="D1960" s="1" t="s">
        <v>661</v>
      </c>
      <c r="E1960" s="1">
        <v>18500000</v>
      </c>
    </row>
    <row r="1961" spans="1:5" ht="14.4" x14ac:dyDescent="0.3">
      <c r="A1961" s="20" t="s">
        <v>8426</v>
      </c>
      <c r="B1961" s="1" t="s">
        <v>2910</v>
      </c>
      <c r="C1961" s="1" t="s">
        <v>3075</v>
      </c>
      <c r="D1961" s="1" t="s">
        <v>8427</v>
      </c>
      <c r="E1961" s="1">
        <v>12300000</v>
      </c>
    </row>
    <row r="1962" spans="1:5" ht="14.4" x14ac:dyDescent="0.3">
      <c r="A1962" s="20" t="s">
        <v>8428</v>
      </c>
      <c r="B1962" s="1" t="s">
        <v>2961</v>
      </c>
      <c r="C1962" s="1" t="s">
        <v>3067</v>
      </c>
      <c r="D1962" s="1" t="s">
        <v>3553</v>
      </c>
      <c r="E1962" s="1">
        <v>13200000</v>
      </c>
    </row>
    <row r="1963" spans="1:5" ht="14.4" x14ac:dyDescent="0.3">
      <c r="A1963" s="20" t="s">
        <v>8429</v>
      </c>
      <c r="B1963" s="1" t="s">
        <v>30</v>
      </c>
      <c r="C1963" s="1" t="s">
        <v>34</v>
      </c>
      <c r="D1963" s="1" t="s">
        <v>8430</v>
      </c>
      <c r="E1963" s="1">
        <v>8700000</v>
      </c>
    </row>
    <row r="1964" spans="1:5" ht="14.4" x14ac:dyDescent="0.3">
      <c r="A1964" s="20" t="s">
        <v>8431</v>
      </c>
      <c r="B1964" s="1" t="s">
        <v>242</v>
      </c>
      <c r="C1964" s="1" t="s">
        <v>2988</v>
      </c>
      <c r="D1964" s="1" t="s">
        <v>8432</v>
      </c>
      <c r="E1964" s="1">
        <v>30400000</v>
      </c>
    </row>
    <row r="1965" spans="1:5" ht="14.4" x14ac:dyDescent="0.3">
      <c r="A1965" s="20" t="s">
        <v>8433</v>
      </c>
      <c r="B1965" s="1" t="s">
        <v>242</v>
      </c>
      <c r="C1965" s="1" t="s">
        <v>3511</v>
      </c>
      <c r="D1965" s="1" t="s">
        <v>8434</v>
      </c>
      <c r="E1965" s="1">
        <v>9800000</v>
      </c>
    </row>
    <row r="1966" spans="1:5" ht="14.4" x14ac:dyDescent="0.3">
      <c r="A1966" s="20" t="s">
        <v>8435</v>
      </c>
      <c r="B1966" s="1" t="s">
        <v>167</v>
      </c>
      <c r="C1966" s="1" t="s">
        <v>3508</v>
      </c>
      <c r="D1966" s="1" t="s">
        <v>8377</v>
      </c>
      <c r="E1966" s="1">
        <v>12500000</v>
      </c>
    </row>
    <row r="1967" spans="1:5" ht="14.4" x14ac:dyDescent="0.3">
      <c r="A1967" s="20" t="s">
        <v>8436</v>
      </c>
      <c r="B1967" s="1" t="s">
        <v>264</v>
      </c>
      <c r="C1967" s="1">
        <v>3008</v>
      </c>
      <c r="D1967" s="1" t="s">
        <v>8437</v>
      </c>
      <c r="E1967" s="1">
        <v>15000000</v>
      </c>
    </row>
    <row r="1968" spans="1:5" ht="14.4" x14ac:dyDescent="0.3">
      <c r="A1968" s="20" t="s">
        <v>8438</v>
      </c>
      <c r="B1968" s="1" t="s">
        <v>3362</v>
      </c>
      <c r="C1968" s="1" t="s">
        <v>8439</v>
      </c>
      <c r="D1968" s="1" t="s">
        <v>8440</v>
      </c>
      <c r="E1968" s="1">
        <v>12800000</v>
      </c>
    </row>
    <row r="1969" spans="1:5" ht="14.4" x14ac:dyDescent="0.3">
      <c r="A1969" s="20" t="s">
        <v>8441</v>
      </c>
      <c r="B1969" s="1" t="s">
        <v>48</v>
      </c>
      <c r="C1969" s="1" t="s">
        <v>2892</v>
      </c>
      <c r="D1969" s="1" t="s">
        <v>8442</v>
      </c>
      <c r="E1969" s="1">
        <v>10700000</v>
      </c>
    </row>
    <row r="1970" spans="1:5" ht="14.4" x14ac:dyDescent="0.3">
      <c r="A1970" s="20" t="s">
        <v>8443</v>
      </c>
      <c r="B1970" s="1" t="s">
        <v>3077</v>
      </c>
      <c r="C1970" s="1" t="s">
        <v>3459</v>
      </c>
      <c r="D1970" s="1" t="s">
        <v>8444</v>
      </c>
      <c r="E1970" s="1">
        <v>27900000</v>
      </c>
    </row>
    <row r="1971" spans="1:5" ht="14.4" x14ac:dyDescent="0.3">
      <c r="A1971" s="20" t="s">
        <v>8445</v>
      </c>
      <c r="B1971" s="1" t="s">
        <v>157</v>
      </c>
      <c r="C1971" s="1" t="s">
        <v>164</v>
      </c>
      <c r="D1971" s="1" t="s">
        <v>6337</v>
      </c>
      <c r="E1971" s="1">
        <v>11400000</v>
      </c>
    </row>
    <row r="1972" spans="1:5" ht="14.4" x14ac:dyDescent="0.3">
      <c r="A1972" s="20" t="s">
        <v>8446</v>
      </c>
      <c r="B1972" s="1" t="s">
        <v>229</v>
      </c>
      <c r="C1972" s="1" t="s">
        <v>8447</v>
      </c>
      <c r="D1972" s="1" t="s">
        <v>8448</v>
      </c>
      <c r="E1972" s="1">
        <v>23900000</v>
      </c>
    </row>
    <row r="1973" spans="1:5" ht="14.4" x14ac:dyDescent="0.3">
      <c r="A1973" s="20" t="s">
        <v>8449</v>
      </c>
      <c r="B1973" s="1" t="s">
        <v>167</v>
      </c>
      <c r="C1973" s="1" t="s">
        <v>2891</v>
      </c>
      <c r="D1973" s="1" t="s">
        <v>8450</v>
      </c>
      <c r="E1973" s="1">
        <v>11000000</v>
      </c>
    </row>
    <row r="1974" spans="1:5" ht="14.4" x14ac:dyDescent="0.3">
      <c r="A1974" s="20" t="s">
        <v>8451</v>
      </c>
      <c r="B1974" s="1" t="s">
        <v>72</v>
      </c>
      <c r="C1974" s="1" t="s">
        <v>3661</v>
      </c>
      <c r="D1974" s="1" t="s">
        <v>8452</v>
      </c>
      <c r="E1974" s="1">
        <v>13800000</v>
      </c>
    </row>
    <row r="1975" spans="1:5" ht="14.4" x14ac:dyDescent="0.3">
      <c r="A1975" s="20" t="s">
        <v>8453</v>
      </c>
      <c r="B1975" s="1" t="s">
        <v>167</v>
      </c>
      <c r="C1975" s="1" t="s">
        <v>3484</v>
      </c>
      <c r="D1975" s="1" t="s">
        <v>8454</v>
      </c>
      <c r="E1975" s="1">
        <v>8700000</v>
      </c>
    </row>
    <row r="1976" spans="1:5" ht="14.4" x14ac:dyDescent="0.3">
      <c r="A1976" s="20" t="s">
        <v>8455</v>
      </c>
      <c r="B1976" s="1" t="s">
        <v>2910</v>
      </c>
      <c r="C1976" s="1" t="s">
        <v>2911</v>
      </c>
      <c r="D1976" s="1" t="s">
        <v>8456</v>
      </c>
      <c r="E1976" s="1">
        <v>9400000</v>
      </c>
    </row>
    <row r="1977" spans="1:5" ht="14.4" x14ac:dyDescent="0.3">
      <c r="A1977" s="20" t="s">
        <v>8457</v>
      </c>
      <c r="B1977" s="1" t="s">
        <v>327</v>
      </c>
      <c r="C1977" s="1" t="s">
        <v>3320</v>
      </c>
      <c r="D1977" s="1" t="s">
        <v>8458</v>
      </c>
      <c r="E1977" s="1">
        <v>11900000</v>
      </c>
    </row>
    <row r="1978" spans="1:5" ht="14.4" x14ac:dyDescent="0.3">
      <c r="A1978" s="20" t="s">
        <v>8459</v>
      </c>
      <c r="B1978" s="1" t="s">
        <v>317</v>
      </c>
      <c r="C1978" s="1" t="s">
        <v>5333</v>
      </c>
      <c r="D1978" s="1" t="s">
        <v>8460</v>
      </c>
      <c r="E1978" s="1">
        <v>11400000</v>
      </c>
    </row>
    <row r="1979" spans="1:5" ht="14.4" x14ac:dyDescent="0.3">
      <c r="A1979" s="20" t="s">
        <v>8461</v>
      </c>
      <c r="B1979" s="1" t="s">
        <v>167</v>
      </c>
      <c r="C1979" s="1" t="s">
        <v>3119</v>
      </c>
      <c r="D1979" s="1" t="s">
        <v>8462</v>
      </c>
      <c r="E1979" s="1">
        <v>6820000</v>
      </c>
    </row>
    <row r="1980" spans="1:5" ht="14.4" x14ac:dyDescent="0.3">
      <c r="A1980" s="20" t="s">
        <v>8463</v>
      </c>
      <c r="B1980" s="1" t="s">
        <v>93</v>
      </c>
      <c r="C1980" s="1" t="s">
        <v>143</v>
      </c>
      <c r="D1980" s="1" t="s">
        <v>8464</v>
      </c>
      <c r="E1980" s="1">
        <v>11900000</v>
      </c>
    </row>
    <row r="1981" spans="1:5" ht="14.4" x14ac:dyDescent="0.3">
      <c r="A1981" s="20" t="s">
        <v>8465</v>
      </c>
      <c r="B1981" s="1" t="s">
        <v>93</v>
      </c>
      <c r="C1981" s="1" t="s">
        <v>3542</v>
      </c>
      <c r="D1981" s="1" t="s">
        <v>3543</v>
      </c>
      <c r="E1981" s="1">
        <v>16400000</v>
      </c>
    </row>
    <row r="1982" spans="1:5" ht="14.4" x14ac:dyDescent="0.3">
      <c r="A1982" s="20" t="s">
        <v>8466</v>
      </c>
      <c r="B1982" s="1" t="s">
        <v>93</v>
      </c>
      <c r="C1982" s="1" t="s">
        <v>3388</v>
      </c>
      <c r="D1982" s="1" t="s">
        <v>8467</v>
      </c>
      <c r="E1982" s="1">
        <v>12700000</v>
      </c>
    </row>
    <row r="1983" spans="1:5" ht="14.4" x14ac:dyDescent="0.3">
      <c r="A1983" s="20" t="s">
        <v>8468</v>
      </c>
      <c r="B1983" s="1" t="s">
        <v>229</v>
      </c>
      <c r="C1983" s="1" t="s">
        <v>3588</v>
      </c>
      <c r="D1983" s="1" t="s">
        <v>8469</v>
      </c>
      <c r="E1983" s="1">
        <v>15300000</v>
      </c>
    </row>
    <row r="1984" spans="1:5" ht="14.4" x14ac:dyDescent="0.3">
      <c r="A1984" s="20" t="s">
        <v>8470</v>
      </c>
      <c r="B1984" s="1" t="s">
        <v>64</v>
      </c>
      <c r="C1984" s="1" t="s">
        <v>2932</v>
      </c>
      <c r="D1984" s="1" t="s">
        <v>8471</v>
      </c>
      <c r="E1984" s="1">
        <v>15500000</v>
      </c>
    </row>
    <row r="1985" spans="1:5" ht="14.4" x14ac:dyDescent="0.3">
      <c r="A1985" s="20" t="s">
        <v>8472</v>
      </c>
      <c r="B1985" s="1" t="s">
        <v>93</v>
      </c>
      <c r="C1985" s="1" t="s">
        <v>2888</v>
      </c>
      <c r="D1985" s="1" t="s">
        <v>8473</v>
      </c>
      <c r="E1985" s="1">
        <v>34700000</v>
      </c>
    </row>
    <row r="1986" spans="1:5" ht="14.4" x14ac:dyDescent="0.3">
      <c r="A1986" s="20" t="s">
        <v>8474</v>
      </c>
      <c r="B1986" s="1" t="s">
        <v>242</v>
      </c>
      <c r="C1986" s="1" t="s">
        <v>254</v>
      </c>
      <c r="D1986" s="1" t="s">
        <v>8475</v>
      </c>
      <c r="E1986" s="1">
        <v>8900000</v>
      </c>
    </row>
    <row r="1987" spans="1:5" ht="14.4" x14ac:dyDescent="0.3">
      <c r="A1987" s="20" t="s">
        <v>8476</v>
      </c>
      <c r="B1987" s="1" t="s">
        <v>2933</v>
      </c>
      <c r="C1987" s="1" t="s">
        <v>2934</v>
      </c>
      <c r="D1987" s="1" t="s">
        <v>8477</v>
      </c>
      <c r="E1987" s="1">
        <v>16900000</v>
      </c>
    </row>
    <row r="1988" spans="1:5" ht="14.4" x14ac:dyDescent="0.3">
      <c r="A1988" s="20" t="s">
        <v>8478</v>
      </c>
      <c r="B1988" s="1" t="s">
        <v>339</v>
      </c>
      <c r="C1988" s="1" t="s">
        <v>8479</v>
      </c>
      <c r="D1988" s="1" t="s">
        <v>8480</v>
      </c>
      <c r="E1988" s="1">
        <v>15600000</v>
      </c>
    </row>
    <row r="1989" spans="1:5" ht="14.4" x14ac:dyDescent="0.3">
      <c r="A1989" s="20" t="s">
        <v>8481</v>
      </c>
      <c r="B1989" s="1" t="s">
        <v>30</v>
      </c>
      <c r="C1989" s="1" t="s">
        <v>45</v>
      </c>
      <c r="D1989" s="1" t="s">
        <v>8482</v>
      </c>
      <c r="E1989" s="1">
        <v>10600000</v>
      </c>
    </row>
    <row r="1990" spans="1:5" ht="14.4" x14ac:dyDescent="0.3">
      <c r="A1990" s="20" t="s">
        <v>8483</v>
      </c>
      <c r="B1990" s="1" t="s">
        <v>2961</v>
      </c>
      <c r="C1990" s="1" t="s">
        <v>3067</v>
      </c>
      <c r="D1990" s="1" t="s">
        <v>394</v>
      </c>
      <c r="E1990" s="1">
        <v>12600000</v>
      </c>
    </row>
    <row r="1991" spans="1:5" ht="14.4" x14ac:dyDescent="0.3">
      <c r="A1991" s="20" t="s">
        <v>8484</v>
      </c>
      <c r="B1991" s="1" t="s">
        <v>260</v>
      </c>
      <c r="C1991" s="1" t="s">
        <v>69</v>
      </c>
      <c r="D1991" s="1" t="s">
        <v>8485</v>
      </c>
      <c r="E1991" s="1">
        <v>13900000</v>
      </c>
    </row>
    <row r="1992" spans="1:5" ht="14.4" x14ac:dyDescent="0.3">
      <c r="A1992" s="20" t="s">
        <v>8486</v>
      </c>
      <c r="B1992" s="1" t="s">
        <v>334</v>
      </c>
      <c r="C1992" s="1" t="s">
        <v>3274</v>
      </c>
      <c r="D1992" s="1" t="s">
        <v>8487</v>
      </c>
      <c r="E1992" s="1">
        <v>18000000</v>
      </c>
    </row>
    <row r="1993" spans="1:5" ht="14.4" x14ac:dyDescent="0.3">
      <c r="A1993" s="20" t="s">
        <v>8488</v>
      </c>
      <c r="B1993" s="1" t="s">
        <v>334</v>
      </c>
      <c r="C1993" s="1" t="s">
        <v>3274</v>
      </c>
      <c r="D1993" s="1" t="s">
        <v>8489</v>
      </c>
      <c r="E1993" s="1">
        <v>18700000</v>
      </c>
    </row>
    <row r="1994" spans="1:5" ht="14.4" x14ac:dyDescent="0.3">
      <c r="A1994" s="20" t="s">
        <v>8490</v>
      </c>
      <c r="B1994" s="1" t="s">
        <v>167</v>
      </c>
      <c r="C1994" s="1" t="s">
        <v>3201</v>
      </c>
      <c r="D1994" s="1" t="s">
        <v>8491</v>
      </c>
      <c r="E1994" s="1">
        <v>9400000</v>
      </c>
    </row>
    <row r="1995" spans="1:5" ht="14.4" x14ac:dyDescent="0.3">
      <c r="A1995" s="20" t="s">
        <v>8492</v>
      </c>
      <c r="B1995" s="1" t="s">
        <v>2910</v>
      </c>
      <c r="C1995" s="1" t="s">
        <v>2935</v>
      </c>
      <c r="D1995" s="1" t="s">
        <v>8493</v>
      </c>
      <c r="E1995" s="1">
        <v>9800000</v>
      </c>
    </row>
    <row r="1996" spans="1:5" ht="14.4" x14ac:dyDescent="0.3">
      <c r="A1996" s="20" t="s">
        <v>8494</v>
      </c>
      <c r="B1996" s="1" t="s">
        <v>93</v>
      </c>
      <c r="C1996" s="1" t="s">
        <v>2888</v>
      </c>
      <c r="D1996" s="1" t="s">
        <v>8495</v>
      </c>
      <c r="E1996" s="1">
        <v>44600000</v>
      </c>
    </row>
    <row r="1997" spans="1:5" ht="14.4" x14ac:dyDescent="0.3">
      <c r="A1997" s="20" t="s">
        <v>8496</v>
      </c>
      <c r="B1997" s="1" t="s">
        <v>2910</v>
      </c>
      <c r="C1997" s="1" t="s">
        <v>2911</v>
      </c>
      <c r="D1997" s="1" t="s">
        <v>6672</v>
      </c>
      <c r="E1997" s="1">
        <v>9800000</v>
      </c>
    </row>
    <row r="1998" spans="1:5" ht="14.4" x14ac:dyDescent="0.3">
      <c r="A1998" s="20" t="s">
        <v>8497</v>
      </c>
      <c r="B1998" s="1" t="s">
        <v>2910</v>
      </c>
      <c r="C1998" s="1" t="s">
        <v>3548</v>
      </c>
      <c r="D1998" s="1" t="s">
        <v>8498</v>
      </c>
      <c r="E1998" s="1">
        <v>17900000</v>
      </c>
    </row>
    <row r="1999" spans="1:5" ht="14.4" x14ac:dyDescent="0.3">
      <c r="A1999" s="20" t="s">
        <v>8499</v>
      </c>
      <c r="B1999" s="1" t="s">
        <v>93</v>
      </c>
      <c r="C1999" s="1" t="s">
        <v>131</v>
      </c>
      <c r="D1999" s="1" t="s">
        <v>8500</v>
      </c>
      <c r="E1999" s="1">
        <v>15700000</v>
      </c>
    </row>
    <row r="2000" spans="1:5" ht="14.4" x14ac:dyDescent="0.3">
      <c r="A2000" s="20" t="s">
        <v>8501</v>
      </c>
      <c r="B2000" s="1" t="s">
        <v>3630</v>
      </c>
      <c r="C2000" s="1" t="s">
        <v>3631</v>
      </c>
      <c r="D2000" s="1" t="s">
        <v>8502</v>
      </c>
      <c r="E2000" s="1">
        <v>10600000</v>
      </c>
    </row>
    <row r="2001" spans="1:5" ht="14.4" x14ac:dyDescent="0.3">
      <c r="A2001" s="20" t="s">
        <v>8503</v>
      </c>
      <c r="B2001" s="1" t="s">
        <v>2906</v>
      </c>
      <c r="C2001" s="1" t="s">
        <v>3399</v>
      </c>
      <c r="D2001" s="1" t="s">
        <v>8504</v>
      </c>
      <c r="E2001" s="1">
        <v>8600000</v>
      </c>
    </row>
    <row r="2002" spans="1:5" ht="14.4" x14ac:dyDescent="0.3">
      <c r="A2002" s="20" t="s">
        <v>8505</v>
      </c>
      <c r="B2002" s="1" t="s">
        <v>2938</v>
      </c>
      <c r="C2002" s="1" t="s">
        <v>4237</v>
      </c>
      <c r="D2002" s="1" t="s">
        <v>8506</v>
      </c>
      <c r="E2002" s="1">
        <v>5460000</v>
      </c>
    </row>
    <row r="2003" spans="1:5" ht="14.4" x14ac:dyDescent="0.3">
      <c r="A2003" s="20" t="s">
        <v>8507</v>
      </c>
      <c r="B2003" s="1" t="s">
        <v>339</v>
      </c>
      <c r="C2003" s="1" t="s">
        <v>340</v>
      </c>
      <c r="D2003" s="1" t="s">
        <v>342</v>
      </c>
      <c r="E2003" s="1">
        <v>28200000</v>
      </c>
    </row>
    <row r="2004" spans="1:5" ht="14.4" x14ac:dyDescent="0.3">
      <c r="A2004" s="20" t="s">
        <v>8508</v>
      </c>
      <c r="B2004" s="1" t="s">
        <v>264</v>
      </c>
      <c r="C2004" s="1">
        <v>3008</v>
      </c>
      <c r="D2004" s="1" t="s">
        <v>277</v>
      </c>
      <c r="E2004" s="1">
        <v>14700000</v>
      </c>
    </row>
    <row r="2005" spans="1:5" ht="14.4" x14ac:dyDescent="0.3">
      <c r="A2005" s="20" t="s">
        <v>8509</v>
      </c>
      <c r="B2005" s="1" t="s">
        <v>195</v>
      </c>
      <c r="C2005" s="1" t="s">
        <v>3831</v>
      </c>
      <c r="D2005" s="1" t="s">
        <v>3832</v>
      </c>
      <c r="E2005" s="1">
        <v>9600000</v>
      </c>
    </row>
    <row r="2006" spans="1:5" ht="14.4" x14ac:dyDescent="0.3">
      <c r="A2006" s="20" t="s">
        <v>8510</v>
      </c>
      <c r="B2006" s="1" t="s">
        <v>2905</v>
      </c>
      <c r="C2006" s="1" t="s">
        <v>8511</v>
      </c>
      <c r="D2006" s="1" t="s">
        <v>2889</v>
      </c>
      <c r="E2006" s="1">
        <v>15500000</v>
      </c>
    </row>
    <row r="2007" spans="1:5" ht="14.4" x14ac:dyDescent="0.3">
      <c r="A2007" s="20" t="s">
        <v>8512</v>
      </c>
      <c r="B2007" s="1" t="s">
        <v>236</v>
      </c>
      <c r="C2007" s="1" t="s">
        <v>2979</v>
      </c>
      <c r="D2007" s="1" t="s">
        <v>8513</v>
      </c>
      <c r="E2007" s="1">
        <v>13500000</v>
      </c>
    </row>
    <row r="2008" spans="1:5" ht="14.4" x14ac:dyDescent="0.3">
      <c r="A2008" s="20" t="s">
        <v>8514</v>
      </c>
      <c r="B2008" s="1" t="s">
        <v>236</v>
      </c>
      <c r="C2008" s="1" t="s">
        <v>8515</v>
      </c>
      <c r="D2008" s="1" t="s">
        <v>6665</v>
      </c>
      <c r="E2008" s="1">
        <v>12700000</v>
      </c>
    </row>
    <row r="2009" spans="1:5" ht="14.4" x14ac:dyDescent="0.3">
      <c r="A2009" s="20" t="s">
        <v>8516</v>
      </c>
      <c r="B2009" s="1" t="s">
        <v>2957</v>
      </c>
      <c r="C2009" s="1" t="s">
        <v>3268</v>
      </c>
      <c r="D2009" s="1" t="s">
        <v>6395</v>
      </c>
      <c r="E2009" s="1">
        <v>20900000</v>
      </c>
    </row>
    <row r="2010" spans="1:5" ht="14.4" x14ac:dyDescent="0.3">
      <c r="A2010" s="20" t="s">
        <v>8517</v>
      </c>
      <c r="B2010" s="1" t="s">
        <v>2957</v>
      </c>
      <c r="C2010" s="1" t="s">
        <v>3268</v>
      </c>
      <c r="D2010" s="1" t="s">
        <v>6395</v>
      </c>
      <c r="E2010" s="1">
        <v>25300000</v>
      </c>
    </row>
    <row r="2011" spans="1:5" ht="14.4" x14ac:dyDescent="0.3">
      <c r="A2011" s="20" t="s">
        <v>8518</v>
      </c>
      <c r="B2011" s="1" t="s">
        <v>242</v>
      </c>
      <c r="C2011" s="1" t="s">
        <v>2989</v>
      </c>
      <c r="D2011" s="1" t="s">
        <v>8519</v>
      </c>
      <c r="E2011" s="1">
        <v>11300000</v>
      </c>
    </row>
    <row r="2012" spans="1:5" ht="14.4" x14ac:dyDescent="0.3">
      <c r="A2012" s="20" t="s">
        <v>8520</v>
      </c>
      <c r="B2012" s="1" t="s">
        <v>2945</v>
      </c>
      <c r="C2012" s="1" t="s">
        <v>2994</v>
      </c>
      <c r="D2012" s="1" t="s">
        <v>8521</v>
      </c>
      <c r="E2012" s="1">
        <v>7030000</v>
      </c>
    </row>
    <row r="2013" spans="1:5" ht="14.4" x14ac:dyDescent="0.3">
      <c r="A2013" s="20" t="s">
        <v>8522</v>
      </c>
      <c r="B2013" s="1" t="s">
        <v>30</v>
      </c>
      <c r="C2013" s="1" t="s">
        <v>2908</v>
      </c>
      <c r="D2013" s="1" t="s">
        <v>8523</v>
      </c>
      <c r="E2013" s="1">
        <v>7310000</v>
      </c>
    </row>
    <row r="2014" spans="1:5" ht="14.4" x14ac:dyDescent="0.3">
      <c r="A2014" s="20" t="s">
        <v>8524</v>
      </c>
      <c r="B2014" s="1" t="s">
        <v>2910</v>
      </c>
      <c r="C2014" s="1" t="s">
        <v>212</v>
      </c>
      <c r="D2014" s="1" t="s">
        <v>8525</v>
      </c>
      <c r="E2014" s="1">
        <v>12700000</v>
      </c>
    </row>
    <row r="2015" spans="1:5" ht="14.4" x14ac:dyDescent="0.3">
      <c r="A2015" s="20" t="s">
        <v>8526</v>
      </c>
      <c r="B2015" s="1" t="s">
        <v>93</v>
      </c>
      <c r="C2015" s="1" t="s">
        <v>2919</v>
      </c>
      <c r="D2015" s="1" t="s">
        <v>2889</v>
      </c>
      <c r="E2015" s="1">
        <v>23600000</v>
      </c>
    </row>
    <row r="2016" spans="1:5" ht="14.4" x14ac:dyDescent="0.3">
      <c r="A2016" s="20" t="s">
        <v>8527</v>
      </c>
      <c r="B2016" s="1" t="s">
        <v>93</v>
      </c>
      <c r="C2016" s="1" t="s">
        <v>3271</v>
      </c>
      <c r="D2016" s="1" t="s">
        <v>8528</v>
      </c>
      <c r="E2016" s="1">
        <v>22100000</v>
      </c>
    </row>
    <row r="2017" spans="1:5" ht="14.4" x14ac:dyDescent="0.3">
      <c r="A2017" s="20" t="s">
        <v>8529</v>
      </c>
      <c r="B2017" s="1" t="s">
        <v>93</v>
      </c>
      <c r="C2017" s="1" t="s">
        <v>2919</v>
      </c>
      <c r="D2017" s="1" t="s">
        <v>2889</v>
      </c>
      <c r="E2017" s="1">
        <v>23600000</v>
      </c>
    </row>
    <row r="2018" spans="1:5" ht="14.4" x14ac:dyDescent="0.3">
      <c r="A2018" s="20" t="s">
        <v>8530</v>
      </c>
      <c r="B2018" s="1" t="s">
        <v>93</v>
      </c>
      <c r="C2018" s="1" t="s">
        <v>2919</v>
      </c>
      <c r="D2018" s="1" t="s">
        <v>2889</v>
      </c>
      <c r="E2018" s="1">
        <v>23600000</v>
      </c>
    </row>
    <row r="2019" spans="1:5" ht="14.4" x14ac:dyDescent="0.3">
      <c r="A2019" s="20" t="s">
        <v>8531</v>
      </c>
      <c r="B2019" s="1" t="s">
        <v>242</v>
      </c>
      <c r="C2019" s="1" t="s">
        <v>3174</v>
      </c>
      <c r="D2019" s="1" t="s">
        <v>8532</v>
      </c>
      <c r="E2019" s="1">
        <v>13200000</v>
      </c>
    </row>
    <row r="2020" spans="1:5" ht="14.4" x14ac:dyDescent="0.3">
      <c r="A2020" s="20" t="s">
        <v>8533</v>
      </c>
      <c r="B2020" s="1" t="s">
        <v>93</v>
      </c>
      <c r="C2020" s="1" t="s">
        <v>2919</v>
      </c>
      <c r="D2020" s="1" t="s">
        <v>2889</v>
      </c>
      <c r="E2020" s="1">
        <v>23600000</v>
      </c>
    </row>
    <row r="2021" spans="1:5" ht="14.4" x14ac:dyDescent="0.3">
      <c r="A2021" s="20" t="s">
        <v>8534</v>
      </c>
      <c r="B2021" s="1" t="s">
        <v>93</v>
      </c>
      <c r="C2021" s="1" t="s">
        <v>2919</v>
      </c>
      <c r="D2021" s="1" t="s">
        <v>2889</v>
      </c>
      <c r="E2021" s="1">
        <v>23600000</v>
      </c>
    </row>
    <row r="2022" spans="1:5" ht="14.4" x14ac:dyDescent="0.3">
      <c r="A2022" s="20" t="s">
        <v>8535</v>
      </c>
      <c r="B2022" s="1" t="s">
        <v>93</v>
      </c>
      <c r="C2022" s="1" t="s">
        <v>2919</v>
      </c>
      <c r="D2022" s="1" t="s">
        <v>2889</v>
      </c>
      <c r="E2022" s="1">
        <v>23600000</v>
      </c>
    </row>
    <row r="2023" spans="1:5" ht="14.4" x14ac:dyDescent="0.3">
      <c r="A2023" s="20" t="s">
        <v>8536</v>
      </c>
      <c r="B2023" s="1" t="s">
        <v>93</v>
      </c>
      <c r="C2023" s="1" t="s">
        <v>2919</v>
      </c>
      <c r="D2023" s="1" t="s">
        <v>2889</v>
      </c>
      <c r="E2023" s="1">
        <v>24900000</v>
      </c>
    </row>
    <row r="2024" spans="1:5" ht="14.4" x14ac:dyDescent="0.3">
      <c r="A2024" s="20" t="s">
        <v>8537</v>
      </c>
      <c r="B2024" s="1" t="s">
        <v>93</v>
      </c>
      <c r="C2024" s="1" t="s">
        <v>2919</v>
      </c>
      <c r="D2024" s="1" t="s">
        <v>2889</v>
      </c>
      <c r="E2024" s="1">
        <v>23600000</v>
      </c>
    </row>
    <row r="2025" spans="1:5" ht="14.4" x14ac:dyDescent="0.3">
      <c r="A2025" s="20" t="s">
        <v>8538</v>
      </c>
      <c r="B2025" s="1" t="s">
        <v>93</v>
      </c>
      <c r="C2025" s="1" t="s">
        <v>2919</v>
      </c>
      <c r="D2025" s="1" t="s">
        <v>2889</v>
      </c>
      <c r="E2025" s="1">
        <v>23600000</v>
      </c>
    </row>
    <row r="2026" spans="1:5" ht="14.4" x14ac:dyDescent="0.3">
      <c r="A2026" s="20" t="s">
        <v>8539</v>
      </c>
      <c r="B2026" s="1" t="s">
        <v>264</v>
      </c>
      <c r="C2026" s="1">
        <v>3008</v>
      </c>
      <c r="D2026" s="1" t="s">
        <v>2889</v>
      </c>
      <c r="E2026" s="1">
        <v>17200000</v>
      </c>
    </row>
    <row r="2027" spans="1:5" ht="14.4" x14ac:dyDescent="0.3">
      <c r="A2027" s="20" t="s">
        <v>8540</v>
      </c>
      <c r="B2027" s="1" t="s">
        <v>93</v>
      </c>
      <c r="C2027" s="1" t="s">
        <v>2919</v>
      </c>
      <c r="D2027" s="1" t="s">
        <v>2889</v>
      </c>
      <c r="E2027" s="1">
        <v>23600000</v>
      </c>
    </row>
    <row r="2028" spans="1:5" ht="14.4" x14ac:dyDescent="0.3">
      <c r="A2028" s="20" t="s">
        <v>8541</v>
      </c>
      <c r="B2028" s="1" t="s">
        <v>264</v>
      </c>
      <c r="C2028" s="1" t="s">
        <v>293</v>
      </c>
      <c r="D2028" s="1" t="s">
        <v>2889</v>
      </c>
      <c r="E2028" s="1">
        <v>20700000</v>
      </c>
    </row>
    <row r="2029" spans="1:5" ht="14.4" x14ac:dyDescent="0.3">
      <c r="A2029" s="20" t="s">
        <v>8542</v>
      </c>
      <c r="B2029" s="1" t="s">
        <v>264</v>
      </c>
      <c r="C2029" s="1">
        <v>2008</v>
      </c>
      <c r="D2029" s="1" t="s">
        <v>2889</v>
      </c>
      <c r="E2029" s="1">
        <v>12800000</v>
      </c>
    </row>
    <row r="2030" spans="1:5" ht="14.4" x14ac:dyDescent="0.3">
      <c r="A2030" s="20" t="s">
        <v>8543</v>
      </c>
      <c r="B2030" s="1" t="s">
        <v>188</v>
      </c>
      <c r="C2030" s="1">
        <v>7</v>
      </c>
      <c r="D2030" s="1" t="s">
        <v>2889</v>
      </c>
      <c r="E2030" s="1">
        <v>21400000</v>
      </c>
    </row>
    <row r="2031" spans="1:5" ht="14.4" x14ac:dyDescent="0.3">
      <c r="A2031" s="20" t="s">
        <v>8544</v>
      </c>
      <c r="B2031" s="1" t="s">
        <v>93</v>
      </c>
      <c r="C2031" s="1" t="s">
        <v>113</v>
      </c>
      <c r="D2031" s="1" t="s">
        <v>2889</v>
      </c>
      <c r="E2031" s="1">
        <v>35000000</v>
      </c>
    </row>
    <row r="2032" spans="1:5" ht="14.4" x14ac:dyDescent="0.3">
      <c r="A2032" s="20" t="s">
        <v>8545</v>
      </c>
      <c r="B2032" s="1" t="s">
        <v>264</v>
      </c>
      <c r="C2032" s="1" t="s">
        <v>2913</v>
      </c>
      <c r="D2032" s="1" t="s">
        <v>2889</v>
      </c>
      <c r="E2032" s="1">
        <v>19800000</v>
      </c>
    </row>
    <row r="2033" spans="1:5" ht="14.4" x14ac:dyDescent="0.3">
      <c r="A2033" s="20" t="s">
        <v>8546</v>
      </c>
      <c r="B2033" s="1" t="s">
        <v>264</v>
      </c>
      <c r="C2033" s="1" t="s">
        <v>293</v>
      </c>
      <c r="D2033" s="1" t="s">
        <v>2889</v>
      </c>
      <c r="E2033" s="1">
        <v>24900000</v>
      </c>
    </row>
    <row r="2034" spans="1:5" ht="14.4" x14ac:dyDescent="0.3">
      <c r="A2034" s="20" t="s">
        <v>8547</v>
      </c>
      <c r="B2034" s="1" t="s">
        <v>242</v>
      </c>
      <c r="C2034" s="1" t="s">
        <v>2904</v>
      </c>
      <c r="D2034" s="1" t="s">
        <v>2889</v>
      </c>
      <c r="E2034" s="1">
        <v>26900000</v>
      </c>
    </row>
    <row r="2035" spans="1:5" ht="14.4" x14ac:dyDescent="0.3">
      <c r="A2035" s="20" t="s">
        <v>8548</v>
      </c>
      <c r="B2035" s="1" t="s">
        <v>264</v>
      </c>
      <c r="C2035" s="1" t="s">
        <v>2899</v>
      </c>
      <c r="D2035" s="1" t="s">
        <v>2889</v>
      </c>
      <c r="E2035" s="1">
        <v>13800000</v>
      </c>
    </row>
    <row r="2036" spans="1:5" ht="14.4" x14ac:dyDescent="0.3">
      <c r="A2036" s="20" t="s">
        <v>8549</v>
      </c>
      <c r="B2036" s="1" t="s">
        <v>19</v>
      </c>
      <c r="C2036" s="1" t="s">
        <v>3053</v>
      </c>
      <c r="D2036" s="1" t="s">
        <v>2889</v>
      </c>
      <c r="E2036" s="1">
        <v>18100000</v>
      </c>
    </row>
    <row r="2037" spans="1:5" ht="14.4" x14ac:dyDescent="0.3">
      <c r="A2037" s="20" t="s">
        <v>8550</v>
      </c>
      <c r="B2037" s="1" t="s">
        <v>48</v>
      </c>
      <c r="C2037" s="1" t="s">
        <v>52</v>
      </c>
      <c r="D2037" s="1" t="s">
        <v>2889</v>
      </c>
      <c r="E2037" s="1">
        <v>47600000</v>
      </c>
    </row>
    <row r="2038" spans="1:5" ht="14.4" x14ac:dyDescent="0.3">
      <c r="A2038" s="20" t="s">
        <v>8551</v>
      </c>
      <c r="B2038" s="1" t="s">
        <v>93</v>
      </c>
      <c r="C2038" s="1" t="s">
        <v>2919</v>
      </c>
      <c r="D2038" s="1" t="s">
        <v>2889</v>
      </c>
      <c r="E2038" s="1">
        <v>20100000</v>
      </c>
    </row>
    <row r="2039" spans="1:5" ht="14.4" x14ac:dyDescent="0.3">
      <c r="A2039" s="20" t="s">
        <v>8552</v>
      </c>
      <c r="B2039" s="1" t="s">
        <v>229</v>
      </c>
      <c r="C2039" s="1" t="s">
        <v>233</v>
      </c>
      <c r="D2039" s="1" t="s">
        <v>2889</v>
      </c>
      <c r="E2039" s="1">
        <v>33900000</v>
      </c>
    </row>
    <row r="2040" spans="1:5" ht="14.4" x14ac:dyDescent="0.3">
      <c r="A2040" s="20" t="s">
        <v>8553</v>
      </c>
      <c r="B2040" s="1" t="s">
        <v>188</v>
      </c>
      <c r="C2040" s="1">
        <v>7</v>
      </c>
      <c r="D2040" s="1" t="s">
        <v>2889</v>
      </c>
      <c r="E2040" s="1">
        <v>22600000</v>
      </c>
    </row>
    <row r="2041" spans="1:5" ht="14.4" x14ac:dyDescent="0.3">
      <c r="A2041" s="20" t="s">
        <v>8554</v>
      </c>
      <c r="B2041" s="1" t="s">
        <v>264</v>
      </c>
      <c r="C2041" s="1">
        <v>208</v>
      </c>
      <c r="D2041" s="1" t="s">
        <v>2889</v>
      </c>
      <c r="E2041" s="1">
        <v>10000000</v>
      </c>
    </row>
    <row r="2042" spans="1:5" ht="14.4" x14ac:dyDescent="0.3">
      <c r="A2042" s="20" t="s">
        <v>8555</v>
      </c>
      <c r="B2042" s="1" t="s">
        <v>2910</v>
      </c>
      <c r="C2042" s="1" t="s">
        <v>3245</v>
      </c>
      <c r="D2042" s="1" t="s">
        <v>2889</v>
      </c>
      <c r="E2042" s="1">
        <v>43100000</v>
      </c>
    </row>
    <row r="2043" spans="1:5" ht="14.4" x14ac:dyDescent="0.3">
      <c r="A2043" s="20" t="s">
        <v>8556</v>
      </c>
      <c r="B2043" s="1" t="s">
        <v>93</v>
      </c>
      <c r="C2043" s="1" t="s">
        <v>100</v>
      </c>
      <c r="D2043" s="1" t="s">
        <v>2889</v>
      </c>
      <c r="E2043" s="1">
        <v>24100000</v>
      </c>
    </row>
    <row r="2044" spans="1:5" ht="14.4" x14ac:dyDescent="0.3">
      <c r="A2044" s="20" t="s">
        <v>8557</v>
      </c>
      <c r="B2044" s="1" t="s">
        <v>242</v>
      </c>
      <c r="C2044" s="1" t="s">
        <v>246</v>
      </c>
      <c r="D2044" s="1" t="s">
        <v>2889</v>
      </c>
      <c r="E2044" s="1">
        <v>17500000</v>
      </c>
    </row>
    <row r="2045" spans="1:5" ht="14.4" x14ac:dyDescent="0.3">
      <c r="A2045" s="20" t="s">
        <v>8558</v>
      </c>
      <c r="B2045" s="1" t="s">
        <v>93</v>
      </c>
      <c r="C2045" s="1" t="s">
        <v>3238</v>
      </c>
      <c r="D2045" s="1" t="s">
        <v>2889</v>
      </c>
      <c r="E2045" s="1">
        <v>21000000</v>
      </c>
    </row>
    <row r="2046" spans="1:5" ht="14.4" x14ac:dyDescent="0.3">
      <c r="A2046" s="20" t="s">
        <v>8559</v>
      </c>
      <c r="B2046" s="1" t="s">
        <v>2910</v>
      </c>
      <c r="C2046" s="1" t="s">
        <v>218</v>
      </c>
      <c r="D2046" s="1" t="s">
        <v>2889</v>
      </c>
      <c r="E2046" s="1">
        <v>23700000</v>
      </c>
    </row>
    <row r="2047" spans="1:5" ht="14.4" x14ac:dyDescent="0.3">
      <c r="A2047" s="20" t="s">
        <v>8560</v>
      </c>
      <c r="B2047" s="1" t="s">
        <v>303</v>
      </c>
      <c r="C2047" s="1" t="s">
        <v>311</v>
      </c>
      <c r="D2047" s="1" t="s">
        <v>2889</v>
      </c>
      <c r="E2047" s="1">
        <v>25300000</v>
      </c>
    </row>
    <row r="2048" spans="1:5" ht="14.4" x14ac:dyDescent="0.3">
      <c r="A2048" s="20" t="s">
        <v>8561</v>
      </c>
      <c r="B2048" s="1" t="s">
        <v>303</v>
      </c>
      <c r="C2048" s="1">
        <v>1500</v>
      </c>
      <c r="D2048" s="1" t="s">
        <v>2889</v>
      </c>
      <c r="E2048" s="1">
        <v>39000000</v>
      </c>
    </row>
    <row r="2049" spans="1:5" ht="14.4" x14ac:dyDescent="0.3">
      <c r="A2049" s="20" t="s">
        <v>8562</v>
      </c>
      <c r="B2049" s="1" t="s">
        <v>303</v>
      </c>
      <c r="C2049" s="1">
        <v>1500</v>
      </c>
      <c r="D2049" s="1" t="s">
        <v>2889</v>
      </c>
      <c r="E2049" s="1">
        <v>49700000</v>
      </c>
    </row>
    <row r="2050" spans="1:5" ht="14.4" x14ac:dyDescent="0.3">
      <c r="A2050" s="20" t="s">
        <v>8563</v>
      </c>
      <c r="B2050" s="1" t="s">
        <v>334</v>
      </c>
      <c r="C2050" s="1" t="s">
        <v>2903</v>
      </c>
      <c r="D2050" s="1" t="s">
        <v>2889</v>
      </c>
      <c r="E2050" s="1">
        <v>20700000</v>
      </c>
    </row>
    <row r="2051" spans="1:5" ht="14.4" x14ac:dyDescent="0.3">
      <c r="A2051" s="20" t="s">
        <v>8564</v>
      </c>
      <c r="B2051" s="1" t="s">
        <v>242</v>
      </c>
      <c r="C2051" s="1" t="s">
        <v>3174</v>
      </c>
      <c r="D2051" s="1" t="s">
        <v>2889</v>
      </c>
      <c r="E2051" s="1">
        <v>14000000</v>
      </c>
    </row>
    <row r="2052" spans="1:5" ht="14.4" x14ac:dyDescent="0.3">
      <c r="A2052" s="20" t="s">
        <v>8565</v>
      </c>
      <c r="B2052" s="1" t="s">
        <v>334</v>
      </c>
      <c r="C2052" s="1" t="s">
        <v>5438</v>
      </c>
      <c r="D2052" s="1" t="s">
        <v>2889</v>
      </c>
      <c r="E2052" s="1">
        <v>29900000</v>
      </c>
    </row>
    <row r="2053" spans="1:5" ht="14.4" x14ac:dyDescent="0.3">
      <c r="A2053" s="20" t="s">
        <v>8566</v>
      </c>
      <c r="B2053" s="1" t="s">
        <v>93</v>
      </c>
      <c r="C2053" s="1" t="s">
        <v>113</v>
      </c>
      <c r="D2053" s="1" t="s">
        <v>2889</v>
      </c>
      <c r="E2053" s="1">
        <v>33900000</v>
      </c>
    </row>
    <row r="2054" spans="1:5" ht="14.4" x14ac:dyDescent="0.3">
      <c r="A2054" s="20" t="s">
        <v>8567</v>
      </c>
      <c r="B2054" s="1" t="s">
        <v>93</v>
      </c>
      <c r="C2054" s="1" t="s">
        <v>2919</v>
      </c>
      <c r="D2054" s="1" t="s">
        <v>2889</v>
      </c>
      <c r="E2054" s="1">
        <v>24700000</v>
      </c>
    </row>
    <row r="2055" spans="1:5" ht="14.4" x14ac:dyDescent="0.3">
      <c r="A2055" s="20" t="s">
        <v>8568</v>
      </c>
      <c r="B2055" s="1" t="s">
        <v>93</v>
      </c>
      <c r="C2055" s="1" t="s">
        <v>2919</v>
      </c>
      <c r="D2055" s="1" t="s">
        <v>2889</v>
      </c>
      <c r="E2055" s="1">
        <v>28400000</v>
      </c>
    </row>
    <row r="2056" spans="1:5" ht="14.4" x14ac:dyDescent="0.3">
      <c r="A2056" s="20" t="s">
        <v>8569</v>
      </c>
      <c r="B2056" s="1" t="s">
        <v>93</v>
      </c>
      <c r="C2056" s="1" t="s">
        <v>143</v>
      </c>
      <c r="D2056" s="1" t="s">
        <v>2889</v>
      </c>
      <c r="E2056" s="1">
        <v>12400000</v>
      </c>
    </row>
    <row r="2057" spans="1:5" ht="14.4" x14ac:dyDescent="0.3">
      <c r="A2057" s="20" t="s">
        <v>8570</v>
      </c>
      <c r="B2057" s="1" t="s">
        <v>93</v>
      </c>
      <c r="C2057" s="1" t="s">
        <v>143</v>
      </c>
      <c r="D2057" s="1" t="s">
        <v>2889</v>
      </c>
      <c r="E2057" s="1">
        <v>12400000</v>
      </c>
    </row>
    <row r="2058" spans="1:5" ht="14.4" x14ac:dyDescent="0.3">
      <c r="A2058" s="20" t="s">
        <v>8571</v>
      </c>
      <c r="B2058" s="1" t="s">
        <v>93</v>
      </c>
      <c r="C2058" s="1" t="s">
        <v>3205</v>
      </c>
      <c r="D2058" s="1" t="s">
        <v>2889</v>
      </c>
      <c r="E2058" s="1">
        <v>17700000</v>
      </c>
    </row>
    <row r="2059" spans="1:5" ht="14.4" x14ac:dyDescent="0.3">
      <c r="A2059" s="20" t="s">
        <v>8572</v>
      </c>
      <c r="B2059" s="1" t="s">
        <v>3362</v>
      </c>
      <c r="C2059" s="1" t="s">
        <v>3378</v>
      </c>
      <c r="D2059" s="1" t="s">
        <v>2889</v>
      </c>
      <c r="E2059" s="1">
        <v>9900000</v>
      </c>
    </row>
    <row r="2060" spans="1:5" ht="14.4" x14ac:dyDescent="0.3">
      <c r="A2060" s="20" t="s">
        <v>8573</v>
      </c>
      <c r="B2060" s="1" t="s">
        <v>151</v>
      </c>
      <c r="C2060" s="1" t="s">
        <v>154</v>
      </c>
      <c r="D2060" s="1" t="s">
        <v>2889</v>
      </c>
      <c r="E2060" s="1">
        <v>16800000</v>
      </c>
    </row>
    <row r="2061" spans="1:5" ht="14.4" x14ac:dyDescent="0.3">
      <c r="A2061" s="20" t="s">
        <v>8574</v>
      </c>
      <c r="B2061" s="1" t="s">
        <v>157</v>
      </c>
      <c r="C2061" s="1" t="s">
        <v>161</v>
      </c>
      <c r="D2061" s="1" t="s">
        <v>2889</v>
      </c>
      <c r="E2061" s="1">
        <v>15200000</v>
      </c>
    </row>
    <row r="2062" spans="1:5" ht="14.4" x14ac:dyDescent="0.3">
      <c r="A2062" s="20" t="s">
        <v>8575</v>
      </c>
      <c r="B2062" s="1" t="s">
        <v>157</v>
      </c>
      <c r="C2062" s="1" t="s">
        <v>164</v>
      </c>
      <c r="D2062" s="1" t="s">
        <v>2889</v>
      </c>
      <c r="E2062" s="1">
        <v>11000000</v>
      </c>
    </row>
    <row r="2063" spans="1:5" ht="14.4" x14ac:dyDescent="0.3">
      <c r="A2063" s="20" t="s">
        <v>8576</v>
      </c>
      <c r="B2063" s="1" t="s">
        <v>181</v>
      </c>
      <c r="C2063" s="1" t="s">
        <v>185</v>
      </c>
      <c r="D2063" s="1" t="s">
        <v>2889</v>
      </c>
      <c r="E2063" s="1">
        <v>12500000</v>
      </c>
    </row>
    <row r="2064" spans="1:5" ht="14.4" x14ac:dyDescent="0.3">
      <c r="A2064" s="20" t="s">
        <v>8577</v>
      </c>
      <c r="B2064" s="1" t="s">
        <v>188</v>
      </c>
      <c r="C2064" s="1">
        <v>7</v>
      </c>
      <c r="D2064" s="1" t="s">
        <v>2889</v>
      </c>
      <c r="E2064" s="1">
        <v>14500000</v>
      </c>
    </row>
    <row r="2065" spans="1:5" ht="14.4" x14ac:dyDescent="0.3">
      <c r="A2065" s="20" t="s">
        <v>8578</v>
      </c>
      <c r="B2065" s="1" t="s">
        <v>195</v>
      </c>
      <c r="C2065" s="1" t="s">
        <v>196</v>
      </c>
      <c r="D2065" s="1" t="s">
        <v>2889</v>
      </c>
      <c r="E2065" s="1">
        <v>23400000</v>
      </c>
    </row>
    <row r="2066" spans="1:5" ht="14.4" x14ac:dyDescent="0.3">
      <c r="A2066" s="20" t="s">
        <v>8579</v>
      </c>
      <c r="B2066" s="1" t="s">
        <v>2933</v>
      </c>
      <c r="C2066" s="1" t="s">
        <v>2934</v>
      </c>
      <c r="D2066" s="1" t="s">
        <v>2889</v>
      </c>
      <c r="E2066" s="1">
        <v>18100000</v>
      </c>
    </row>
    <row r="2067" spans="1:5" ht="14.4" x14ac:dyDescent="0.3">
      <c r="A2067" s="20" t="s">
        <v>8580</v>
      </c>
      <c r="B2067" s="1" t="s">
        <v>2910</v>
      </c>
      <c r="C2067" s="1" t="s">
        <v>3242</v>
      </c>
      <c r="D2067" s="1" t="s">
        <v>2889</v>
      </c>
      <c r="E2067" s="1">
        <v>15100000</v>
      </c>
    </row>
    <row r="2068" spans="1:5" ht="14.4" x14ac:dyDescent="0.3">
      <c r="A2068" s="20" t="s">
        <v>8581</v>
      </c>
      <c r="B2068" s="1" t="s">
        <v>2910</v>
      </c>
      <c r="C2068" s="1" t="s">
        <v>3548</v>
      </c>
      <c r="D2068" s="1" t="s">
        <v>2889</v>
      </c>
      <c r="E2068" s="1">
        <v>13900000</v>
      </c>
    </row>
    <row r="2069" spans="1:5" ht="14.4" x14ac:dyDescent="0.3">
      <c r="A2069" s="20" t="s">
        <v>8582</v>
      </c>
      <c r="B2069" s="1" t="s">
        <v>2910</v>
      </c>
      <c r="C2069" s="1" t="s">
        <v>3548</v>
      </c>
      <c r="D2069" s="1" t="s">
        <v>2889</v>
      </c>
      <c r="E2069" s="1">
        <v>15700000</v>
      </c>
    </row>
    <row r="2070" spans="1:5" ht="14.4" x14ac:dyDescent="0.3">
      <c r="A2070" s="20" t="s">
        <v>8583</v>
      </c>
      <c r="B2070" s="1" t="s">
        <v>2910</v>
      </c>
      <c r="C2070" s="1" t="s">
        <v>206</v>
      </c>
      <c r="D2070" s="1" t="s">
        <v>2889</v>
      </c>
      <c r="E2070" s="1">
        <v>9700000</v>
      </c>
    </row>
    <row r="2071" spans="1:5" ht="14.4" x14ac:dyDescent="0.3">
      <c r="A2071" s="20" t="s">
        <v>8584</v>
      </c>
      <c r="B2071" s="1" t="s">
        <v>2910</v>
      </c>
      <c r="C2071" s="1" t="s">
        <v>209</v>
      </c>
      <c r="D2071" s="1" t="s">
        <v>2889</v>
      </c>
      <c r="E2071" s="1">
        <v>24300000</v>
      </c>
    </row>
    <row r="2072" spans="1:5" ht="14.4" x14ac:dyDescent="0.3">
      <c r="A2072" s="20" t="s">
        <v>8585</v>
      </c>
      <c r="B2072" s="1" t="s">
        <v>2910</v>
      </c>
      <c r="C2072" s="1" t="s">
        <v>2999</v>
      </c>
      <c r="D2072" s="1" t="s">
        <v>2889</v>
      </c>
      <c r="E2072" s="1">
        <v>17900000</v>
      </c>
    </row>
    <row r="2073" spans="1:5" ht="14.4" x14ac:dyDescent="0.3">
      <c r="A2073" s="20" t="s">
        <v>8586</v>
      </c>
      <c r="B2073" s="1" t="s">
        <v>2910</v>
      </c>
      <c r="C2073" s="1" t="s">
        <v>2975</v>
      </c>
      <c r="D2073" s="1" t="s">
        <v>2889</v>
      </c>
      <c r="E2073" s="1">
        <v>14500000</v>
      </c>
    </row>
    <row r="2074" spans="1:5" ht="14.4" x14ac:dyDescent="0.3">
      <c r="A2074" s="20" t="s">
        <v>8587</v>
      </c>
      <c r="B2074" s="1" t="s">
        <v>2910</v>
      </c>
      <c r="C2074" s="1" t="s">
        <v>3245</v>
      </c>
      <c r="D2074" s="1" t="s">
        <v>2889</v>
      </c>
      <c r="E2074" s="1">
        <v>32700000</v>
      </c>
    </row>
    <row r="2075" spans="1:5" ht="14.4" x14ac:dyDescent="0.3">
      <c r="A2075" s="20" t="s">
        <v>8588</v>
      </c>
      <c r="B2075" s="1" t="s">
        <v>229</v>
      </c>
      <c r="C2075" s="1" t="s">
        <v>3218</v>
      </c>
      <c r="D2075" s="1" t="s">
        <v>2889</v>
      </c>
      <c r="E2075" s="1">
        <v>20300000</v>
      </c>
    </row>
    <row r="2076" spans="1:5" ht="14.4" x14ac:dyDescent="0.3">
      <c r="A2076" s="20" t="s">
        <v>8589</v>
      </c>
      <c r="B2076" s="1" t="s">
        <v>236</v>
      </c>
      <c r="C2076" s="1" t="s">
        <v>2972</v>
      </c>
      <c r="D2076" s="1" t="s">
        <v>2889</v>
      </c>
      <c r="E2076" s="1">
        <v>18600000</v>
      </c>
    </row>
    <row r="2077" spans="1:5" ht="14.4" x14ac:dyDescent="0.3">
      <c r="A2077" s="20" t="s">
        <v>8590</v>
      </c>
      <c r="B2077" s="1" t="s">
        <v>236</v>
      </c>
      <c r="C2077" s="1" t="s">
        <v>237</v>
      </c>
      <c r="D2077" s="1" t="s">
        <v>2889</v>
      </c>
      <c r="E2077" s="1">
        <v>33300000</v>
      </c>
    </row>
    <row r="2078" spans="1:5" ht="14.4" x14ac:dyDescent="0.3">
      <c r="A2078" s="20" t="s">
        <v>8591</v>
      </c>
      <c r="B2078" s="1" t="s">
        <v>242</v>
      </c>
      <c r="C2078" s="1" t="s">
        <v>243</v>
      </c>
      <c r="D2078" s="1" t="s">
        <v>2889</v>
      </c>
      <c r="E2078" s="1">
        <v>9400000</v>
      </c>
    </row>
    <row r="2079" spans="1:5" ht="14.4" x14ac:dyDescent="0.3">
      <c r="A2079" s="20" t="s">
        <v>8592</v>
      </c>
      <c r="B2079" s="1" t="s">
        <v>242</v>
      </c>
      <c r="C2079" s="1" t="s">
        <v>246</v>
      </c>
      <c r="D2079" s="1" t="s">
        <v>2889</v>
      </c>
      <c r="E2079" s="1">
        <v>19000000</v>
      </c>
    </row>
    <row r="2080" spans="1:5" ht="14.4" x14ac:dyDescent="0.3">
      <c r="A2080" s="20" t="s">
        <v>8593</v>
      </c>
      <c r="B2080" s="1" t="s">
        <v>242</v>
      </c>
      <c r="C2080" s="1" t="s">
        <v>246</v>
      </c>
      <c r="D2080" s="1" t="s">
        <v>2889</v>
      </c>
      <c r="E2080" s="1">
        <v>19000000</v>
      </c>
    </row>
    <row r="2081" spans="1:5" ht="14.4" x14ac:dyDescent="0.3">
      <c r="A2081" s="20" t="s">
        <v>8594</v>
      </c>
      <c r="B2081" s="1" t="s">
        <v>242</v>
      </c>
      <c r="C2081" s="1" t="s">
        <v>2921</v>
      </c>
      <c r="D2081" s="1" t="s">
        <v>2889</v>
      </c>
      <c r="E2081" s="1">
        <v>10800000</v>
      </c>
    </row>
    <row r="2082" spans="1:5" ht="14.4" x14ac:dyDescent="0.3">
      <c r="A2082" s="20" t="s">
        <v>8595</v>
      </c>
      <c r="B2082" s="1" t="s">
        <v>242</v>
      </c>
      <c r="C2082" s="1" t="s">
        <v>3141</v>
      </c>
      <c r="D2082" s="1" t="s">
        <v>2889</v>
      </c>
      <c r="E2082" s="1">
        <v>10400000</v>
      </c>
    </row>
    <row r="2083" spans="1:5" ht="14.4" x14ac:dyDescent="0.3">
      <c r="A2083" s="20" t="s">
        <v>8596</v>
      </c>
      <c r="B2083" s="1" t="s">
        <v>260</v>
      </c>
      <c r="C2083" s="1" t="s">
        <v>69</v>
      </c>
      <c r="D2083" s="1" t="s">
        <v>2889</v>
      </c>
      <c r="E2083" s="1">
        <v>11500000</v>
      </c>
    </row>
    <row r="2084" spans="1:5" ht="14.4" x14ac:dyDescent="0.3">
      <c r="A2084" s="20" t="s">
        <v>8597</v>
      </c>
      <c r="B2084" s="1" t="s">
        <v>260</v>
      </c>
      <c r="C2084" s="1" t="s">
        <v>3582</v>
      </c>
      <c r="D2084" s="1" t="s">
        <v>2889</v>
      </c>
      <c r="E2084" s="1">
        <v>16400000</v>
      </c>
    </row>
    <row r="2085" spans="1:5" ht="14.4" x14ac:dyDescent="0.3">
      <c r="A2085" s="20" t="s">
        <v>8598</v>
      </c>
      <c r="B2085" s="1" t="s">
        <v>2961</v>
      </c>
      <c r="C2085" s="1" t="s">
        <v>8599</v>
      </c>
      <c r="D2085" s="1" t="s">
        <v>2889</v>
      </c>
      <c r="E2085" s="1">
        <v>14600000</v>
      </c>
    </row>
    <row r="2086" spans="1:5" ht="14.4" x14ac:dyDescent="0.3">
      <c r="A2086" s="20" t="s">
        <v>8600</v>
      </c>
      <c r="B2086" s="1" t="s">
        <v>2961</v>
      </c>
      <c r="C2086" s="1" t="s">
        <v>3897</v>
      </c>
      <c r="D2086" s="1" t="s">
        <v>2889</v>
      </c>
      <c r="E2086" s="1">
        <v>14400000</v>
      </c>
    </row>
    <row r="2087" spans="1:5" ht="14.4" x14ac:dyDescent="0.3">
      <c r="A2087" s="20" t="s">
        <v>8601</v>
      </c>
      <c r="B2087" s="1" t="s">
        <v>2961</v>
      </c>
      <c r="C2087" s="1" t="s">
        <v>3067</v>
      </c>
      <c r="D2087" s="1" t="s">
        <v>2889</v>
      </c>
      <c r="E2087" s="1">
        <v>17500000</v>
      </c>
    </row>
    <row r="2088" spans="1:5" ht="14.4" x14ac:dyDescent="0.3">
      <c r="A2088" s="20" t="s">
        <v>8602</v>
      </c>
      <c r="B2088" s="1" t="s">
        <v>264</v>
      </c>
      <c r="C2088" s="1">
        <v>2008</v>
      </c>
      <c r="D2088" s="1" t="s">
        <v>2889</v>
      </c>
      <c r="E2088" s="1">
        <v>11100000</v>
      </c>
    </row>
    <row r="2089" spans="1:5" ht="14.4" x14ac:dyDescent="0.3">
      <c r="A2089" s="20" t="s">
        <v>8603</v>
      </c>
      <c r="B2089" s="1" t="s">
        <v>264</v>
      </c>
      <c r="C2089" s="1">
        <v>2008</v>
      </c>
      <c r="D2089" s="1" t="s">
        <v>2889</v>
      </c>
      <c r="E2089" s="1">
        <v>12100000</v>
      </c>
    </row>
    <row r="2090" spans="1:5" ht="14.4" x14ac:dyDescent="0.3">
      <c r="A2090" s="20" t="s">
        <v>8604</v>
      </c>
      <c r="B2090" s="1" t="s">
        <v>264</v>
      </c>
      <c r="C2090" s="1" t="s">
        <v>2996</v>
      </c>
      <c r="D2090" s="1" t="s">
        <v>2889</v>
      </c>
      <c r="E2090" s="1">
        <v>14300000</v>
      </c>
    </row>
    <row r="2091" spans="1:5" ht="14.4" x14ac:dyDescent="0.3">
      <c r="A2091" s="20" t="s">
        <v>8605</v>
      </c>
      <c r="B2091" s="1" t="s">
        <v>264</v>
      </c>
      <c r="C2091" s="1">
        <v>3008</v>
      </c>
      <c r="D2091" s="1" t="s">
        <v>2889</v>
      </c>
      <c r="E2091" s="1">
        <v>14400000</v>
      </c>
    </row>
    <row r="2092" spans="1:5" ht="14.4" x14ac:dyDescent="0.3">
      <c r="A2092" s="20" t="s">
        <v>8606</v>
      </c>
      <c r="B2092" s="1" t="s">
        <v>264</v>
      </c>
      <c r="C2092" s="1">
        <v>3008</v>
      </c>
      <c r="D2092" s="1" t="s">
        <v>2889</v>
      </c>
      <c r="E2092" s="1">
        <v>14700000</v>
      </c>
    </row>
    <row r="2093" spans="1:5" ht="14.4" x14ac:dyDescent="0.3">
      <c r="A2093" s="20" t="s">
        <v>8607</v>
      </c>
      <c r="B2093" s="1" t="s">
        <v>264</v>
      </c>
      <c r="C2093" s="1">
        <v>3008</v>
      </c>
      <c r="D2093" s="1" t="s">
        <v>2889</v>
      </c>
      <c r="E2093" s="1">
        <v>14900000</v>
      </c>
    </row>
    <row r="2094" spans="1:5" ht="14.4" x14ac:dyDescent="0.3">
      <c r="A2094" s="20" t="s">
        <v>8608</v>
      </c>
      <c r="B2094" s="1" t="s">
        <v>264</v>
      </c>
      <c r="C2094" s="1">
        <v>3008</v>
      </c>
      <c r="D2094" s="1" t="s">
        <v>2889</v>
      </c>
      <c r="E2094" s="1">
        <v>17200000</v>
      </c>
    </row>
    <row r="2095" spans="1:5" ht="14.4" x14ac:dyDescent="0.3">
      <c r="A2095" s="20" t="s">
        <v>8609</v>
      </c>
      <c r="B2095" s="1" t="s">
        <v>264</v>
      </c>
      <c r="C2095" s="1">
        <v>3008</v>
      </c>
      <c r="D2095" s="1" t="s">
        <v>2889</v>
      </c>
      <c r="E2095" s="1">
        <v>18700000</v>
      </c>
    </row>
    <row r="2096" spans="1:5" ht="14.4" x14ac:dyDescent="0.3">
      <c r="A2096" s="20" t="s">
        <v>8610</v>
      </c>
      <c r="B2096" s="1" t="s">
        <v>264</v>
      </c>
      <c r="C2096" s="1">
        <v>5008</v>
      </c>
      <c r="D2096" s="1" t="s">
        <v>2889</v>
      </c>
      <c r="E2096" s="1">
        <v>24000000</v>
      </c>
    </row>
    <row r="2097" spans="1:5" ht="14.4" x14ac:dyDescent="0.3">
      <c r="A2097" s="20" t="s">
        <v>8611</v>
      </c>
      <c r="B2097" s="1" t="s">
        <v>264</v>
      </c>
      <c r="C2097" s="1" t="s">
        <v>293</v>
      </c>
      <c r="D2097" s="1" t="s">
        <v>2889</v>
      </c>
      <c r="E2097" s="1">
        <v>16100000</v>
      </c>
    </row>
    <row r="2098" spans="1:5" ht="14.4" x14ac:dyDescent="0.3">
      <c r="A2098" s="20" t="s">
        <v>8612</v>
      </c>
      <c r="B2098" s="1" t="s">
        <v>264</v>
      </c>
      <c r="C2098" s="1" t="s">
        <v>293</v>
      </c>
      <c r="D2098" s="1" t="s">
        <v>2889</v>
      </c>
      <c r="E2098" s="1">
        <v>16800000</v>
      </c>
    </row>
    <row r="2099" spans="1:5" ht="14.4" x14ac:dyDescent="0.3">
      <c r="A2099" s="20" t="s">
        <v>8613</v>
      </c>
      <c r="B2099" s="1" t="s">
        <v>264</v>
      </c>
      <c r="C2099" s="1" t="s">
        <v>300</v>
      </c>
      <c r="D2099" s="1" t="s">
        <v>2889</v>
      </c>
      <c r="E2099" s="1">
        <v>15200000</v>
      </c>
    </row>
    <row r="2100" spans="1:5" ht="14.4" x14ac:dyDescent="0.3">
      <c r="A2100" s="20" t="s">
        <v>8614</v>
      </c>
      <c r="B2100" s="1" t="s">
        <v>264</v>
      </c>
      <c r="C2100" s="1" t="s">
        <v>2996</v>
      </c>
      <c r="D2100" s="1" t="s">
        <v>2889</v>
      </c>
      <c r="E2100" s="1">
        <v>14300000</v>
      </c>
    </row>
    <row r="2101" spans="1:5" ht="14.4" x14ac:dyDescent="0.3">
      <c r="A2101" s="20" t="s">
        <v>8615</v>
      </c>
      <c r="B2101" s="1" t="s">
        <v>264</v>
      </c>
      <c r="C2101" s="1" t="s">
        <v>2897</v>
      </c>
      <c r="D2101" s="1" t="s">
        <v>2889</v>
      </c>
      <c r="E2101" s="1">
        <v>16100000</v>
      </c>
    </row>
    <row r="2102" spans="1:5" ht="14.4" x14ac:dyDescent="0.3">
      <c r="A2102" s="20" t="s">
        <v>8616</v>
      </c>
      <c r="B2102" s="1" t="s">
        <v>264</v>
      </c>
      <c r="C2102" s="1" t="s">
        <v>2899</v>
      </c>
      <c r="D2102" s="1" t="s">
        <v>2889</v>
      </c>
      <c r="E2102" s="1">
        <v>13800000</v>
      </c>
    </row>
    <row r="2103" spans="1:5" ht="14.4" x14ac:dyDescent="0.3">
      <c r="A2103" s="20" t="s">
        <v>8617</v>
      </c>
      <c r="B2103" s="1" t="s">
        <v>264</v>
      </c>
      <c r="C2103" s="1">
        <v>3008</v>
      </c>
      <c r="D2103" s="1" t="s">
        <v>2889</v>
      </c>
      <c r="E2103" s="1">
        <v>14900000</v>
      </c>
    </row>
    <row r="2104" spans="1:5" ht="14.4" x14ac:dyDescent="0.3">
      <c r="A2104" s="20" t="s">
        <v>8618</v>
      </c>
      <c r="B2104" s="1" t="s">
        <v>264</v>
      </c>
      <c r="C2104" s="1">
        <v>308</v>
      </c>
      <c r="D2104" s="1" t="s">
        <v>2889</v>
      </c>
      <c r="E2104" s="1">
        <v>17000000</v>
      </c>
    </row>
    <row r="2105" spans="1:5" ht="14.4" x14ac:dyDescent="0.3">
      <c r="A2105" s="20" t="s">
        <v>8619</v>
      </c>
      <c r="B2105" s="1" t="s">
        <v>264</v>
      </c>
      <c r="C2105" s="1" t="s">
        <v>3005</v>
      </c>
      <c r="D2105" s="1" t="s">
        <v>2889</v>
      </c>
      <c r="E2105" s="1">
        <v>15400000</v>
      </c>
    </row>
    <row r="2106" spans="1:5" ht="14.4" x14ac:dyDescent="0.3">
      <c r="A2106" s="20" t="s">
        <v>8620</v>
      </c>
      <c r="B2106" s="1" t="s">
        <v>264</v>
      </c>
      <c r="C2106" s="1" t="s">
        <v>2925</v>
      </c>
      <c r="D2106" s="1" t="s">
        <v>2889</v>
      </c>
      <c r="E2106" s="1">
        <v>18100000</v>
      </c>
    </row>
    <row r="2107" spans="1:5" ht="14.4" x14ac:dyDescent="0.3">
      <c r="A2107" s="20" t="s">
        <v>8621</v>
      </c>
      <c r="B2107" s="1" t="s">
        <v>303</v>
      </c>
      <c r="C2107" s="1">
        <v>1500</v>
      </c>
      <c r="D2107" s="1" t="s">
        <v>2889</v>
      </c>
      <c r="E2107" s="1">
        <v>30600000</v>
      </c>
    </row>
    <row r="2108" spans="1:5" ht="14.4" x14ac:dyDescent="0.3">
      <c r="A2108" s="20" t="s">
        <v>8622</v>
      </c>
      <c r="B2108" s="1" t="s">
        <v>303</v>
      </c>
      <c r="C2108" s="1" t="s">
        <v>311</v>
      </c>
      <c r="D2108" s="1" t="s">
        <v>2889</v>
      </c>
      <c r="E2108" s="1">
        <v>26000000</v>
      </c>
    </row>
    <row r="2109" spans="1:5" ht="14.4" x14ac:dyDescent="0.3">
      <c r="A2109" s="20" t="s">
        <v>8623</v>
      </c>
      <c r="B2109" s="1" t="s">
        <v>317</v>
      </c>
      <c r="C2109" s="1" t="s">
        <v>2949</v>
      </c>
      <c r="D2109" s="1" t="s">
        <v>2889</v>
      </c>
      <c r="E2109" s="1">
        <v>11600000</v>
      </c>
    </row>
    <row r="2110" spans="1:5" ht="14.4" x14ac:dyDescent="0.3">
      <c r="A2110" s="20" t="s">
        <v>8624</v>
      </c>
      <c r="B2110" s="1" t="s">
        <v>317</v>
      </c>
      <c r="C2110" s="1" t="s">
        <v>2949</v>
      </c>
      <c r="D2110" s="1" t="s">
        <v>2889</v>
      </c>
      <c r="E2110" s="1">
        <v>11900000</v>
      </c>
    </row>
    <row r="2111" spans="1:5" ht="14.4" x14ac:dyDescent="0.3">
      <c r="A2111" s="20" t="s">
        <v>8625</v>
      </c>
      <c r="B2111" s="1" t="s">
        <v>317</v>
      </c>
      <c r="C2111" s="1" t="s">
        <v>2949</v>
      </c>
      <c r="D2111" s="1" t="s">
        <v>2889</v>
      </c>
      <c r="E2111" s="1">
        <v>14400000</v>
      </c>
    </row>
    <row r="2112" spans="1:5" ht="14.4" x14ac:dyDescent="0.3">
      <c r="A2112" s="20" t="s">
        <v>8626</v>
      </c>
      <c r="B2112" s="1" t="s">
        <v>317</v>
      </c>
      <c r="C2112" s="1" t="s">
        <v>321</v>
      </c>
      <c r="D2112" s="1" t="s">
        <v>2889</v>
      </c>
      <c r="E2112" s="1">
        <v>10100000</v>
      </c>
    </row>
    <row r="2113" spans="1:5" ht="14.4" x14ac:dyDescent="0.3">
      <c r="A2113" s="20" t="s">
        <v>8627</v>
      </c>
      <c r="B2113" s="1" t="s">
        <v>317</v>
      </c>
      <c r="C2113" s="1" t="s">
        <v>324</v>
      </c>
      <c r="D2113" s="1" t="s">
        <v>2889</v>
      </c>
      <c r="E2113" s="1">
        <v>17400000</v>
      </c>
    </row>
    <row r="2114" spans="1:5" ht="14.4" x14ac:dyDescent="0.3">
      <c r="A2114" s="20" t="s">
        <v>8628</v>
      </c>
      <c r="B2114" s="1" t="s">
        <v>2957</v>
      </c>
      <c r="C2114" s="1" t="s">
        <v>3268</v>
      </c>
      <c r="D2114" s="1" t="s">
        <v>2889</v>
      </c>
      <c r="E2114" s="1">
        <v>25600000</v>
      </c>
    </row>
    <row r="2115" spans="1:5" ht="14.4" x14ac:dyDescent="0.3">
      <c r="A2115" s="20" t="s">
        <v>8629</v>
      </c>
      <c r="B2115" s="1" t="s">
        <v>327</v>
      </c>
      <c r="C2115" s="1" t="s">
        <v>331</v>
      </c>
      <c r="D2115" s="1" t="s">
        <v>2889</v>
      </c>
      <c r="E2115" s="1">
        <v>14000000</v>
      </c>
    </row>
    <row r="2116" spans="1:5" ht="14.4" x14ac:dyDescent="0.3">
      <c r="A2116" s="20" t="s">
        <v>8630</v>
      </c>
      <c r="B2116" s="1" t="s">
        <v>334</v>
      </c>
      <c r="C2116" s="1" t="s">
        <v>335</v>
      </c>
      <c r="D2116" s="1" t="s">
        <v>2889</v>
      </c>
      <c r="E2116" s="1">
        <v>18700000</v>
      </c>
    </row>
    <row r="2117" spans="1:5" ht="14.4" x14ac:dyDescent="0.3">
      <c r="A2117" s="20" t="s">
        <v>8631</v>
      </c>
      <c r="B2117" s="1" t="s">
        <v>346</v>
      </c>
      <c r="C2117" s="1" t="s">
        <v>347</v>
      </c>
      <c r="D2117" s="1" t="s">
        <v>2889</v>
      </c>
      <c r="E2117" s="1">
        <v>10900000</v>
      </c>
    </row>
    <row r="2118" spans="1:5" ht="14.4" x14ac:dyDescent="0.3">
      <c r="A2118" s="20" t="s">
        <v>8632</v>
      </c>
      <c r="B2118" s="1" t="s">
        <v>15</v>
      </c>
      <c r="C2118" s="1" t="s">
        <v>16</v>
      </c>
      <c r="D2118" s="1" t="s">
        <v>2889</v>
      </c>
      <c r="E2118" s="1">
        <v>7540000</v>
      </c>
    </row>
    <row r="2119" spans="1:5" ht="14.4" x14ac:dyDescent="0.3">
      <c r="A2119" s="20" t="s">
        <v>8633</v>
      </c>
      <c r="B2119" s="1" t="s">
        <v>30</v>
      </c>
      <c r="C2119" s="1" t="s">
        <v>31</v>
      </c>
      <c r="D2119" s="1" t="s">
        <v>2889</v>
      </c>
      <c r="E2119" s="1">
        <v>5550000</v>
      </c>
    </row>
    <row r="2120" spans="1:5" ht="14.4" x14ac:dyDescent="0.3">
      <c r="A2120" s="20" t="s">
        <v>8634</v>
      </c>
      <c r="B2120" s="1" t="s">
        <v>30</v>
      </c>
      <c r="C2120" s="1" t="s">
        <v>34</v>
      </c>
      <c r="D2120" s="1" t="s">
        <v>2889</v>
      </c>
      <c r="E2120" s="1">
        <v>8200000</v>
      </c>
    </row>
    <row r="2121" spans="1:5" ht="14.4" x14ac:dyDescent="0.3">
      <c r="A2121" s="20" t="s">
        <v>8635</v>
      </c>
      <c r="B2121" s="1" t="s">
        <v>30</v>
      </c>
      <c r="C2121" s="1" t="s">
        <v>38</v>
      </c>
      <c r="D2121" s="1" t="s">
        <v>2889</v>
      </c>
      <c r="E2121" s="1">
        <v>10100000</v>
      </c>
    </row>
    <row r="2122" spans="1:5" ht="14.4" x14ac:dyDescent="0.3">
      <c r="A2122" s="20" t="s">
        <v>8636</v>
      </c>
      <c r="B2122" s="1" t="s">
        <v>30</v>
      </c>
      <c r="C2122" s="1" t="s">
        <v>38</v>
      </c>
      <c r="D2122" s="1" t="s">
        <v>2889</v>
      </c>
      <c r="E2122" s="1">
        <v>12000000</v>
      </c>
    </row>
    <row r="2123" spans="1:5" ht="14.4" x14ac:dyDescent="0.3">
      <c r="A2123" s="20" t="s">
        <v>8637</v>
      </c>
      <c r="B2123" s="1" t="s">
        <v>30</v>
      </c>
      <c r="C2123" s="1" t="s">
        <v>41</v>
      </c>
      <c r="D2123" s="1" t="s">
        <v>2889</v>
      </c>
      <c r="E2123" s="1">
        <v>11500000</v>
      </c>
    </row>
    <row r="2124" spans="1:5" ht="14.4" x14ac:dyDescent="0.3">
      <c r="A2124" s="20" t="s">
        <v>8638</v>
      </c>
      <c r="B2124" s="1" t="s">
        <v>30</v>
      </c>
      <c r="C2124" s="1" t="s">
        <v>45</v>
      </c>
      <c r="D2124" s="1" t="s">
        <v>2889</v>
      </c>
      <c r="E2124" s="1">
        <v>11600000</v>
      </c>
    </row>
    <row r="2125" spans="1:5" ht="14.4" x14ac:dyDescent="0.3">
      <c r="A2125" s="20" t="s">
        <v>8639</v>
      </c>
      <c r="B2125" s="1" t="s">
        <v>48</v>
      </c>
      <c r="C2125" s="1" t="s">
        <v>8640</v>
      </c>
      <c r="D2125" s="1" t="s">
        <v>2889</v>
      </c>
      <c r="E2125" s="1">
        <v>10000000</v>
      </c>
    </row>
    <row r="2126" spans="1:5" ht="14.4" x14ac:dyDescent="0.3">
      <c r="A2126" s="20" t="s">
        <v>8641</v>
      </c>
      <c r="B2126" s="1" t="s">
        <v>48</v>
      </c>
      <c r="C2126" s="1" t="s">
        <v>55</v>
      </c>
      <c r="D2126" s="1" t="s">
        <v>2889</v>
      </c>
      <c r="E2126" s="1">
        <v>9700000</v>
      </c>
    </row>
    <row r="2127" spans="1:5" ht="14.4" x14ac:dyDescent="0.3">
      <c r="A2127" s="20" t="s">
        <v>8642</v>
      </c>
      <c r="B2127" s="1" t="s">
        <v>48</v>
      </c>
      <c r="C2127" s="1" t="s">
        <v>3737</v>
      </c>
      <c r="D2127" s="1" t="s">
        <v>2889</v>
      </c>
      <c r="E2127" s="1">
        <v>32400000</v>
      </c>
    </row>
    <row r="2128" spans="1:5" ht="14.4" x14ac:dyDescent="0.3">
      <c r="A2128" s="20" t="s">
        <v>8643</v>
      </c>
      <c r="B2128" s="1" t="s">
        <v>48</v>
      </c>
      <c r="C2128" s="1" t="s">
        <v>2892</v>
      </c>
      <c r="D2128" s="1" t="s">
        <v>2889</v>
      </c>
      <c r="E2128" s="1">
        <v>10500000</v>
      </c>
    </row>
    <row r="2129" spans="1:5" ht="14.4" x14ac:dyDescent="0.3">
      <c r="A2129" s="20" t="s">
        <v>8644</v>
      </c>
      <c r="B2129" s="1" t="s">
        <v>64</v>
      </c>
      <c r="C2129" s="1" t="s">
        <v>2932</v>
      </c>
      <c r="D2129" s="1" t="s">
        <v>2889</v>
      </c>
      <c r="E2129" s="1">
        <v>14600000</v>
      </c>
    </row>
    <row r="2130" spans="1:5" ht="14.4" x14ac:dyDescent="0.3">
      <c r="A2130" s="20" t="s">
        <v>8645</v>
      </c>
      <c r="B2130" s="1" t="s">
        <v>72</v>
      </c>
      <c r="C2130" s="1">
        <v>560</v>
      </c>
      <c r="D2130" s="1" t="s">
        <v>2889</v>
      </c>
      <c r="E2130" s="1">
        <v>8400000</v>
      </c>
    </row>
    <row r="2131" spans="1:5" ht="14.4" x14ac:dyDescent="0.3">
      <c r="A2131" s="20" t="s">
        <v>8646</v>
      </c>
      <c r="B2131" s="1" t="s">
        <v>242</v>
      </c>
      <c r="C2131" s="1" t="s">
        <v>2904</v>
      </c>
      <c r="D2131" s="1" t="s">
        <v>8647</v>
      </c>
      <c r="E2131" s="1">
        <v>15300000</v>
      </c>
    </row>
    <row r="2132" spans="1:5" ht="14.4" x14ac:dyDescent="0.3">
      <c r="A2132" s="20" t="s">
        <v>8648</v>
      </c>
      <c r="B2132" s="1" t="s">
        <v>2910</v>
      </c>
      <c r="C2132" s="1" t="s">
        <v>3618</v>
      </c>
      <c r="D2132" s="1" t="s">
        <v>8649</v>
      </c>
      <c r="E2132" s="1">
        <v>9400000</v>
      </c>
    </row>
    <row r="2133" spans="1:5" ht="14.4" x14ac:dyDescent="0.3">
      <c r="A2133" s="20" t="s">
        <v>8650</v>
      </c>
      <c r="B2133" s="1" t="s">
        <v>2961</v>
      </c>
      <c r="C2133" s="1" t="s">
        <v>5162</v>
      </c>
      <c r="D2133" s="1" t="s">
        <v>8651</v>
      </c>
      <c r="E2133" s="1">
        <v>15700000</v>
      </c>
    </row>
    <row r="2134" spans="1:5" ht="14.4" x14ac:dyDescent="0.3">
      <c r="A2134" s="20" t="s">
        <v>8652</v>
      </c>
      <c r="B2134" s="1" t="s">
        <v>2957</v>
      </c>
      <c r="C2134" s="1" t="s">
        <v>3268</v>
      </c>
      <c r="D2134" s="1" t="s">
        <v>8653</v>
      </c>
      <c r="E2134" s="1">
        <v>23100000</v>
      </c>
    </row>
    <row r="2135" spans="1:5" ht="14.4" x14ac:dyDescent="0.3">
      <c r="A2135" s="20" t="s">
        <v>8654</v>
      </c>
      <c r="B2135" s="1" t="s">
        <v>264</v>
      </c>
      <c r="C2135" s="1" t="s">
        <v>2996</v>
      </c>
      <c r="D2135" s="1" t="s">
        <v>3110</v>
      </c>
      <c r="E2135" s="1">
        <v>13800000</v>
      </c>
    </row>
    <row r="2136" spans="1:5" ht="14.4" x14ac:dyDescent="0.3">
      <c r="A2136" s="20" t="s">
        <v>8655</v>
      </c>
      <c r="B2136" s="1" t="s">
        <v>264</v>
      </c>
      <c r="C2136" s="1" t="s">
        <v>293</v>
      </c>
      <c r="D2136" s="1" t="s">
        <v>8656</v>
      </c>
      <c r="E2136" s="1">
        <v>20700000</v>
      </c>
    </row>
    <row r="2137" spans="1:5" ht="14.4" x14ac:dyDescent="0.3">
      <c r="A2137" s="20" t="s">
        <v>8657</v>
      </c>
      <c r="B2137" s="1" t="s">
        <v>93</v>
      </c>
      <c r="C2137" s="1" t="s">
        <v>3205</v>
      </c>
      <c r="D2137" s="1" t="s">
        <v>8658</v>
      </c>
      <c r="E2137" s="1">
        <v>15400000</v>
      </c>
    </row>
    <row r="2138" spans="1:5" ht="14.4" x14ac:dyDescent="0.3">
      <c r="A2138" s="20" t="s">
        <v>8659</v>
      </c>
      <c r="B2138" s="1" t="s">
        <v>303</v>
      </c>
      <c r="C2138" s="1" t="s">
        <v>8660</v>
      </c>
      <c r="D2138" s="1" t="s">
        <v>8661</v>
      </c>
      <c r="E2138" s="1">
        <v>72000000</v>
      </c>
    </row>
    <row r="2139" spans="1:5" ht="14.4" x14ac:dyDescent="0.3">
      <c r="A2139" s="20" t="s">
        <v>8662</v>
      </c>
      <c r="B2139" s="1" t="s">
        <v>303</v>
      </c>
      <c r="C2139" s="1">
        <v>2500</v>
      </c>
      <c r="D2139" s="1" t="s">
        <v>2889</v>
      </c>
      <c r="E2139" s="1">
        <v>30800000</v>
      </c>
    </row>
    <row r="2140" spans="1:5" ht="14.4" x14ac:dyDescent="0.3">
      <c r="A2140" s="20" t="s">
        <v>8663</v>
      </c>
      <c r="B2140" s="1" t="s">
        <v>2910</v>
      </c>
      <c r="C2140" s="1" t="s">
        <v>218</v>
      </c>
      <c r="D2140" s="1" t="s">
        <v>8664</v>
      </c>
      <c r="E2140" s="1">
        <v>13600000</v>
      </c>
    </row>
    <row r="2141" spans="1:5" ht="14.4" x14ac:dyDescent="0.3">
      <c r="A2141" s="20" t="s">
        <v>8665</v>
      </c>
      <c r="B2141" s="1" t="s">
        <v>30</v>
      </c>
      <c r="C2141" s="1" t="s">
        <v>2908</v>
      </c>
      <c r="D2141" s="1" t="s">
        <v>6670</v>
      </c>
      <c r="E2141" s="1">
        <v>8300000</v>
      </c>
    </row>
    <row r="2142" spans="1:5" ht="14.4" x14ac:dyDescent="0.3">
      <c r="A2142" s="20" t="s">
        <v>8666</v>
      </c>
      <c r="B2142" s="1" t="s">
        <v>30</v>
      </c>
      <c r="C2142" s="1" t="s">
        <v>34</v>
      </c>
      <c r="D2142" s="1" t="s">
        <v>6667</v>
      </c>
      <c r="E2142" s="1">
        <v>7930000</v>
      </c>
    </row>
    <row r="2143" spans="1:5" ht="14.4" x14ac:dyDescent="0.3">
      <c r="A2143" s="20" t="s">
        <v>8667</v>
      </c>
      <c r="B2143" s="1" t="s">
        <v>2910</v>
      </c>
      <c r="C2143" s="1" t="s">
        <v>2911</v>
      </c>
      <c r="D2143" s="1" t="s">
        <v>8668</v>
      </c>
      <c r="E2143" s="1">
        <v>8400000</v>
      </c>
    </row>
    <row r="2144" spans="1:5" ht="14.4" x14ac:dyDescent="0.3">
      <c r="A2144" s="20" t="s">
        <v>8669</v>
      </c>
      <c r="B2144" s="1" t="s">
        <v>2906</v>
      </c>
      <c r="C2144" s="1" t="s">
        <v>2943</v>
      </c>
      <c r="D2144" s="1" t="s">
        <v>6519</v>
      </c>
      <c r="E2144" s="1">
        <v>9400000</v>
      </c>
    </row>
    <row r="2145" spans="1:5" ht="14.4" x14ac:dyDescent="0.3">
      <c r="A2145" s="20" t="s">
        <v>8670</v>
      </c>
      <c r="B2145" s="1" t="s">
        <v>93</v>
      </c>
      <c r="C2145" s="1" t="s">
        <v>2919</v>
      </c>
      <c r="D2145" s="1" t="s">
        <v>8671</v>
      </c>
      <c r="E2145" s="1">
        <v>29900000</v>
      </c>
    </row>
    <row r="2146" spans="1:5" ht="14.4" x14ac:dyDescent="0.3">
      <c r="A2146" s="20" t="s">
        <v>8672</v>
      </c>
      <c r="B2146" s="1" t="s">
        <v>93</v>
      </c>
      <c r="C2146" s="1" t="s">
        <v>3205</v>
      </c>
      <c r="D2146" s="1" t="s">
        <v>8673</v>
      </c>
      <c r="E2146" s="1">
        <v>15300000</v>
      </c>
    </row>
    <row r="2147" spans="1:5" ht="14.4" x14ac:dyDescent="0.3">
      <c r="A2147" s="20" t="s">
        <v>8674</v>
      </c>
      <c r="B2147" s="1" t="s">
        <v>181</v>
      </c>
      <c r="C2147" s="1" t="s">
        <v>3021</v>
      </c>
      <c r="D2147" s="1" t="s">
        <v>8675</v>
      </c>
      <c r="E2147" s="1">
        <v>6420000</v>
      </c>
    </row>
    <row r="2148" spans="1:5" ht="14.4" x14ac:dyDescent="0.3">
      <c r="A2148" s="20" t="s">
        <v>8676</v>
      </c>
      <c r="B2148" s="1" t="s">
        <v>48</v>
      </c>
      <c r="C2148" s="1" t="s">
        <v>3234</v>
      </c>
      <c r="D2148" s="1" t="s">
        <v>8677</v>
      </c>
      <c r="E2148" s="1">
        <v>7560000</v>
      </c>
    </row>
    <row r="2149" spans="1:5" ht="15" customHeight="1" x14ac:dyDescent="0.3">
      <c r="A2149" t="s">
        <v>8678</v>
      </c>
      <c r="B2149" t="s">
        <v>48</v>
      </c>
      <c r="C2149" t="s">
        <v>8679</v>
      </c>
      <c r="D2149" t="s">
        <v>8680</v>
      </c>
      <c r="E2149">
        <v>6570000</v>
      </c>
    </row>
    <row r="2150" spans="1:5" ht="15" customHeight="1" x14ac:dyDescent="0.3">
      <c r="A2150" t="s">
        <v>8681</v>
      </c>
      <c r="B2150" t="s">
        <v>93</v>
      </c>
      <c r="C2150" t="s">
        <v>3480</v>
      </c>
      <c r="D2150" t="s">
        <v>8682</v>
      </c>
      <c r="E2150">
        <v>37700000</v>
      </c>
    </row>
    <row r="2151" spans="1:5" ht="15" customHeight="1" x14ac:dyDescent="0.3">
      <c r="A2151" t="s">
        <v>8683</v>
      </c>
      <c r="B2151" t="s">
        <v>3630</v>
      </c>
      <c r="C2151" t="s">
        <v>8684</v>
      </c>
      <c r="D2151" t="s">
        <v>8685</v>
      </c>
      <c r="E2151">
        <v>17600000</v>
      </c>
    </row>
    <row r="2152" spans="1:5" ht="15" customHeight="1" x14ac:dyDescent="0.3">
      <c r="A2152" t="s">
        <v>8686</v>
      </c>
      <c r="B2152" t="s">
        <v>93</v>
      </c>
      <c r="C2152" t="s">
        <v>143</v>
      </c>
      <c r="D2152" t="s">
        <v>8687</v>
      </c>
      <c r="E2152">
        <v>13600000</v>
      </c>
    </row>
    <row r="2153" spans="1:5" ht="15" customHeight="1" x14ac:dyDescent="0.3">
      <c r="A2153" t="s">
        <v>8688</v>
      </c>
      <c r="B2153" t="s">
        <v>242</v>
      </c>
      <c r="C2153" t="s">
        <v>3174</v>
      </c>
      <c r="D2153" t="s">
        <v>8689</v>
      </c>
      <c r="E2153">
        <v>13300000</v>
      </c>
    </row>
    <row r="2154" spans="1:5" ht="15" customHeight="1" x14ac:dyDescent="0.3">
      <c r="A2154" t="s">
        <v>8690</v>
      </c>
      <c r="B2154" t="s">
        <v>2910</v>
      </c>
      <c r="C2154" t="s">
        <v>218</v>
      </c>
      <c r="D2154" t="s">
        <v>8691</v>
      </c>
      <c r="E2154">
        <v>21100000</v>
      </c>
    </row>
    <row r="2155" spans="1:5" ht="15" customHeight="1" x14ac:dyDescent="0.3">
      <c r="A2155" t="s">
        <v>8692</v>
      </c>
      <c r="B2155" t="s">
        <v>30</v>
      </c>
      <c r="C2155" t="s">
        <v>34</v>
      </c>
      <c r="D2155" t="s">
        <v>8693</v>
      </c>
      <c r="E2155">
        <v>5820000</v>
      </c>
    </row>
    <row r="2156" spans="1:5" ht="15" customHeight="1" x14ac:dyDescent="0.3">
      <c r="A2156" t="s">
        <v>8694</v>
      </c>
      <c r="B2156" t="s">
        <v>3630</v>
      </c>
      <c r="C2156" t="s">
        <v>8695</v>
      </c>
      <c r="D2156" t="s">
        <v>8696</v>
      </c>
      <c r="E2156">
        <v>19000000</v>
      </c>
    </row>
    <row r="2157" spans="1:5" ht="15" customHeight="1" x14ac:dyDescent="0.3">
      <c r="A2157" t="s">
        <v>8697</v>
      </c>
      <c r="B2157" t="s">
        <v>157</v>
      </c>
      <c r="C2157" t="s">
        <v>164</v>
      </c>
      <c r="D2157" t="s">
        <v>8698</v>
      </c>
      <c r="E2157">
        <v>11500000</v>
      </c>
    </row>
    <row r="2158" spans="1:5" ht="15" customHeight="1" x14ac:dyDescent="0.3">
      <c r="A2158" t="s">
        <v>8699</v>
      </c>
      <c r="B2158" t="s">
        <v>48</v>
      </c>
      <c r="C2158" t="s">
        <v>52</v>
      </c>
      <c r="D2158" t="s">
        <v>8700</v>
      </c>
      <c r="E2158">
        <v>19500000</v>
      </c>
    </row>
    <row r="2159" spans="1:5" ht="15" customHeight="1" x14ac:dyDescent="0.3">
      <c r="A2159" t="s">
        <v>8701</v>
      </c>
      <c r="B2159" t="s">
        <v>2906</v>
      </c>
      <c r="C2159" t="s">
        <v>2943</v>
      </c>
      <c r="D2159" t="s">
        <v>8702</v>
      </c>
      <c r="E2159">
        <v>9400000</v>
      </c>
    </row>
    <row r="2160" spans="1:5" ht="15" customHeight="1" x14ac:dyDescent="0.3">
      <c r="A2160" t="s">
        <v>8703</v>
      </c>
      <c r="B2160" t="s">
        <v>264</v>
      </c>
      <c r="C2160" t="s">
        <v>2899</v>
      </c>
      <c r="D2160" t="s">
        <v>8704</v>
      </c>
      <c r="E2160">
        <v>21200000</v>
      </c>
    </row>
    <row r="2161" spans="1:5" ht="15" customHeight="1" x14ac:dyDescent="0.3">
      <c r="A2161" t="s">
        <v>8705</v>
      </c>
      <c r="B2161" t="s">
        <v>167</v>
      </c>
      <c r="C2161" t="s">
        <v>3746</v>
      </c>
      <c r="D2161" t="s">
        <v>8706</v>
      </c>
      <c r="E2161">
        <v>6650000</v>
      </c>
    </row>
    <row r="2162" spans="1:5" ht="15" customHeight="1" x14ac:dyDescent="0.3">
      <c r="A2162" t="s">
        <v>8707</v>
      </c>
      <c r="B2162" t="s">
        <v>339</v>
      </c>
      <c r="C2162" t="s">
        <v>340</v>
      </c>
      <c r="D2162" t="s">
        <v>8708</v>
      </c>
      <c r="E2162">
        <v>15600000</v>
      </c>
    </row>
    <row r="2163" spans="1:5" ht="15" customHeight="1" x14ac:dyDescent="0.3">
      <c r="A2163" t="s">
        <v>8709</v>
      </c>
      <c r="B2163" t="s">
        <v>2933</v>
      </c>
      <c r="C2163" t="s">
        <v>2934</v>
      </c>
      <c r="D2163" t="s">
        <v>8710</v>
      </c>
      <c r="E2163">
        <v>22000000</v>
      </c>
    </row>
    <row r="2164" spans="1:5" ht="15" customHeight="1" x14ac:dyDescent="0.3">
      <c r="A2164" t="s">
        <v>8711</v>
      </c>
      <c r="B2164" t="s">
        <v>236</v>
      </c>
      <c r="C2164" t="s">
        <v>3087</v>
      </c>
      <c r="D2164" t="s">
        <v>8712</v>
      </c>
      <c r="E2164">
        <v>25700000</v>
      </c>
    </row>
    <row r="2165" spans="1:5" ht="15" customHeight="1" x14ac:dyDescent="0.3">
      <c r="A2165" t="s">
        <v>8713</v>
      </c>
      <c r="B2165" t="s">
        <v>2910</v>
      </c>
      <c r="C2165" t="s">
        <v>2911</v>
      </c>
      <c r="D2165" t="s">
        <v>8714</v>
      </c>
      <c r="E2165">
        <v>8700000</v>
      </c>
    </row>
    <row r="2166" spans="1:5" ht="15" customHeight="1" x14ac:dyDescent="0.3">
      <c r="A2166" t="s">
        <v>8715</v>
      </c>
      <c r="B2166" t="s">
        <v>264</v>
      </c>
      <c r="C2166">
        <v>3008</v>
      </c>
      <c r="D2166" t="s">
        <v>3426</v>
      </c>
      <c r="E2166">
        <v>22100000</v>
      </c>
    </row>
    <row r="2167" spans="1:5" ht="15" customHeight="1" x14ac:dyDescent="0.3">
      <c r="A2167" t="s">
        <v>8716</v>
      </c>
      <c r="B2167" t="s">
        <v>157</v>
      </c>
      <c r="C2167" t="s">
        <v>164</v>
      </c>
      <c r="D2167" t="s">
        <v>8717</v>
      </c>
      <c r="E2167">
        <v>11400000</v>
      </c>
    </row>
    <row r="2168" spans="1:5" ht="15" customHeight="1" x14ac:dyDescent="0.3">
      <c r="A2168" t="s">
        <v>8718</v>
      </c>
      <c r="B2168" t="s">
        <v>327</v>
      </c>
      <c r="C2168" t="s">
        <v>3065</v>
      </c>
      <c r="D2168" t="s">
        <v>8719</v>
      </c>
      <c r="E2168">
        <v>7180000</v>
      </c>
    </row>
    <row r="2169" spans="1:5" ht="15" customHeight="1" x14ac:dyDescent="0.3">
      <c r="A2169" t="s">
        <v>8720</v>
      </c>
      <c r="B2169" t="s">
        <v>48</v>
      </c>
      <c r="C2169" t="s">
        <v>8721</v>
      </c>
      <c r="D2169" t="s">
        <v>8722</v>
      </c>
      <c r="E2169">
        <v>26300000</v>
      </c>
    </row>
    <row r="2170" spans="1:5" ht="15" customHeight="1" x14ac:dyDescent="0.3">
      <c r="A2170" t="s">
        <v>8723</v>
      </c>
      <c r="B2170" t="s">
        <v>264</v>
      </c>
      <c r="C2170" t="s">
        <v>2896</v>
      </c>
      <c r="D2170" t="s">
        <v>8724</v>
      </c>
      <c r="E2170">
        <v>16700000</v>
      </c>
    </row>
    <row r="2171" spans="1:5" ht="15" customHeight="1" x14ac:dyDescent="0.3">
      <c r="A2171" t="s">
        <v>8725</v>
      </c>
      <c r="B2171" t="s">
        <v>3077</v>
      </c>
      <c r="C2171" t="s">
        <v>8726</v>
      </c>
      <c r="D2171" t="s">
        <v>8727</v>
      </c>
      <c r="E2171">
        <v>30400000</v>
      </c>
    </row>
    <row r="2172" spans="1:5" ht="15" customHeight="1" x14ac:dyDescent="0.3">
      <c r="A2172" t="s">
        <v>8728</v>
      </c>
      <c r="B2172" t="s">
        <v>48</v>
      </c>
      <c r="C2172" t="s">
        <v>49</v>
      </c>
      <c r="D2172" t="s">
        <v>8405</v>
      </c>
      <c r="E2172">
        <v>15100000</v>
      </c>
    </row>
    <row r="2173" spans="1:5" ht="15" customHeight="1" x14ac:dyDescent="0.3">
      <c r="A2173" t="s">
        <v>8729</v>
      </c>
      <c r="B2173" t="s">
        <v>48</v>
      </c>
      <c r="C2173" t="s">
        <v>3176</v>
      </c>
      <c r="D2173" t="s">
        <v>8730</v>
      </c>
      <c r="E2173">
        <v>9500000</v>
      </c>
    </row>
    <row r="2174" spans="1:5" ht="15" customHeight="1" x14ac:dyDescent="0.3">
      <c r="A2174" t="s">
        <v>8731</v>
      </c>
      <c r="B2174" t="s">
        <v>264</v>
      </c>
      <c r="C2174" t="s">
        <v>293</v>
      </c>
      <c r="D2174" t="s">
        <v>1916</v>
      </c>
      <c r="E2174">
        <v>16400000</v>
      </c>
    </row>
    <row r="2175" spans="1:5" ht="15" customHeight="1" x14ac:dyDescent="0.3">
      <c r="A2175" t="s">
        <v>8732</v>
      </c>
      <c r="B2175" t="s">
        <v>3362</v>
      </c>
      <c r="C2175" t="s">
        <v>8439</v>
      </c>
      <c r="D2175" t="s">
        <v>8733</v>
      </c>
      <c r="E2175">
        <v>11500000</v>
      </c>
    </row>
    <row r="2176" spans="1:5" ht="15" customHeight="1" x14ac:dyDescent="0.3">
      <c r="A2176" t="s">
        <v>8734</v>
      </c>
      <c r="B2176" t="s">
        <v>93</v>
      </c>
      <c r="C2176" t="s">
        <v>3205</v>
      </c>
      <c r="D2176" t="s">
        <v>8735</v>
      </c>
      <c r="E2176">
        <v>16100000</v>
      </c>
    </row>
    <row r="2177" spans="1:5" ht="15" customHeight="1" x14ac:dyDescent="0.3">
      <c r="A2177" t="s">
        <v>8736</v>
      </c>
      <c r="B2177" t="s">
        <v>93</v>
      </c>
      <c r="C2177" t="s">
        <v>97</v>
      </c>
      <c r="D2177" t="s">
        <v>8737</v>
      </c>
      <c r="E2177">
        <v>8000000</v>
      </c>
    </row>
    <row r="2178" spans="1:5" ht="15" customHeight="1" x14ac:dyDescent="0.3">
      <c r="A2178" t="s">
        <v>8738</v>
      </c>
      <c r="B2178" t="s">
        <v>236</v>
      </c>
      <c r="C2178" t="s">
        <v>3216</v>
      </c>
      <c r="D2178" t="s">
        <v>6669</v>
      </c>
      <c r="E2178">
        <v>23800000</v>
      </c>
    </row>
    <row r="2179" spans="1:5" ht="15" customHeight="1" x14ac:dyDescent="0.3">
      <c r="A2179" t="s">
        <v>8739</v>
      </c>
      <c r="B2179" t="s">
        <v>2957</v>
      </c>
      <c r="C2179" t="s">
        <v>2958</v>
      </c>
      <c r="D2179" t="s">
        <v>8740</v>
      </c>
      <c r="E2179">
        <v>18300000</v>
      </c>
    </row>
    <row r="2180" spans="1:5" ht="15" customHeight="1" x14ac:dyDescent="0.3">
      <c r="A2180" t="s">
        <v>8741</v>
      </c>
      <c r="B2180" t="s">
        <v>30</v>
      </c>
      <c r="C2180" t="s">
        <v>45</v>
      </c>
      <c r="D2180" t="s">
        <v>8742</v>
      </c>
      <c r="E2180">
        <v>11400000</v>
      </c>
    </row>
    <row r="2181" spans="1:5" ht="15" customHeight="1" x14ac:dyDescent="0.3">
      <c r="A2181" t="s">
        <v>8743</v>
      </c>
      <c r="B2181" t="s">
        <v>264</v>
      </c>
      <c r="C2181" t="s">
        <v>2913</v>
      </c>
      <c r="D2181" t="s">
        <v>8744</v>
      </c>
      <c r="E2181">
        <v>19900000</v>
      </c>
    </row>
    <row r="2182" spans="1:5" ht="15" customHeight="1" x14ac:dyDescent="0.3">
      <c r="A2182" t="s">
        <v>8745</v>
      </c>
      <c r="B2182" t="s">
        <v>93</v>
      </c>
      <c r="C2182" t="s">
        <v>2888</v>
      </c>
      <c r="D2182" t="s">
        <v>8746</v>
      </c>
      <c r="E2182">
        <v>38500000</v>
      </c>
    </row>
    <row r="2183" spans="1:5" ht="15" customHeight="1" x14ac:dyDescent="0.3">
      <c r="A2183" t="s">
        <v>8747</v>
      </c>
      <c r="B2183" t="s">
        <v>303</v>
      </c>
      <c r="C2183">
        <v>2500</v>
      </c>
      <c r="D2183" t="s">
        <v>2889</v>
      </c>
      <c r="E2183">
        <v>30400000</v>
      </c>
    </row>
    <row r="2184" spans="1:5" ht="15" customHeight="1" x14ac:dyDescent="0.3">
      <c r="A2184" t="s">
        <v>8748</v>
      </c>
      <c r="B2184" t="s">
        <v>226</v>
      </c>
      <c r="C2184" t="s">
        <v>8749</v>
      </c>
      <c r="D2184" t="s">
        <v>8750</v>
      </c>
      <c r="E2184">
        <v>8300000</v>
      </c>
    </row>
    <row r="2185" spans="1:5" ht="15" customHeight="1" x14ac:dyDescent="0.3">
      <c r="A2185" t="s">
        <v>8751</v>
      </c>
      <c r="B2185" t="s">
        <v>181</v>
      </c>
      <c r="C2185" t="s">
        <v>2947</v>
      </c>
      <c r="D2185" t="s">
        <v>8752</v>
      </c>
      <c r="E2185">
        <v>14800000</v>
      </c>
    </row>
    <row r="2186" spans="1:5" ht="15" customHeight="1" x14ac:dyDescent="0.3">
      <c r="A2186" t="s">
        <v>8753</v>
      </c>
      <c r="B2186" t="s">
        <v>48</v>
      </c>
      <c r="C2186" t="s">
        <v>3234</v>
      </c>
      <c r="D2186" t="s">
        <v>8754</v>
      </c>
      <c r="E2186">
        <v>7740000</v>
      </c>
    </row>
    <row r="2187" spans="1:5" ht="15" customHeight="1" x14ac:dyDescent="0.3">
      <c r="A2187" t="s">
        <v>8755</v>
      </c>
      <c r="B2187" t="s">
        <v>48</v>
      </c>
      <c r="C2187" t="s">
        <v>3308</v>
      </c>
      <c r="D2187" t="s">
        <v>8756</v>
      </c>
      <c r="E2187">
        <v>14700000</v>
      </c>
    </row>
    <row r="2188" spans="1:5" ht="15" customHeight="1" x14ac:dyDescent="0.3">
      <c r="A2188" t="s">
        <v>8757</v>
      </c>
      <c r="B2188" t="s">
        <v>48</v>
      </c>
      <c r="C2188" t="s">
        <v>3176</v>
      </c>
      <c r="D2188" t="s">
        <v>8758</v>
      </c>
      <c r="E2188">
        <v>11500000</v>
      </c>
    </row>
    <row r="2189" spans="1:5" ht="15" customHeight="1" x14ac:dyDescent="0.3">
      <c r="A2189" t="s">
        <v>8759</v>
      </c>
      <c r="B2189" t="s">
        <v>242</v>
      </c>
      <c r="C2189" t="s">
        <v>2988</v>
      </c>
      <c r="D2189" t="s">
        <v>8760</v>
      </c>
      <c r="E2189">
        <v>15400000</v>
      </c>
    </row>
    <row r="2190" spans="1:5" ht="15" customHeight="1" x14ac:dyDescent="0.3">
      <c r="A2190" t="s">
        <v>8761</v>
      </c>
      <c r="B2190" t="s">
        <v>64</v>
      </c>
      <c r="C2190" t="s">
        <v>3562</v>
      </c>
      <c r="D2190" t="s">
        <v>8762</v>
      </c>
      <c r="E2190">
        <v>11700000</v>
      </c>
    </row>
    <row r="2191" spans="1:5" ht="15" customHeight="1" x14ac:dyDescent="0.3">
      <c r="A2191" t="s">
        <v>8763</v>
      </c>
      <c r="B2191" t="s">
        <v>157</v>
      </c>
      <c r="C2191" t="s">
        <v>161</v>
      </c>
      <c r="D2191" t="s">
        <v>8764</v>
      </c>
      <c r="E2191">
        <v>14000000</v>
      </c>
    </row>
    <row r="2192" spans="1:5" ht="15" customHeight="1" x14ac:dyDescent="0.3">
      <c r="A2192" t="s">
        <v>8765</v>
      </c>
      <c r="B2192" t="s">
        <v>264</v>
      </c>
      <c r="C2192" t="s">
        <v>300</v>
      </c>
      <c r="D2192" t="s">
        <v>8766</v>
      </c>
      <c r="E2192">
        <v>10400000</v>
      </c>
    </row>
    <row r="2193" spans="1:5" ht="15" customHeight="1" x14ac:dyDescent="0.3">
      <c r="A2193" t="s">
        <v>8767</v>
      </c>
      <c r="B2193" t="s">
        <v>3362</v>
      </c>
      <c r="C2193" t="s">
        <v>3956</v>
      </c>
      <c r="D2193" t="s">
        <v>8768</v>
      </c>
      <c r="E2193">
        <v>14000000</v>
      </c>
    </row>
    <row r="2194" spans="1:5" ht="15" customHeight="1" x14ac:dyDescent="0.3">
      <c r="A2194" t="s">
        <v>8769</v>
      </c>
      <c r="B2194" t="s">
        <v>30</v>
      </c>
      <c r="C2194" t="s">
        <v>2908</v>
      </c>
      <c r="D2194" t="s">
        <v>8770</v>
      </c>
      <c r="E2194">
        <v>7930000</v>
      </c>
    </row>
    <row r="2195" spans="1:5" ht="15" customHeight="1" x14ac:dyDescent="0.3">
      <c r="A2195" t="s">
        <v>8771</v>
      </c>
      <c r="B2195" t="s">
        <v>314</v>
      </c>
      <c r="C2195" t="s">
        <v>3247</v>
      </c>
      <c r="D2195" t="s">
        <v>8772</v>
      </c>
      <c r="E2195">
        <v>7800000</v>
      </c>
    </row>
    <row r="2196" spans="1:5" ht="15" customHeight="1" x14ac:dyDescent="0.3">
      <c r="A2196" t="s">
        <v>8773</v>
      </c>
      <c r="B2196" t="s">
        <v>2906</v>
      </c>
      <c r="C2196" t="s">
        <v>3191</v>
      </c>
      <c r="D2196" t="s">
        <v>8774</v>
      </c>
      <c r="E2196">
        <v>14200000</v>
      </c>
    </row>
    <row r="2197" spans="1:5" ht="15" customHeight="1" x14ac:dyDescent="0.3">
      <c r="A2197" t="s">
        <v>8775</v>
      </c>
      <c r="B2197" t="s">
        <v>236</v>
      </c>
      <c r="C2197" t="s">
        <v>5052</v>
      </c>
      <c r="D2197" t="s">
        <v>8776</v>
      </c>
      <c r="E2197">
        <v>19600000</v>
      </c>
    </row>
    <row r="2198" spans="1:5" ht="15" customHeight="1" x14ac:dyDescent="0.3">
      <c r="A2198" t="s">
        <v>8777</v>
      </c>
      <c r="B2198" t="s">
        <v>264</v>
      </c>
      <c r="C2198" t="s">
        <v>293</v>
      </c>
      <c r="D2198" t="s">
        <v>4118</v>
      </c>
      <c r="E2198">
        <v>19300000</v>
      </c>
    </row>
    <row r="2199" spans="1:5" ht="15" customHeight="1" x14ac:dyDescent="0.3">
      <c r="A2199" t="s">
        <v>8778</v>
      </c>
      <c r="B2199" t="s">
        <v>2910</v>
      </c>
      <c r="C2199" t="s">
        <v>3076</v>
      </c>
      <c r="D2199" t="s">
        <v>8779</v>
      </c>
      <c r="E2199">
        <v>13400000</v>
      </c>
    </row>
    <row r="2200" spans="1:5" ht="15" customHeight="1" x14ac:dyDescent="0.3">
      <c r="A2200" t="s">
        <v>8780</v>
      </c>
      <c r="B2200" t="s">
        <v>5473</v>
      </c>
      <c r="C2200" t="s">
        <v>8781</v>
      </c>
      <c r="D2200" t="s">
        <v>8782</v>
      </c>
      <c r="E2200">
        <v>13100000</v>
      </c>
    </row>
    <row r="2201" spans="1:5" ht="15" customHeight="1" x14ac:dyDescent="0.3">
      <c r="A2201" t="s">
        <v>8783</v>
      </c>
      <c r="B2201" t="s">
        <v>264</v>
      </c>
      <c r="C2201" t="s">
        <v>293</v>
      </c>
      <c r="D2201" t="s">
        <v>4118</v>
      </c>
      <c r="E2201">
        <v>19600000</v>
      </c>
    </row>
    <row r="2202" spans="1:5" ht="15" customHeight="1" x14ac:dyDescent="0.3">
      <c r="A2202" t="s">
        <v>8784</v>
      </c>
      <c r="B2202" t="s">
        <v>4700</v>
      </c>
      <c r="C2202" t="s">
        <v>8785</v>
      </c>
      <c r="D2202" t="s">
        <v>8786</v>
      </c>
      <c r="E2202">
        <v>26600000</v>
      </c>
    </row>
    <row r="2203" spans="1:5" ht="15" customHeight="1" x14ac:dyDescent="0.3">
      <c r="A2203" t="s">
        <v>8787</v>
      </c>
      <c r="B2203" t="s">
        <v>334</v>
      </c>
      <c r="C2203" t="s">
        <v>3274</v>
      </c>
      <c r="D2203" t="s">
        <v>8788</v>
      </c>
      <c r="E2203">
        <v>30100000</v>
      </c>
    </row>
    <row r="2204" spans="1:5" ht="15" customHeight="1" x14ac:dyDescent="0.3">
      <c r="A2204" t="s">
        <v>8789</v>
      </c>
      <c r="B2204" t="s">
        <v>334</v>
      </c>
      <c r="C2204" t="s">
        <v>2903</v>
      </c>
      <c r="D2204" t="s">
        <v>8790</v>
      </c>
      <c r="E2204">
        <v>19400000</v>
      </c>
    </row>
    <row r="2205" spans="1:5" ht="15" customHeight="1" x14ac:dyDescent="0.3">
      <c r="A2205" t="s">
        <v>8791</v>
      </c>
      <c r="B2205" t="s">
        <v>93</v>
      </c>
      <c r="C2205" t="s">
        <v>2919</v>
      </c>
      <c r="D2205" t="s">
        <v>138</v>
      </c>
      <c r="E2205">
        <v>43800000</v>
      </c>
    </row>
    <row r="2206" spans="1:5" ht="15" customHeight="1" x14ac:dyDescent="0.3">
      <c r="A2206" t="s">
        <v>8792</v>
      </c>
      <c r="B2206" t="s">
        <v>2910</v>
      </c>
      <c r="C2206" t="s">
        <v>3076</v>
      </c>
      <c r="D2206" t="s">
        <v>8793</v>
      </c>
      <c r="E2206">
        <v>13100000</v>
      </c>
    </row>
    <row r="2207" spans="1:5" ht="15" customHeight="1" x14ac:dyDescent="0.3">
      <c r="A2207" t="s">
        <v>8794</v>
      </c>
      <c r="B2207" t="s">
        <v>242</v>
      </c>
      <c r="C2207" t="s">
        <v>2981</v>
      </c>
      <c r="D2207" t="s">
        <v>8795</v>
      </c>
      <c r="E2207">
        <v>9200000</v>
      </c>
    </row>
    <row r="2208" spans="1:5" ht="15" customHeight="1" x14ac:dyDescent="0.3">
      <c r="A2208" t="s">
        <v>8796</v>
      </c>
      <c r="B2208" t="s">
        <v>167</v>
      </c>
      <c r="C2208" t="s">
        <v>2984</v>
      </c>
      <c r="D2208" t="s">
        <v>2985</v>
      </c>
      <c r="E2208">
        <v>12400000</v>
      </c>
    </row>
    <row r="2209" spans="1:5" ht="15" customHeight="1" x14ac:dyDescent="0.3">
      <c r="A2209" t="s">
        <v>8797</v>
      </c>
      <c r="B2209" t="s">
        <v>303</v>
      </c>
      <c r="C2209">
        <v>700</v>
      </c>
      <c r="D2209" t="s">
        <v>8798</v>
      </c>
      <c r="E2209">
        <v>13300000</v>
      </c>
    </row>
    <row r="2210" spans="1:5" ht="15" customHeight="1" x14ac:dyDescent="0.3">
      <c r="A2210" t="s">
        <v>8799</v>
      </c>
      <c r="B2210" t="s">
        <v>157</v>
      </c>
      <c r="C2210" t="s">
        <v>161</v>
      </c>
      <c r="D2210" t="s">
        <v>8800</v>
      </c>
      <c r="E2210">
        <v>14400000</v>
      </c>
    </row>
    <row r="2211" spans="1:5" ht="15" customHeight="1" x14ac:dyDescent="0.3">
      <c r="A2211" t="s">
        <v>8801</v>
      </c>
      <c r="B2211" t="s">
        <v>2910</v>
      </c>
      <c r="C2211" t="s">
        <v>2935</v>
      </c>
      <c r="D2211" t="s">
        <v>8802</v>
      </c>
      <c r="E2211">
        <v>10900000</v>
      </c>
    </row>
    <row r="2212" spans="1:5" ht="15" customHeight="1" x14ac:dyDescent="0.3">
      <c r="A2212" t="s">
        <v>8803</v>
      </c>
      <c r="B2212" t="s">
        <v>93</v>
      </c>
      <c r="C2212" t="s">
        <v>3480</v>
      </c>
      <c r="D2212" t="s">
        <v>8804</v>
      </c>
      <c r="E2212">
        <v>12800000</v>
      </c>
    </row>
    <row r="2213" spans="1:5" ht="15" customHeight="1" x14ac:dyDescent="0.3">
      <c r="A2213" t="s">
        <v>8805</v>
      </c>
      <c r="B2213" t="s">
        <v>93</v>
      </c>
      <c r="C2213" t="s">
        <v>97</v>
      </c>
      <c r="D2213" t="s">
        <v>8806</v>
      </c>
      <c r="E2213">
        <v>8600000</v>
      </c>
    </row>
    <row r="2214" spans="1:5" ht="15" customHeight="1" x14ac:dyDescent="0.3">
      <c r="A2214" t="s">
        <v>8807</v>
      </c>
      <c r="B2214" t="s">
        <v>264</v>
      </c>
      <c r="C2214" t="s">
        <v>2899</v>
      </c>
      <c r="D2214" t="s">
        <v>8808</v>
      </c>
      <c r="E2214">
        <v>19700000</v>
      </c>
    </row>
    <row r="2215" spans="1:5" ht="15" customHeight="1" x14ac:dyDescent="0.3">
      <c r="A2215" t="s">
        <v>8809</v>
      </c>
      <c r="B2215" t="s">
        <v>260</v>
      </c>
      <c r="C2215" t="s">
        <v>69</v>
      </c>
      <c r="D2215" t="s">
        <v>8810</v>
      </c>
      <c r="E2215">
        <v>14400000</v>
      </c>
    </row>
    <row r="2216" spans="1:5" ht="15" customHeight="1" x14ac:dyDescent="0.3">
      <c r="A2216" t="s">
        <v>8811</v>
      </c>
      <c r="B2216" t="s">
        <v>167</v>
      </c>
      <c r="C2216" t="s">
        <v>3280</v>
      </c>
      <c r="D2216" t="s">
        <v>8812</v>
      </c>
      <c r="E2216">
        <v>11500000</v>
      </c>
    </row>
    <row r="2217" spans="1:5" ht="15" customHeight="1" x14ac:dyDescent="0.3">
      <c r="A2217" t="s">
        <v>8813</v>
      </c>
      <c r="B2217" t="s">
        <v>48</v>
      </c>
      <c r="C2217" t="s">
        <v>3176</v>
      </c>
      <c r="D2217" t="s">
        <v>8814</v>
      </c>
      <c r="E2217">
        <v>10100000</v>
      </c>
    </row>
    <row r="2218" spans="1:5" ht="15" customHeight="1" x14ac:dyDescent="0.3">
      <c r="A2218" t="s">
        <v>8815</v>
      </c>
      <c r="B2218" t="s">
        <v>2886</v>
      </c>
      <c r="C2218" t="s">
        <v>3097</v>
      </c>
      <c r="D2218" t="s">
        <v>8816</v>
      </c>
      <c r="E2218">
        <v>9000000</v>
      </c>
    </row>
    <row r="2219" spans="1:5" ht="15" customHeight="1" x14ac:dyDescent="0.3">
      <c r="A2219" t="s">
        <v>8817</v>
      </c>
      <c r="B2219" t="s">
        <v>195</v>
      </c>
      <c r="C2219" t="s">
        <v>3074</v>
      </c>
      <c r="D2219" t="s">
        <v>8818</v>
      </c>
      <c r="E2219">
        <v>11800000</v>
      </c>
    </row>
    <row r="2220" spans="1:5" ht="15" customHeight="1" x14ac:dyDescent="0.3">
      <c r="A2220" t="s">
        <v>8819</v>
      </c>
      <c r="B2220" t="s">
        <v>93</v>
      </c>
      <c r="C2220" t="s">
        <v>131</v>
      </c>
      <c r="D2220" t="s">
        <v>8820</v>
      </c>
      <c r="E2220">
        <v>25300000</v>
      </c>
    </row>
    <row r="2221" spans="1:5" ht="15" customHeight="1" x14ac:dyDescent="0.3">
      <c r="A2221" t="s">
        <v>8821</v>
      </c>
      <c r="B2221" t="s">
        <v>2910</v>
      </c>
      <c r="C2221" t="s">
        <v>2999</v>
      </c>
      <c r="D2221" t="s">
        <v>8822</v>
      </c>
      <c r="E2221">
        <v>17100000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83"/>
  <sheetViews>
    <sheetView workbookViewId="0"/>
  </sheetViews>
  <sheetFormatPr baseColWidth="10" defaultColWidth="12.6640625" defaultRowHeight="15" customHeight="1" x14ac:dyDescent="0.3"/>
  <cols>
    <col min="1" max="2" width="10.6640625" customWidth="1"/>
    <col min="3" max="3" width="26.88671875" customWidth="1"/>
    <col min="4" max="5" width="14.33203125" customWidth="1"/>
    <col min="6" max="6" width="10.6640625" customWidth="1"/>
    <col min="7" max="7" width="12.109375" customWidth="1"/>
    <col min="8" max="8" width="17.77734375" customWidth="1"/>
    <col min="9" max="26" width="10.6640625" customWidth="1"/>
  </cols>
  <sheetData>
    <row r="1" spans="1:8" ht="13.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4357</v>
      </c>
      <c r="F1" s="1" t="s">
        <v>5</v>
      </c>
      <c r="G1" s="1" t="s">
        <v>4358</v>
      </c>
      <c r="H1" s="1" t="s">
        <v>4359</v>
      </c>
    </row>
    <row r="2" spans="1:8" ht="13.5" customHeight="1" x14ac:dyDescent="0.3">
      <c r="A2" s="1" t="s">
        <v>4360</v>
      </c>
      <c r="B2" s="1" t="s">
        <v>4360</v>
      </c>
      <c r="C2" s="1" t="s">
        <v>4360</v>
      </c>
      <c r="D2" s="1" t="s">
        <v>4360</v>
      </c>
      <c r="G2" s="1">
        <v>0</v>
      </c>
      <c r="H2" s="1">
        <v>0</v>
      </c>
    </row>
    <row r="3" spans="1:8" ht="13.5" customHeight="1" x14ac:dyDescent="0.3">
      <c r="A3" s="1" t="s">
        <v>3020</v>
      </c>
      <c r="B3" s="1" t="s">
        <v>3628</v>
      </c>
      <c r="C3" s="1" t="s">
        <v>4361</v>
      </c>
      <c r="D3" s="1">
        <v>2019</v>
      </c>
      <c r="E3" s="1" t="str">
        <f t="shared" ref="E3:E257" si="0">CONCATENATE(B3,C3,D3)</f>
        <v>A3A3 HB 1.4 AUT2019</v>
      </c>
      <c r="F3" s="1" t="s">
        <v>1986</v>
      </c>
      <c r="G3" s="1">
        <v>14582000</v>
      </c>
      <c r="H3" s="1">
        <v>15000000</v>
      </c>
    </row>
    <row r="4" spans="1:8" ht="13.5" customHeight="1" x14ac:dyDescent="0.3">
      <c r="A4" s="1" t="s">
        <v>3020</v>
      </c>
      <c r="B4" s="1" t="s">
        <v>3628</v>
      </c>
      <c r="C4" s="1" t="s">
        <v>4362</v>
      </c>
      <c r="D4" s="1">
        <v>2022</v>
      </c>
      <c r="E4" s="1" t="str">
        <f t="shared" si="0"/>
        <v>A3A3 SEDAN 35 TFSI 1.4 AUT2022</v>
      </c>
      <c r="F4" s="1" t="s">
        <v>2418</v>
      </c>
      <c r="G4" s="1">
        <v>22990000</v>
      </c>
      <c r="H4" s="1">
        <v>23800000</v>
      </c>
    </row>
    <row r="5" spans="1:8" ht="13.5" customHeight="1" x14ac:dyDescent="0.3">
      <c r="A5" s="1" t="s">
        <v>3020</v>
      </c>
      <c r="B5" s="1" t="s">
        <v>4363</v>
      </c>
      <c r="C5" s="1" t="s">
        <v>4364</v>
      </c>
      <c r="D5" s="1">
        <v>2023</v>
      </c>
      <c r="E5" s="1" t="str">
        <f t="shared" si="0"/>
        <v>Q2Q2 35 TFSI 1.4 AUT2023</v>
      </c>
      <c r="F5" s="1" t="s">
        <v>1793</v>
      </c>
      <c r="G5" s="1">
        <v>26190000</v>
      </c>
      <c r="H5" s="1">
        <v>22500000</v>
      </c>
    </row>
    <row r="6" spans="1:8" ht="13.5" customHeight="1" x14ac:dyDescent="0.3">
      <c r="A6" s="1" t="s">
        <v>3020</v>
      </c>
      <c r="B6" s="1" t="s">
        <v>3834</v>
      </c>
      <c r="C6" s="1" t="s">
        <v>4365</v>
      </c>
      <c r="D6" s="1">
        <v>2023</v>
      </c>
      <c r="E6" s="1" t="str">
        <f t="shared" si="0"/>
        <v>Q3Q3 35 TFSI 1.4 AUT2023</v>
      </c>
      <c r="F6" s="1" t="s">
        <v>1151</v>
      </c>
      <c r="G6" s="1">
        <v>25990000</v>
      </c>
      <c r="H6" s="1">
        <v>23200000</v>
      </c>
    </row>
    <row r="7" spans="1:8" ht="13.5" customHeight="1" x14ac:dyDescent="0.3">
      <c r="A7" s="1" t="s">
        <v>3020</v>
      </c>
      <c r="B7" s="1" t="s">
        <v>3834</v>
      </c>
      <c r="C7" s="1" t="s">
        <v>4366</v>
      </c>
      <c r="D7" s="1">
        <v>2023</v>
      </c>
      <c r="E7" s="1" t="str">
        <f t="shared" si="0"/>
        <v>Q3Q3 35 TFSI SPORTBACK 1.4 AUT2023</v>
      </c>
      <c r="F7" s="1" t="s">
        <v>1256</v>
      </c>
      <c r="G7" s="1">
        <v>33990000</v>
      </c>
      <c r="H7" s="1">
        <v>29000000</v>
      </c>
    </row>
    <row r="8" spans="1:8" ht="13.5" customHeight="1" x14ac:dyDescent="0.3">
      <c r="A8" s="1" t="s">
        <v>3020</v>
      </c>
      <c r="B8" s="1" t="s">
        <v>4367</v>
      </c>
      <c r="C8" s="1" t="s">
        <v>4368</v>
      </c>
      <c r="D8" s="1">
        <v>2012</v>
      </c>
      <c r="E8" s="1" t="str">
        <f t="shared" si="0"/>
        <v>Q5Q5 TDI 2.02012</v>
      </c>
      <c r="F8" s="1" t="s">
        <v>4369</v>
      </c>
      <c r="G8" s="1">
        <v>11000000</v>
      </c>
      <c r="H8" s="1">
        <v>15000000</v>
      </c>
    </row>
    <row r="9" spans="1:8" ht="13.5" customHeight="1" x14ac:dyDescent="0.3">
      <c r="A9" s="1" t="s">
        <v>3020</v>
      </c>
      <c r="B9" s="1" t="s">
        <v>4367</v>
      </c>
      <c r="C9" s="1" t="s">
        <v>4370</v>
      </c>
      <c r="D9" s="1">
        <v>2020</v>
      </c>
      <c r="E9" s="1" t="str">
        <f t="shared" si="0"/>
        <v>Q5Q5 TFSI 4X4 2.0 AUT2020</v>
      </c>
      <c r="F9" s="1" t="s">
        <v>2273</v>
      </c>
      <c r="G9" s="1">
        <v>25390000</v>
      </c>
      <c r="H9" s="1">
        <v>31300000</v>
      </c>
    </row>
    <row r="10" spans="1:8" ht="13.5" customHeight="1" x14ac:dyDescent="0.3">
      <c r="A10" s="1" t="s">
        <v>3020</v>
      </c>
      <c r="B10" s="1" t="s">
        <v>4367</v>
      </c>
      <c r="C10" s="1" t="s">
        <v>4370</v>
      </c>
      <c r="D10" s="1">
        <v>2020</v>
      </c>
      <c r="E10" s="1" t="str">
        <f t="shared" si="0"/>
        <v>Q5Q5 TFSI 4X4 2.0 AUT2020</v>
      </c>
      <c r="F10" s="1" t="s">
        <v>2681</v>
      </c>
      <c r="G10" s="1">
        <v>23490000</v>
      </c>
      <c r="H10" s="1">
        <v>32000000</v>
      </c>
    </row>
    <row r="11" spans="1:8" ht="13.5" customHeight="1" x14ac:dyDescent="0.3">
      <c r="A11" s="1" t="s">
        <v>3020</v>
      </c>
      <c r="B11" s="1" t="s">
        <v>4371</v>
      </c>
      <c r="C11" s="1" t="s">
        <v>4372</v>
      </c>
      <c r="D11" s="1">
        <v>2019</v>
      </c>
      <c r="E11" s="1" t="str">
        <f t="shared" si="0"/>
        <v>Q7Q7 TDI 4X4 3.0 AUT2019</v>
      </c>
      <c r="F11" s="1" t="s">
        <v>2293</v>
      </c>
      <c r="G11" s="1">
        <v>33490000</v>
      </c>
      <c r="H11" s="1">
        <v>29000000</v>
      </c>
    </row>
    <row r="12" spans="1:8" ht="13.5" customHeight="1" x14ac:dyDescent="0.3">
      <c r="A12" s="1" t="s">
        <v>15</v>
      </c>
      <c r="B12" s="1" t="s">
        <v>15</v>
      </c>
      <c r="C12" s="1" t="s">
        <v>4373</v>
      </c>
      <c r="D12" s="1">
        <v>2019</v>
      </c>
      <c r="E12" s="1" t="str">
        <f t="shared" si="0"/>
        <v>BAICX35 1.52019</v>
      </c>
      <c r="F12" s="1" t="s">
        <v>2695</v>
      </c>
      <c r="G12" s="1">
        <v>7990000</v>
      </c>
      <c r="H12" s="1">
        <v>8800000</v>
      </c>
    </row>
    <row r="13" spans="1:8" ht="13.5" customHeight="1" x14ac:dyDescent="0.3">
      <c r="A13" s="1" t="s">
        <v>15</v>
      </c>
      <c r="B13" s="1" t="s">
        <v>15</v>
      </c>
      <c r="C13" s="1" t="s">
        <v>4373</v>
      </c>
      <c r="D13" s="1">
        <v>2023</v>
      </c>
      <c r="E13" s="1" t="str">
        <f t="shared" si="0"/>
        <v>BAICX35 1.52023</v>
      </c>
      <c r="F13" s="1" t="s">
        <v>775</v>
      </c>
      <c r="G13" s="1">
        <v>7890000</v>
      </c>
      <c r="H13" s="1">
        <v>6500000</v>
      </c>
    </row>
    <row r="14" spans="1:8" ht="13.5" customHeight="1" x14ac:dyDescent="0.3">
      <c r="A14" s="1" t="s">
        <v>15</v>
      </c>
      <c r="B14" s="1" t="s">
        <v>15</v>
      </c>
      <c r="C14" s="1" t="s">
        <v>4374</v>
      </c>
      <c r="D14" s="1">
        <v>2023</v>
      </c>
      <c r="E14" s="1" t="str">
        <f t="shared" si="0"/>
        <v>BAICX55 1.5T2023</v>
      </c>
      <c r="F14" s="1" t="s">
        <v>551</v>
      </c>
      <c r="G14" s="1">
        <v>8690000</v>
      </c>
      <c r="H14" s="1">
        <v>6800000</v>
      </c>
    </row>
    <row r="15" spans="1:8" ht="13.5" customHeight="1" x14ac:dyDescent="0.3">
      <c r="A15" s="1" t="s">
        <v>15</v>
      </c>
      <c r="B15" s="1" t="s">
        <v>15</v>
      </c>
      <c r="C15" s="1" t="s">
        <v>4375</v>
      </c>
      <c r="D15" s="1">
        <v>2021</v>
      </c>
      <c r="E15" s="1" t="str">
        <f t="shared" si="0"/>
        <v>BAICX55 ELITE 1.52021</v>
      </c>
      <c r="F15" s="1" t="s">
        <v>1605</v>
      </c>
      <c r="G15" s="1">
        <v>8990000</v>
      </c>
      <c r="H15" s="1">
        <v>6500000</v>
      </c>
    </row>
    <row r="16" spans="1:8" ht="13.5" customHeight="1" x14ac:dyDescent="0.3">
      <c r="A16" s="1" t="s">
        <v>15</v>
      </c>
      <c r="B16" s="1" t="s">
        <v>2920</v>
      </c>
      <c r="C16" s="1" t="s">
        <v>4376</v>
      </c>
      <c r="D16" s="1">
        <v>2024</v>
      </c>
      <c r="E16" s="1" t="str">
        <f t="shared" si="0"/>
        <v>X55X55 1.5 AUT2024</v>
      </c>
      <c r="F16" s="1" t="s">
        <v>500</v>
      </c>
      <c r="G16" s="1">
        <v>11690000</v>
      </c>
      <c r="H16" s="1">
        <v>10000000</v>
      </c>
    </row>
    <row r="17" spans="1:8" ht="13.5" customHeight="1" x14ac:dyDescent="0.3">
      <c r="A17" s="1" t="s">
        <v>15</v>
      </c>
      <c r="B17" s="1" t="s">
        <v>2920</v>
      </c>
      <c r="C17" s="1" t="s">
        <v>4377</v>
      </c>
      <c r="D17" s="1">
        <v>2024</v>
      </c>
      <c r="E17" s="1" t="str">
        <f t="shared" si="0"/>
        <v>X55X55 TM 1.52024</v>
      </c>
      <c r="F17" s="1" t="s">
        <v>469</v>
      </c>
      <c r="G17" s="1">
        <v>8290000</v>
      </c>
      <c r="H17" s="1">
        <v>6900000</v>
      </c>
    </row>
    <row r="18" spans="1:8" ht="13.5" customHeight="1" x14ac:dyDescent="0.3">
      <c r="A18" s="1" t="s">
        <v>15</v>
      </c>
      <c r="B18" s="1" t="s">
        <v>2920</v>
      </c>
      <c r="C18" s="1" t="s">
        <v>4377</v>
      </c>
      <c r="D18" s="1">
        <v>2024</v>
      </c>
      <c r="E18" s="1" t="str">
        <f t="shared" si="0"/>
        <v>X55X55 TM 1.52024</v>
      </c>
      <c r="F18" s="1" t="s">
        <v>391</v>
      </c>
      <c r="G18" s="1">
        <v>8990000</v>
      </c>
      <c r="H18" s="1">
        <v>7500000</v>
      </c>
    </row>
    <row r="19" spans="1:8" ht="13.5" customHeight="1" x14ac:dyDescent="0.3">
      <c r="A19" s="1" t="s">
        <v>3077</v>
      </c>
      <c r="B19" s="1" t="s">
        <v>4378</v>
      </c>
      <c r="C19" s="1" t="s">
        <v>4379</v>
      </c>
      <c r="D19" s="1">
        <v>2021</v>
      </c>
      <c r="E19" s="1" t="str">
        <f t="shared" si="0"/>
        <v>118118D HB 2.0 AUT2021</v>
      </c>
      <c r="F19" s="1" t="s">
        <v>1064</v>
      </c>
      <c r="G19" s="1">
        <v>20599120</v>
      </c>
      <c r="H19" s="1">
        <v>17500000</v>
      </c>
    </row>
    <row r="20" spans="1:8" ht="13.5" customHeight="1" x14ac:dyDescent="0.3">
      <c r="A20" s="1" t="s">
        <v>3077</v>
      </c>
      <c r="B20" s="1" t="s">
        <v>3077</v>
      </c>
      <c r="C20" s="1" t="s">
        <v>4380</v>
      </c>
      <c r="D20" s="1">
        <v>2013</v>
      </c>
      <c r="E20" s="1" t="str">
        <f t="shared" si="0"/>
        <v>BMW114I BUSINESS 1.62013</v>
      </c>
      <c r="F20" s="1" t="s">
        <v>2846</v>
      </c>
      <c r="G20" s="1">
        <v>11290000</v>
      </c>
      <c r="H20" s="1">
        <v>9762500</v>
      </c>
    </row>
    <row r="21" spans="1:8" ht="13.5" customHeight="1" x14ac:dyDescent="0.3">
      <c r="A21" s="1" t="s">
        <v>3077</v>
      </c>
      <c r="B21" s="1" t="s">
        <v>3077</v>
      </c>
      <c r="C21" s="1" t="s">
        <v>4381</v>
      </c>
      <c r="D21" s="1">
        <v>2022</v>
      </c>
      <c r="E21" s="1" t="str">
        <f t="shared" si="0"/>
        <v>BMW118I HB 1.5 AUT2022</v>
      </c>
      <c r="F21" s="1" t="s">
        <v>2036</v>
      </c>
      <c r="G21" s="1">
        <v>21990000</v>
      </c>
      <c r="H21" s="1">
        <v>21500000</v>
      </c>
    </row>
    <row r="22" spans="1:8" ht="13.5" customHeight="1" x14ac:dyDescent="0.3">
      <c r="A22" s="1" t="s">
        <v>3077</v>
      </c>
      <c r="B22" s="1" t="s">
        <v>3077</v>
      </c>
      <c r="C22" s="1" t="s">
        <v>4382</v>
      </c>
      <c r="D22" s="1">
        <v>2020</v>
      </c>
      <c r="E22" s="1" t="str">
        <f t="shared" si="0"/>
        <v>BMW118I MILLENNIAL 1.5 AUT2020</v>
      </c>
      <c r="F22" s="1" t="s">
        <v>2344</v>
      </c>
      <c r="G22" s="1">
        <v>18590000</v>
      </c>
      <c r="H22" s="1">
        <v>15500000</v>
      </c>
    </row>
    <row r="23" spans="1:8" ht="13.5" customHeight="1" x14ac:dyDescent="0.3">
      <c r="A23" s="1" t="s">
        <v>3077</v>
      </c>
      <c r="B23" s="1" t="s">
        <v>3077</v>
      </c>
      <c r="C23" s="1" t="s">
        <v>4383</v>
      </c>
      <c r="D23" s="1">
        <v>2018</v>
      </c>
      <c r="E23" s="1" t="str">
        <f t="shared" si="0"/>
        <v>BMW318I LCI 1.5 AUT2018</v>
      </c>
      <c r="F23" s="1" t="s">
        <v>2337</v>
      </c>
      <c r="G23" s="1">
        <v>17590000</v>
      </c>
      <c r="H23" s="1">
        <v>14500000</v>
      </c>
    </row>
    <row r="24" spans="1:8" ht="13.5" customHeight="1" x14ac:dyDescent="0.3">
      <c r="A24" s="1" t="s">
        <v>3077</v>
      </c>
      <c r="B24" s="1" t="s">
        <v>3077</v>
      </c>
      <c r="C24" s="1" t="s">
        <v>4384</v>
      </c>
      <c r="D24" s="1">
        <v>2021</v>
      </c>
      <c r="E24" s="1" t="str">
        <f t="shared" si="0"/>
        <v>BMW320 I 2.0 AUT2021</v>
      </c>
      <c r="F24" s="1" t="s">
        <v>2195</v>
      </c>
      <c r="G24" s="1">
        <v>24990000</v>
      </c>
      <c r="H24" s="1">
        <v>21000000</v>
      </c>
    </row>
    <row r="25" spans="1:8" ht="13.5" customHeight="1" x14ac:dyDescent="0.3">
      <c r="A25" s="1" t="s">
        <v>3077</v>
      </c>
      <c r="B25" s="1" t="s">
        <v>3077</v>
      </c>
      <c r="C25" s="1" t="s">
        <v>4385</v>
      </c>
      <c r="D25" s="1">
        <v>2020</v>
      </c>
      <c r="E25" s="1" t="str">
        <f t="shared" si="0"/>
        <v>BMW418I GRAN COUPE 1.5 AUT2020</v>
      </c>
      <c r="F25" s="1" t="s">
        <v>2011</v>
      </c>
      <c r="G25" s="1">
        <v>19167515</v>
      </c>
      <c r="H25" s="1">
        <v>18000000</v>
      </c>
    </row>
    <row r="26" spans="1:8" ht="13.5" customHeight="1" x14ac:dyDescent="0.3">
      <c r="A26" s="1" t="s">
        <v>3077</v>
      </c>
      <c r="B26" s="1" t="s">
        <v>3077</v>
      </c>
      <c r="C26" s="1" t="s">
        <v>4386</v>
      </c>
      <c r="D26" s="1">
        <v>2021</v>
      </c>
      <c r="E26" s="1" t="str">
        <f t="shared" si="0"/>
        <v>BMW420I GRAN COUPE 2.0 AUT2021</v>
      </c>
      <c r="F26" s="1" t="s">
        <v>2240</v>
      </c>
      <c r="G26" s="1">
        <v>28990000</v>
      </c>
      <c r="H26" s="1">
        <v>25000000</v>
      </c>
    </row>
    <row r="27" spans="1:8" ht="13.5" customHeight="1" x14ac:dyDescent="0.3">
      <c r="A27" s="1" t="s">
        <v>3077</v>
      </c>
      <c r="B27" s="1" t="s">
        <v>3077</v>
      </c>
      <c r="C27" s="1" t="s">
        <v>4387</v>
      </c>
      <c r="D27" s="1">
        <v>2020</v>
      </c>
      <c r="E27" s="1" t="str">
        <f t="shared" si="0"/>
        <v>BMWX1 SDRIVE 18D LCI 2.0 AUT2020</v>
      </c>
      <c r="F27" s="1" t="s">
        <v>2009</v>
      </c>
      <c r="G27" s="1">
        <v>25090000</v>
      </c>
      <c r="H27" s="1">
        <v>19700000</v>
      </c>
    </row>
    <row r="28" spans="1:8" ht="13.5" customHeight="1" x14ac:dyDescent="0.3">
      <c r="A28" s="1" t="s">
        <v>3077</v>
      </c>
      <c r="B28" s="1" t="s">
        <v>3077</v>
      </c>
      <c r="C28" s="1" t="s">
        <v>4388</v>
      </c>
      <c r="D28" s="1">
        <v>2021</v>
      </c>
      <c r="E28" s="1" t="str">
        <f t="shared" si="0"/>
        <v>BMWX1 SDRIVE18I LCI 1.5 AUT2021</v>
      </c>
      <c r="F28" s="1" t="s">
        <v>1581</v>
      </c>
      <c r="G28" s="1">
        <v>21990000</v>
      </c>
      <c r="H28" s="1">
        <v>18600000</v>
      </c>
    </row>
    <row r="29" spans="1:8" ht="13.5" customHeight="1" x14ac:dyDescent="0.3">
      <c r="A29" s="1" t="s">
        <v>3077</v>
      </c>
      <c r="B29" s="1" t="s">
        <v>3077</v>
      </c>
      <c r="C29" s="1" t="s">
        <v>4388</v>
      </c>
      <c r="D29" s="1">
        <v>2021</v>
      </c>
      <c r="E29" s="1" t="str">
        <f t="shared" si="0"/>
        <v>BMWX1 SDRIVE18I LCI 1.5 AUT2021</v>
      </c>
      <c r="F29" s="1" t="s">
        <v>1908</v>
      </c>
      <c r="G29" s="1">
        <v>19990000</v>
      </c>
      <c r="H29" s="1">
        <v>19300000</v>
      </c>
    </row>
    <row r="30" spans="1:8" ht="13.5" customHeight="1" x14ac:dyDescent="0.3">
      <c r="A30" s="1" t="s">
        <v>3077</v>
      </c>
      <c r="B30" s="1" t="s">
        <v>3077</v>
      </c>
      <c r="C30" s="1" t="s">
        <v>4389</v>
      </c>
      <c r="D30" s="1">
        <v>2019</v>
      </c>
      <c r="E30" s="1" t="str">
        <f t="shared" si="0"/>
        <v>BMWX3 XDRIVE 20D 4X4 2.0 AT2019</v>
      </c>
      <c r="F30" s="1" t="s">
        <v>2336</v>
      </c>
      <c r="G30" s="1">
        <v>26490000</v>
      </c>
      <c r="H30" s="1">
        <v>19500000</v>
      </c>
    </row>
    <row r="31" spans="1:8" ht="13.5" customHeight="1" x14ac:dyDescent="0.3">
      <c r="A31" s="1" t="s">
        <v>3077</v>
      </c>
      <c r="B31" s="1" t="s">
        <v>3077</v>
      </c>
      <c r="C31" s="1" t="s">
        <v>4390</v>
      </c>
      <c r="D31" s="1">
        <v>2022</v>
      </c>
      <c r="E31" s="1" t="str">
        <f t="shared" si="0"/>
        <v>BMWX3 XDRIVE20D 2.0 AT2022</v>
      </c>
      <c r="F31" s="1" t="s">
        <v>1124</v>
      </c>
      <c r="G31" s="1">
        <v>36990000</v>
      </c>
      <c r="H31" s="1">
        <v>32000000</v>
      </c>
    </row>
    <row r="32" spans="1:8" ht="13.5" customHeight="1" x14ac:dyDescent="0.3">
      <c r="A32" s="1" t="s">
        <v>3077</v>
      </c>
      <c r="B32" s="1" t="s">
        <v>3077</v>
      </c>
      <c r="C32" s="1" t="s">
        <v>4391</v>
      </c>
      <c r="D32" s="1">
        <v>2021</v>
      </c>
      <c r="E32" s="1" t="str">
        <f t="shared" si="0"/>
        <v>BMWX3 XDRIVE30I 4X4 2.0 AUT2021</v>
      </c>
      <c r="F32" s="1" t="s">
        <v>1575</v>
      </c>
      <c r="G32" s="1">
        <v>36000000</v>
      </c>
      <c r="H32" s="1">
        <v>31000000</v>
      </c>
    </row>
    <row r="33" spans="1:8" ht="13.5" customHeight="1" x14ac:dyDescent="0.3">
      <c r="A33" s="1" t="s">
        <v>3077</v>
      </c>
      <c r="B33" s="1" t="s">
        <v>3077</v>
      </c>
      <c r="C33" s="1" t="s">
        <v>4392</v>
      </c>
      <c r="D33" s="1">
        <v>2024</v>
      </c>
      <c r="E33" s="1" t="str">
        <f t="shared" si="0"/>
        <v>BMWX4 XDRIVE 20I 4X4 2.0 AT2024</v>
      </c>
      <c r="F33" s="1" t="s">
        <v>1220</v>
      </c>
      <c r="G33" s="1">
        <v>54790000</v>
      </c>
      <c r="H33" s="1">
        <v>49000000</v>
      </c>
    </row>
    <row r="34" spans="1:8" ht="13.5" customHeight="1" x14ac:dyDescent="0.3">
      <c r="A34" s="1" t="s">
        <v>3077</v>
      </c>
      <c r="B34" s="1" t="s">
        <v>4393</v>
      </c>
      <c r="C34" s="1" t="s">
        <v>4394</v>
      </c>
      <c r="D34" s="1">
        <v>2021</v>
      </c>
      <c r="E34" s="1" t="str">
        <f t="shared" si="0"/>
        <v>X3X3 2.0 AUT2021</v>
      </c>
      <c r="F34" s="1" t="s">
        <v>817</v>
      </c>
      <c r="G34" s="1">
        <v>27890000</v>
      </c>
      <c r="H34" s="1">
        <v>24000000</v>
      </c>
    </row>
    <row r="35" spans="1:8" ht="13.5" customHeight="1" x14ac:dyDescent="0.3">
      <c r="A35" s="1" t="s">
        <v>3077</v>
      </c>
      <c r="B35" s="1" t="s">
        <v>4395</v>
      </c>
      <c r="C35" s="1" t="s">
        <v>4396</v>
      </c>
      <c r="D35" s="1">
        <v>2022</v>
      </c>
      <c r="E35" s="1" t="str">
        <f t="shared" si="0"/>
        <v>X6X6 XDRIVE 30D 4X4 3.0 AUT2022</v>
      </c>
      <c r="F35" s="1" t="s">
        <v>1020</v>
      </c>
      <c r="G35" s="1">
        <v>51500000</v>
      </c>
      <c r="H35" s="1">
        <v>57000000</v>
      </c>
    </row>
    <row r="36" spans="1:8" ht="13.5" customHeight="1" x14ac:dyDescent="0.3">
      <c r="A36" s="1" t="s">
        <v>2906</v>
      </c>
      <c r="B36" s="1" t="s">
        <v>3889</v>
      </c>
      <c r="C36" s="1" t="s">
        <v>4397</v>
      </c>
      <c r="D36" s="1">
        <v>2025</v>
      </c>
      <c r="E36" s="1" t="str">
        <f t="shared" si="0"/>
        <v>ALSVINALSVIN 1.5 AT2025</v>
      </c>
      <c r="F36" s="1" t="s">
        <v>670</v>
      </c>
      <c r="G36" s="1">
        <v>9590000</v>
      </c>
      <c r="H36" s="1">
        <v>8000000</v>
      </c>
    </row>
    <row r="37" spans="1:8" ht="13.5" customHeight="1" x14ac:dyDescent="0.3">
      <c r="A37" s="1" t="s">
        <v>2906</v>
      </c>
      <c r="B37" s="1" t="s">
        <v>2906</v>
      </c>
      <c r="C37" s="1" t="s">
        <v>4398</v>
      </c>
      <c r="D37" s="1">
        <v>2022</v>
      </c>
      <c r="E37" s="1" t="str">
        <f t="shared" si="0"/>
        <v>CHANGANALSVIN 1.42022</v>
      </c>
      <c r="F37" s="1" t="s">
        <v>1973</v>
      </c>
      <c r="G37" s="1">
        <v>7790000</v>
      </c>
      <c r="H37" s="1">
        <v>6200000</v>
      </c>
    </row>
    <row r="38" spans="1:8" ht="13.5" customHeight="1" x14ac:dyDescent="0.3">
      <c r="A38" s="1" t="s">
        <v>2906</v>
      </c>
      <c r="B38" s="1" t="s">
        <v>2906</v>
      </c>
      <c r="C38" s="1" t="s">
        <v>4399</v>
      </c>
      <c r="D38" s="1">
        <v>2022</v>
      </c>
      <c r="E38" s="1" t="str">
        <f t="shared" si="0"/>
        <v>CHANGANALSVIN LUXURY 1.42022</v>
      </c>
      <c r="F38" s="1" t="s">
        <v>1260</v>
      </c>
      <c r="G38" s="1">
        <v>6490000</v>
      </c>
      <c r="H38" s="1">
        <v>5300000</v>
      </c>
    </row>
    <row r="39" spans="1:8" ht="13.5" customHeight="1" x14ac:dyDescent="0.3">
      <c r="A39" s="1" t="s">
        <v>2906</v>
      </c>
      <c r="B39" s="1" t="s">
        <v>2906</v>
      </c>
      <c r="C39" s="1" t="s">
        <v>4400</v>
      </c>
      <c r="D39" s="1">
        <v>2020</v>
      </c>
      <c r="E39" s="1" t="str">
        <f t="shared" si="0"/>
        <v>CHANGANCS15 1.52020</v>
      </c>
      <c r="F39" s="1" t="s">
        <v>1897</v>
      </c>
      <c r="G39" s="1">
        <v>7490000</v>
      </c>
      <c r="H39" s="1">
        <v>6000000</v>
      </c>
    </row>
    <row r="40" spans="1:8" ht="13.5" customHeight="1" x14ac:dyDescent="0.3">
      <c r="A40" s="1" t="s">
        <v>2906</v>
      </c>
      <c r="B40" s="1" t="s">
        <v>2906</v>
      </c>
      <c r="C40" s="1" t="s">
        <v>4401</v>
      </c>
      <c r="D40" s="1">
        <v>2021</v>
      </c>
      <c r="E40" s="1" t="str">
        <f t="shared" si="0"/>
        <v>CHANGANCS15 1.5 AUT2021</v>
      </c>
      <c r="F40" s="1" t="s">
        <v>2143</v>
      </c>
      <c r="G40" s="1">
        <v>9990000</v>
      </c>
      <c r="H40" s="1">
        <v>8000000</v>
      </c>
    </row>
    <row r="41" spans="1:8" ht="13.5" customHeight="1" x14ac:dyDescent="0.3">
      <c r="A41" s="1" t="s">
        <v>2906</v>
      </c>
      <c r="B41" s="1" t="s">
        <v>2906</v>
      </c>
      <c r="C41" s="1" t="s">
        <v>4401</v>
      </c>
      <c r="D41" s="1">
        <v>2023</v>
      </c>
      <c r="E41" s="1" t="str">
        <f t="shared" si="0"/>
        <v>CHANGANCS15 1.5 AUT2023</v>
      </c>
      <c r="F41" s="1" t="s">
        <v>1098</v>
      </c>
      <c r="G41" s="1">
        <v>9990000</v>
      </c>
      <c r="H41" s="1">
        <v>8000000</v>
      </c>
    </row>
    <row r="42" spans="1:8" ht="13.5" customHeight="1" x14ac:dyDescent="0.3">
      <c r="A42" s="1" t="s">
        <v>2906</v>
      </c>
      <c r="B42" s="1" t="s">
        <v>2906</v>
      </c>
      <c r="C42" s="1" t="s">
        <v>4402</v>
      </c>
      <c r="D42" s="1">
        <v>2018</v>
      </c>
      <c r="E42" s="1" t="str">
        <f t="shared" si="0"/>
        <v>CHANGANCS15 HB 1.52018</v>
      </c>
      <c r="F42" s="1" t="s">
        <v>523</v>
      </c>
      <c r="G42" s="1">
        <v>5505000</v>
      </c>
      <c r="H42" s="1">
        <v>3700000</v>
      </c>
    </row>
    <row r="43" spans="1:8" ht="13.5" customHeight="1" x14ac:dyDescent="0.3">
      <c r="A43" s="1" t="s">
        <v>2906</v>
      </c>
      <c r="B43" s="1" t="s">
        <v>2906</v>
      </c>
      <c r="C43" s="1" t="s">
        <v>4402</v>
      </c>
      <c r="D43" s="1">
        <v>2020</v>
      </c>
      <c r="E43" s="1" t="str">
        <f t="shared" si="0"/>
        <v>CHANGANCS15 HB 1.52020</v>
      </c>
      <c r="F43" s="1" t="s">
        <v>4403</v>
      </c>
      <c r="G43" s="1">
        <v>8190000</v>
      </c>
      <c r="H43" s="1">
        <v>6300000</v>
      </c>
    </row>
    <row r="44" spans="1:8" ht="13.5" customHeight="1" x14ac:dyDescent="0.3">
      <c r="A44" s="1" t="s">
        <v>2906</v>
      </c>
      <c r="B44" s="1" t="s">
        <v>2906</v>
      </c>
      <c r="C44" s="1" t="s">
        <v>4402</v>
      </c>
      <c r="D44" s="1">
        <v>2022</v>
      </c>
      <c r="E44" s="1" t="str">
        <f t="shared" si="0"/>
        <v>CHANGANCS15 HB 1.52022</v>
      </c>
      <c r="F44" s="1" t="s">
        <v>717</v>
      </c>
      <c r="G44" s="1">
        <v>7590000</v>
      </c>
      <c r="H44" s="1">
        <v>5840000</v>
      </c>
    </row>
    <row r="45" spans="1:8" ht="13.5" customHeight="1" x14ac:dyDescent="0.3">
      <c r="A45" s="1" t="s">
        <v>2906</v>
      </c>
      <c r="B45" s="1" t="s">
        <v>2906</v>
      </c>
      <c r="C45" s="1" t="s">
        <v>4404</v>
      </c>
      <c r="D45" s="1">
        <v>2022</v>
      </c>
      <c r="E45" s="1" t="str">
        <f t="shared" si="0"/>
        <v>CHANGANCS15 LUXURY 1.52022</v>
      </c>
      <c r="F45" s="1" t="s">
        <v>1045</v>
      </c>
      <c r="G45" s="1">
        <v>7990000</v>
      </c>
      <c r="H45" s="1">
        <v>6300000</v>
      </c>
    </row>
    <row r="46" spans="1:8" ht="13.5" customHeight="1" x14ac:dyDescent="0.3">
      <c r="A46" s="1" t="s">
        <v>2906</v>
      </c>
      <c r="B46" s="1" t="s">
        <v>2906</v>
      </c>
      <c r="C46" s="1" t="s">
        <v>4405</v>
      </c>
      <c r="D46" s="1">
        <v>2020</v>
      </c>
      <c r="E46" s="1" t="str">
        <f t="shared" si="0"/>
        <v>CHANGANCS35 LUXURY 1.62020</v>
      </c>
      <c r="F46" s="1" t="s">
        <v>416</v>
      </c>
      <c r="G46" s="1">
        <v>8790000</v>
      </c>
      <c r="H46" s="1">
        <v>6750000</v>
      </c>
    </row>
    <row r="47" spans="1:8" ht="13.5" customHeight="1" x14ac:dyDescent="0.3">
      <c r="A47" s="1" t="s">
        <v>2906</v>
      </c>
      <c r="B47" s="1" t="s">
        <v>2906</v>
      </c>
      <c r="C47" s="1" t="s">
        <v>4406</v>
      </c>
      <c r="D47" s="1">
        <v>2021</v>
      </c>
      <c r="E47" s="1" t="str">
        <f t="shared" si="0"/>
        <v>CHANGANCS35 PLUS TURBO 1.4 AUT2021</v>
      </c>
      <c r="F47" s="1" t="s">
        <v>2167</v>
      </c>
      <c r="G47" s="1">
        <v>12290000</v>
      </c>
      <c r="H47" s="1">
        <v>10000000</v>
      </c>
    </row>
    <row r="48" spans="1:8" ht="13.5" customHeight="1" x14ac:dyDescent="0.3">
      <c r="A48" s="1" t="s">
        <v>2906</v>
      </c>
      <c r="B48" s="1" t="s">
        <v>2906</v>
      </c>
      <c r="C48" s="1" t="s">
        <v>4407</v>
      </c>
      <c r="D48" s="1">
        <v>2019</v>
      </c>
      <c r="E48" s="1" t="str">
        <f t="shared" si="0"/>
        <v>CHANGANCS55 1.52019</v>
      </c>
      <c r="F48" s="1" t="s">
        <v>1339</v>
      </c>
      <c r="G48" s="1">
        <v>8990000</v>
      </c>
      <c r="H48" s="1">
        <v>7500000</v>
      </c>
    </row>
    <row r="49" spans="1:8" ht="13.5" customHeight="1" x14ac:dyDescent="0.3">
      <c r="A49" s="1" t="s">
        <v>2906</v>
      </c>
      <c r="B49" s="1" t="s">
        <v>2906</v>
      </c>
      <c r="C49" s="1" t="s">
        <v>4407</v>
      </c>
      <c r="D49" s="1">
        <v>2020</v>
      </c>
      <c r="E49" s="1" t="str">
        <f t="shared" si="0"/>
        <v>CHANGANCS55 1.52020</v>
      </c>
      <c r="F49" s="1" t="s">
        <v>1346</v>
      </c>
      <c r="G49" s="1">
        <v>8990000</v>
      </c>
      <c r="H49" s="1">
        <v>7000000</v>
      </c>
    </row>
    <row r="50" spans="1:8" ht="13.5" customHeight="1" x14ac:dyDescent="0.3">
      <c r="A50" s="1" t="s">
        <v>2906</v>
      </c>
      <c r="B50" s="1" t="s">
        <v>2906</v>
      </c>
      <c r="C50" s="1" t="s">
        <v>4407</v>
      </c>
      <c r="D50" s="1">
        <v>2020</v>
      </c>
      <c r="E50" s="1" t="str">
        <f t="shared" si="0"/>
        <v>CHANGANCS55 1.52020</v>
      </c>
      <c r="F50" s="1" t="s">
        <v>1163</v>
      </c>
      <c r="G50" s="1">
        <v>8990000</v>
      </c>
      <c r="H50" s="1">
        <v>7000000</v>
      </c>
    </row>
    <row r="51" spans="1:8" ht="13.5" customHeight="1" x14ac:dyDescent="0.3">
      <c r="A51" s="1" t="s">
        <v>2906</v>
      </c>
      <c r="B51" s="1" t="s">
        <v>2906</v>
      </c>
      <c r="C51" s="1" t="s">
        <v>4408</v>
      </c>
      <c r="D51" s="1">
        <v>2018</v>
      </c>
      <c r="E51" s="1" t="str">
        <f t="shared" si="0"/>
        <v>CHANGANCX70 1.62018</v>
      </c>
      <c r="F51" s="1" t="s">
        <v>1505</v>
      </c>
      <c r="G51" s="1">
        <v>6790000</v>
      </c>
      <c r="H51" s="1">
        <v>5740000</v>
      </c>
    </row>
    <row r="52" spans="1:8" ht="13.5" customHeight="1" x14ac:dyDescent="0.3">
      <c r="A52" s="1" t="s">
        <v>2906</v>
      </c>
      <c r="B52" s="1" t="s">
        <v>2906</v>
      </c>
      <c r="C52" s="1" t="s">
        <v>4408</v>
      </c>
      <c r="D52" s="1">
        <v>2018</v>
      </c>
      <c r="E52" s="1" t="str">
        <f t="shared" si="0"/>
        <v>CHANGANCX70 1.62018</v>
      </c>
      <c r="F52" s="1" t="s">
        <v>2215</v>
      </c>
      <c r="G52" s="1">
        <v>7990000</v>
      </c>
      <c r="H52" s="1">
        <v>6200000</v>
      </c>
    </row>
    <row r="53" spans="1:8" ht="13.5" customHeight="1" x14ac:dyDescent="0.3">
      <c r="A53" s="1" t="s">
        <v>2906</v>
      </c>
      <c r="B53" s="1" t="s">
        <v>2906</v>
      </c>
      <c r="C53" s="1" t="s">
        <v>4408</v>
      </c>
      <c r="D53" s="1">
        <v>2019</v>
      </c>
      <c r="E53" s="1" t="str">
        <f t="shared" si="0"/>
        <v>CHANGANCX70 1.62019</v>
      </c>
      <c r="F53" s="1" t="s">
        <v>1604</v>
      </c>
      <c r="G53" s="1">
        <v>8390000</v>
      </c>
      <c r="H53" s="1">
        <v>6975000</v>
      </c>
    </row>
    <row r="54" spans="1:8" ht="13.5" customHeight="1" x14ac:dyDescent="0.3">
      <c r="A54" s="1" t="s">
        <v>2906</v>
      </c>
      <c r="B54" s="1" t="s">
        <v>2906</v>
      </c>
      <c r="C54" s="1" t="s">
        <v>4408</v>
      </c>
      <c r="D54" s="1">
        <v>2020</v>
      </c>
      <c r="E54" s="1" t="str">
        <f t="shared" si="0"/>
        <v>CHANGANCX70 1.62020</v>
      </c>
      <c r="F54" s="1" t="s">
        <v>1716</v>
      </c>
      <c r="G54" s="1">
        <v>9190000</v>
      </c>
      <c r="H54" s="1">
        <v>7500000</v>
      </c>
    </row>
    <row r="55" spans="1:8" ht="13.5" customHeight="1" x14ac:dyDescent="0.3">
      <c r="A55" s="1" t="s">
        <v>2906</v>
      </c>
      <c r="B55" s="1" t="s">
        <v>2906</v>
      </c>
      <c r="C55" s="1" t="s">
        <v>4408</v>
      </c>
      <c r="D55" s="1">
        <v>2022</v>
      </c>
      <c r="E55" s="1" t="str">
        <f t="shared" si="0"/>
        <v>CHANGANCX70 1.62022</v>
      </c>
      <c r="F55" s="1" t="s">
        <v>836</v>
      </c>
      <c r="G55" s="1">
        <v>8790000</v>
      </c>
      <c r="H55" s="1">
        <v>7000000</v>
      </c>
    </row>
    <row r="56" spans="1:8" ht="13.5" customHeight="1" x14ac:dyDescent="0.3">
      <c r="A56" s="1" t="s">
        <v>2906</v>
      </c>
      <c r="B56" s="1" t="s">
        <v>2906</v>
      </c>
      <c r="C56" s="1" t="s">
        <v>4409</v>
      </c>
      <c r="D56" s="1">
        <v>2022</v>
      </c>
      <c r="E56" s="1" t="str">
        <f t="shared" si="0"/>
        <v>CHANGANCX70 ELITE 1.52022</v>
      </c>
      <c r="F56" s="1" t="s">
        <v>581</v>
      </c>
      <c r="G56" s="1">
        <v>8590000</v>
      </c>
      <c r="H56" s="1">
        <v>8000000</v>
      </c>
    </row>
    <row r="57" spans="1:8" ht="13.5" customHeight="1" x14ac:dyDescent="0.3">
      <c r="A57" s="1" t="s">
        <v>2906</v>
      </c>
      <c r="B57" s="1" t="s">
        <v>2906</v>
      </c>
      <c r="C57" s="1" t="s">
        <v>4410</v>
      </c>
      <c r="D57" s="1">
        <v>2020</v>
      </c>
      <c r="E57" s="1" t="str">
        <f t="shared" si="0"/>
        <v>CHANGANCX70 ELITE 1.5 AUT2020</v>
      </c>
      <c r="F57" s="1" t="s">
        <v>657</v>
      </c>
      <c r="G57" s="1">
        <v>8790000</v>
      </c>
      <c r="H57" s="1">
        <v>7600000</v>
      </c>
    </row>
    <row r="58" spans="1:8" ht="13.5" customHeight="1" x14ac:dyDescent="0.3">
      <c r="A58" s="1" t="s">
        <v>2906</v>
      </c>
      <c r="B58" s="1" t="s">
        <v>2906</v>
      </c>
      <c r="C58" s="1" t="s">
        <v>4411</v>
      </c>
      <c r="D58" s="1">
        <v>2020</v>
      </c>
      <c r="E58" s="1" t="str">
        <f t="shared" si="0"/>
        <v>CHANGANCX70 LUXURY 1.62020</v>
      </c>
      <c r="F58" s="1" t="s">
        <v>1197</v>
      </c>
      <c r="G58" s="1">
        <v>8490000</v>
      </c>
      <c r="H58" s="1">
        <v>6600000</v>
      </c>
    </row>
    <row r="59" spans="1:8" ht="13.5" customHeight="1" x14ac:dyDescent="0.3">
      <c r="A59" s="1" t="s">
        <v>2906</v>
      </c>
      <c r="B59" s="1" t="s">
        <v>2906</v>
      </c>
      <c r="C59" s="1" t="s">
        <v>4412</v>
      </c>
      <c r="D59" s="1">
        <v>2021</v>
      </c>
      <c r="E59" s="1" t="str">
        <f t="shared" si="0"/>
        <v>CHANGANCX70 OTTO 1.62021</v>
      </c>
      <c r="F59" s="1" t="s">
        <v>1539</v>
      </c>
      <c r="G59" s="1">
        <v>8990000</v>
      </c>
      <c r="H59" s="1">
        <v>7500000</v>
      </c>
    </row>
    <row r="60" spans="1:8" ht="13.5" customHeight="1" x14ac:dyDescent="0.3">
      <c r="A60" s="1" t="s">
        <v>2906</v>
      </c>
      <c r="B60" s="1" t="s">
        <v>2906</v>
      </c>
      <c r="C60" s="1" t="s">
        <v>4412</v>
      </c>
      <c r="D60" s="1">
        <v>2022</v>
      </c>
      <c r="E60" s="1" t="str">
        <f t="shared" si="0"/>
        <v>CHANGANCX70 OTTO 1.62022</v>
      </c>
      <c r="F60" s="1" t="s">
        <v>1180</v>
      </c>
      <c r="G60" s="1">
        <v>9990000</v>
      </c>
      <c r="H60" s="1">
        <v>8000000</v>
      </c>
    </row>
    <row r="61" spans="1:8" ht="13.5" customHeight="1" x14ac:dyDescent="0.3">
      <c r="A61" s="1" t="s">
        <v>2906</v>
      </c>
      <c r="B61" s="1" t="s">
        <v>2906</v>
      </c>
      <c r="C61" s="1" t="s">
        <v>4413</v>
      </c>
      <c r="D61" s="1">
        <v>2022</v>
      </c>
      <c r="E61" s="1" t="str">
        <f t="shared" si="0"/>
        <v>CHANGANCX70 T 1.5 AUT2022</v>
      </c>
      <c r="F61" s="1" t="s">
        <v>1806</v>
      </c>
      <c r="G61" s="1">
        <v>11390000</v>
      </c>
      <c r="H61" s="1">
        <v>9500000</v>
      </c>
    </row>
    <row r="62" spans="1:8" ht="13.5" customHeight="1" x14ac:dyDescent="0.3">
      <c r="A62" s="1" t="s">
        <v>2906</v>
      </c>
      <c r="B62" s="1" t="s">
        <v>2906</v>
      </c>
      <c r="C62" s="1" t="s">
        <v>4414</v>
      </c>
      <c r="D62" s="1">
        <v>2021</v>
      </c>
      <c r="E62" s="1" t="str">
        <f t="shared" si="0"/>
        <v>CHANGANHUNTER 1.92021</v>
      </c>
      <c r="F62" s="1" t="s">
        <v>1147</v>
      </c>
      <c r="G62" s="1">
        <v>11590000</v>
      </c>
      <c r="H62" s="1">
        <v>9400000</v>
      </c>
    </row>
    <row r="63" spans="1:8" ht="13.5" customHeight="1" x14ac:dyDescent="0.3">
      <c r="A63" s="1" t="s">
        <v>2906</v>
      </c>
      <c r="B63" s="1" t="s">
        <v>2906</v>
      </c>
      <c r="C63" s="1" t="s">
        <v>4415</v>
      </c>
      <c r="D63" s="1">
        <v>2022</v>
      </c>
      <c r="E63" s="1" t="str">
        <f t="shared" si="0"/>
        <v>CHANGANHUNTER LUXURY 1.92022</v>
      </c>
      <c r="F63" s="1" t="s">
        <v>2246</v>
      </c>
      <c r="G63" s="1">
        <v>12990000</v>
      </c>
      <c r="H63" s="1">
        <v>11000000</v>
      </c>
    </row>
    <row r="64" spans="1:8" ht="13.5" customHeight="1" x14ac:dyDescent="0.3">
      <c r="A64" s="1" t="s">
        <v>2906</v>
      </c>
      <c r="B64" s="1" t="s">
        <v>2906</v>
      </c>
      <c r="C64" s="1" t="s">
        <v>4416</v>
      </c>
      <c r="D64" s="1">
        <v>2022</v>
      </c>
      <c r="E64" s="1" t="str">
        <f t="shared" si="0"/>
        <v>CHANGANNEW CS15 ELITE 1.52022</v>
      </c>
      <c r="F64" s="1" t="s">
        <v>1804</v>
      </c>
      <c r="G64" s="1">
        <v>8559650</v>
      </c>
      <c r="H64" s="1">
        <v>7000000</v>
      </c>
    </row>
    <row r="65" spans="1:8" ht="13.5" customHeight="1" x14ac:dyDescent="0.3">
      <c r="A65" s="1" t="s">
        <v>2906</v>
      </c>
      <c r="B65" s="1" t="s">
        <v>2906</v>
      </c>
      <c r="C65" s="1" t="s">
        <v>4417</v>
      </c>
      <c r="D65" s="1">
        <v>2021</v>
      </c>
      <c r="E65" s="1" t="str">
        <f t="shared" si="0"/>
        <v>CHANGANNEW CS15 ELITE HB 1.52021</v>
      </c>
      <c r="F65" s="1" t="s">
        <v>945</v>
      </c>
      <c r="G65" s="1">
        <v>7390000</v>
      </c>
      <c r="H65" s="1">
        <v>6000000</v>
      </c>
    </row>
    <row r="66" spans="1:8" ht="13.5" customHeight="1" x14ac:dyDescent="0.3">
      <c r="A66" s="1" t="s">
        <v>2906</v>
      </c>
      <c r="B66" s="1" t="s">
        <v>2906</v>
      </c>
      <c r="C66" s="1" t="s">
        <v>4418</v>
      </c>
      <c r="D66" s="1">
        <v>2021</v>
      </c>
      <c r="E66" s="1" t="str">
        <f t="shared" si="0"/>
        <v>CHANGANNEW CS15 ELITE HB 1.5 AUT2021</v>
      </c>
      <c r="F66" s="1" t="s">
        <v>1664</v>
      </c>
      <c r="G66" s="1">
        <v>8390000</v>
      </c>
      <c r="H66" s="1">
        <v>7000000</v>
      </c>
    </row>
    <row r="67" spans="1:8" ht="13.5" customHeight="1" x14ac:dyDescent="0.3">
      <c r="A67" s="1" t="s">
        <v>2906</v>
      </c>
      <c r="B67" s="1" t="s">
        <v>2906</v>
      </c>
      <c r="C67" s="1" t="s">
        <v>4419</v>
      </c>
      <c r="D67" s="1">
        <v>2022</v>
      </c>
      <c r="E67" s="1" t="str">
        <f t="shared" si="0"/>
        <v>CHANGANNEW CS35 LUX 1.4 AUT2022</v>
      </c>
      <c r="F67" s="1" t="s">
        <v>875</v>
      </c>
      <c r="G67" s="1">
        <v>10490000</v>
      </c>
      <c r="H67" s="1">
        <v>8600000</v>
      </c>
    </row>
    <row r="68" spans="1:8" ht="13.5" customHeight="1" x14ac:dyDescent="0.3">
      <c r="A68" s="1" t="s">
        <v>2906</v>
      </c>
      <c r="B68" s="1" t="s">
        <v>2906</v>
      </c>
      <c r="C68" s="1" t="s">
        <v>4420</v>
      </c>
      <c r="D68" s="1">
        <v>2022</v>
      </c>
      <c r="E68" s="1" t="str">
        <f t="shared" si="0"/>
        <v>CHANGANUNI T TURBO 1.5 AUT2022</v>
      </c>
      <c r="F68" s="1" t="s">
        <v>1800</v>
      </c>
      <c r="G68" s="1">
        <v>15990000</v>
      </c>
      <c r="H68" s="1">
        <v>14000000</v>
      </c>
    </row>
    <row r="69" spans="1:8" ht="13.5" customHeight="1" x14ac:dyDescent="0.3">
      <c r="A69" s="1" t="s">
        <v>2906</v>
      </c>
      <c r="B69" s="1" t="s">
        <v>2906</v>
      </c>
      <c r="C69" s="1" t="s">
        <v>4420</v>
      </c>
      <c r="D69" s="1">
        <v>2023</v>
      </c>
      <c r="E69" s="1" t="str">
        <f t="shared" si="0"/>
        <v>CHANGANUNI T TURBO 1.5 AUT2023</v>
      </c>
      <c r="F69" s="1" t="s">
        <v>1393</v>
      </c>
      <c r="G69" s="1">
        <v>17590000</v>
      </c>
      <c r="H69" s="1">
        <v>15000000</v>
      </c>
    </row>
    <row r="70" spans="1:8" ht="13.5" customHeight="1" x14ac:dyDescent="0.3">
      <c r="A70" s="1" t="s">
        <v>2906</v>
      </c>
      <c r="B70" s="1" t="s">
        <v>2907</v>
      </c>
      <c r="C70" s="1" t="s">
        <v>4421</v>
      </c>
      <c r="D70" s="1">
        <v>2023</v>
      </c>
      <c r="E70" s="1" t="str">
        <f t="shared" si="0"/>
        <v>CS15CS15 HB 4X2 1.52023</v>
      </c>
      <c r="F70" s="1" t="s">
        <v>451</v>
      </c>
      <c r="G70" s="1">
        <v>8390000</v>
      </c>
      <c r="H70" s="1">
        <v>7000000</v>
      </c>
    </row>
    <row r="71" spans="1:8" ht="13.5" customHeight="1" x14ac:dyDescent="0.3">
      <c r="A71" s="1" t="s">
        <v>2906</v>
      </c>
      <c r="B71" s="1" t="s">
        <v>2907</v>
      </c>
      <c r="C71" s="1" t="s">
        <v>4422</v>
      </c>
      <c r="D71" s="1">
        <v>2022</v>
      </c>
      <c r="E71" s="1" t="str">
        <f t="shared" si="0"/>
        <v>CS15NEW CS15 LUXURY 1.52022</v>
      </c>
      <c r="F71" s="1" t="s">
        <v>419</v>
      </c>
      <c r="G71" s="1">
        <v>7690000</v>
      </c>
      <c r="H71" s="1">
        <v>5700000</v>
      </c>
    </row>
    <row r="72" spans="1:8" ht="13.5" customHeight="1" x14ac:dyDescent="0.3">
      <c r="A72" s="1" t="s">
        <v>2906</v>
      </c>
      <c r="B72" s="1" t="s">
        <v>4423</v>
      </c>
      <c r="C72" s="1" t="s">
        <v>4424</v>
      </c>
      <c r="D72" s="1">
        <v>2025</v>
      </c>
      <c r="E72" s="1" t="str">
        <f t="shared" si="0"/>
        <v>CS35CS35 PLUS 1.4 AUT2025</v>
      </c>
      <c r="F72" s="1" t="s">
        <v>479</v>
      </c>
      <c r="G72" s="1">
        <v>12990000</v>
      </c>
      <c r="H72" s="1">
        <v>10000000</v>
      </c>
    </row>
    <row r="73" spans="1:8" ht="13.5" customHeight="1" x14ac:dyDescent="0.3">
      <c r="A73" s="1" t="s">
        <v>2906</v>
      </c>
      <c r="B73" s="1" t="s">
        <v>4425</v>
      </c>
      <c r="C73" s="1" t="s">
        <v>4426</v>
      </c>
      <c r="D73" s="1">
        <v>2023</v>
      </c>
      <c r="E73" s="1" t="str">
        <f t="shared" si="0"/>
        <v>M201M201 1.22023</v>
      </c>
      <c r="F73" s="1" t="s">
        <v>1069</v>
      </c>
      <c r="G73" s="1">
        <v>6790000</v>
      </c>
      <c r="H73" s="1">
        <v>4800000</v>
      </c>
    </row>
    <row r="74" spans="1:8" ht="13.5" customHeight="1" x14ac:dyDescent="0.3">
      <c r="A74" s="1" t="s">
        <v>2906</v>
      </c>
      <c r="B74" s="1" t="s">
        <v>4425</v>
      </c>
      <c r="C74" s="1" t="s">
        <v>4427</v>
      </c>
      <c r="D74" s="1">
        <v>2025</v>
      </c>
      <c r="E74" s="1" t="str">
        <f t="shared" si="0"/>
        <v>M201MS201 1.22025</v>
      </c>
      <c r="F74" s="1" t="s">
        <v>974</v>
      </c>
      <c r="G74" s="1">
        <v>8390000</v>
      </c>
      <c r="H74" s="1">
        <v>7000000</v>
      </c>
    </row>
    <row r="75" spans="1:8" ht="13.5" customHeight="1" x14ac:dyDescent="0.3">
      <c r="A75" s="1" t="s">
        <v>2906</v>
      </c>
      <c r="B75" s="1" t="s">
        <v>3191</v>
      </c>
      <c r="C75" s="1" t="s">
        <v>4428</v>
      </c>
      <c r="D75" s="1">
        <v>2022</v>
      </c>
      <c r="E75" s="1" t="str">
        <f t="shared" si="0"/>
        <v>UNI-TUNIT LUXURY 1.5 AUT2022</v>
      </c>
      <c r="F75" s="1" t="s">
        <v>765</v>
      </c>
      <c r="G75" s="1">
        <v>13590000</v>
      </c>
      <c r="H75" s="1">
        <v>11500000</v>
      </c>
    </row>
    <row r="76" spans="1:8" ht="13.5" customHeight="1" x14ac:dyDescent="0.3">
      <c r="A76" s="1" t="s">
        <v>30</v>
      </c>
      <c r="B76" s="1" t="s">
        <v>31</v>
      </c>
      <c r="C76" s="1" t="s">
        <v>4429</v>
      </c>
      <c r="D76" s="1">
        <v>2018</v>
      </c>
      <c r="E76" s="1" t="str">
        <f t="shared" si="0"/>
        <v>ARRIZO 3ARRIZO 3 GLS 1.52018</v>
      </c>
      <c r="F76" s="1" t="s">
        <v>2091</v>
      </c>
      <c r="G76" s="1">
        <v>5490000</v>
      </c>
      <c r="H76" s="1">
        <v>4089916</v>
      </c>
    </row>
    <row r="77" spans="1:8" ht="13.5" customHeight="1" x14ac:dyDescent="0.3">
      <c r="A77" s="1" t="s">
        <v>30</v>
      </c>
      <c r="B77" s="1" t="s">
        <v>31</v>
      </c>
      <c r="C77" s="1" t="s">
        <v>4429</v>
      </c>
      <c r="D77" s="1">
        <v>2018</v>
      </c>
      <c r="E77" s="1" t="str">
        <f t="shared" si="0"/>
        <v>ARRIZO 3ARRIZO 3 GLS 1.52018</v>
      </c>
      <c r="F77" s="1" t="s">
        <v>2118</v>
      </c>
      <c r="G77" s="1">
        <v>5700000</v>
      </c>
      <c r="H77" s="1">
        <v>4000000</v>
      </c>
    </row>
    <row r="78" spans="1:8" ht="13.5" customHeight="1" x14ac:dyDescent="0.3">
      <c r="A78" s="1" t="s">
        <v>30</v>
      </c>
      <c r="B78" s="1" t="s">
        <v>31</v>
      </c>
      <c r="C78" s="1" t="s">
        <v>4429</v>
      </c>
      <c r="D78" s="1">
        <v>2019</v>
      </c>
      <c r="E78" s="1" t="str">
        <f t="shared" si="0"/>
        <v>ARRIZO 3ARRIZO 3 GLS 1.52019</v>
      </c>
      <c r="F78" s="1" t="s">
        <v>4430</v>
      </c>
      <c r="G78" s="1">
        <v>6790000</v>
      </c>
      <c r="H78" s="1">
        <v>5000000</v>
      </c>
    </row>
    <row r="79" spans="1:8" ht="13.5" customHeight="1" x14ac:dyDescent="0.3">
      <c r="A79" s="1" t="s">
        <v>30</v>
      </c>
      <c r="B79" s="1" t="s">
        <v>4431</v>
      </c>
      <c r="C79" s="1" t="s">
        <v>4432</v>
      </c>
      <c r="D79" s="1">
        <v>2021</v>
      </c>
      <c r="E79" s="1" t="str">
        <f t="shared" si="0"/>
        <v>ARRIZO 5ARRIZO 5 1.52021</v>
      </c>
      <c r="F79" s="1" t="s">
        <v>1568</v>
      </c>
      <c r="G79" s="1">
        <v>6690000</v>
      </c>
      <c r="H79" s="1">
        <v>5500000</v>
      </c>
    </row>
    <row r="80" spans="1:8" ht="13.5" customHeight="1" x14ac:dyDescent="0.3">
      <c r="A80" s="1" t="s">
        <v>30</v>
      </c>
      <c r="B80" s="1" t="s">
        <v>4431</v>
      </c>
      <c r="C80" s="1" t="s">
        <v>4432</v>
      </c>
      <c r="D80" s="1">
        <v>2021</v>
      </c>
      <c r="E80" s="1" t="str">
        <f t="shared" si="0"/>
        <v>ARRIZO 5ARRIZO 5 1.52021</v>
      </c>
      <c r="F80" s="1" t="s">
        <v>1636</v>
      </c>
      <c r="G80" s="1">
        <v>6090000</v>
      </c>
      <c r="H80" s="1">
        <v>5000000</v>
      </c>
    </row>
    <row r="81" spans="1:8" ht="13.5" customHeight="1" x14ac:dyDescent="0.3">
      <c r="A81" s="1" t="s">
        <v>30</v>
      </c>
      <c r="B81" s="1" t="s">
        <v>4431</v>
      </c>
      <c r="C81" s="1" t="s">
        <v>4432</v>
      </c>
      <c r="D81" s="1">
        <v>2022</v>
      </c>
      <c r="E81" s="1" t="str">
        <f t="shared" si="0"/>
        <v>ARRIZO 5ARRIZO 5 1.52022</v>
      </c>
      <c r="F81" s="1" t="s">
        <v>1014</v>
      </c>
      <c r="G81" s="1">
        <v>6990000</v>
      </c>
      <c r="H81" s="1">
        <v>5450000</v>
      </c>
    </row>
    <row r="82" spans="1:8" ht="13.5" customHeight="1" x14ac:dyDescent="0.3">
      <c r="A82" s="1" t="s">
        <v>30</v>
      </c>
      <c r="B82" s="1" t="s">
        <v>4431</v>
      </c>
      <c r="C82" s="1" t="s">
        <v>4433</v>
      </c>
      <c r="D82" s="1">
        <v>2020</v>
      </c>
      <c r="E82" s="1" t="str">
        <f t="shared" si="0"/>
        <v>ARRIZO 5ARRIZO 5 GLS 1.52020</v>
      </c>
      <c r="F82" s="1" t="s">
        <v>1619</v>
      </c>
      <c r="G82" s="1">
        <v>6090000</v>
      </c>
      <c r="H82" s="1">
        <v>5000000</v>
      </c>
    </row>
    <row r="83" spans="1:8" ht="13.5" customHeight="1" x14ac:dyDescent="0.3">
      <c r="A83" s="1" t="s">
        <v>30</v>
      </c>
      <c r="B83" s="1" t="s">
        <v>4434</v>
      </c>
      <c r="C83" s="1" t="s">
        <v>4435</v>
      </c>
      <c r="D83" s="1">
        <v>2015</v>
      </c>
      <c r="E83" s="1" t="str">
        <f t="shared" si="0"/>
        <v>GRAND TIGGOGRAND TIGGO GLS 2.02015</v>
      </c>
      <c r="F83" s="1" t="s">
        <v>2133</v>
      </c>
      <c r="G83" s="1">
        <v>7390000</v>
      </c>
      <c r="H83" s="1">
        <v>5500000</v>
      </c>
    </row>
    <row r="84" spans="1:8" ht="13.5" customHeight="1" x14ac:dyDescent="0.3">
      <c r="A84" s="1" t="s">
        <v>30</v>
      </c>
      <c r="B84" s="1" t="s">
        <v>3586</v>
      </c>
      <c r="C84" s="1" t="s">
        <v>4436</v>
      </c>
      <c r="D84" s="1">
        <v>2021</v>
      </c>
      <c r="E84" s="1" t="str">
        <f t="shared" si="0"/>
        <v>K60K60 GLS 1.52021</v>
      </c>
      <c r="F84" s="1" t="s">
        <v>2667</v>
      </c>
      <c r="G84" s="1">
        <v>10490000</v>
      </c>
      <c r="H84" s="1">
        <v>9800000</v>
      </c>
    </row>
    <row r="85" spans="1:8" ht="13.5" customHeight="1" x14ac:dyDescent="0.3">
      <c r="A85" s="1" t="s">
        <v>30</v>
      </c>
      <c r="B85" s="1" t="s">
        <v>2908</v>
      </c>
      <c r="C85" s="1" t="s">
        <v>4437</v>
      </c>
      <c r="D85" s="1">
        <v>2019</v>
      </c>
      <c r="E85" s="1" t="str">
        <f t="shared" si="0"/>
        <v>TIGGO 2TIGGO 2 1.52019</v>
      </c>
      <c r="F85" s="1" t="s">
        <v>1407</v>
      </c>
      <c r="G85" s="1">
        <v>6990000</v>
      </c>
      <c r="H85" s="1">
        <v>5800000</v>
      </c>
    </row>
    <row r="86" spans="1:8" ht="13.5" customHeight="1" x14ac:dyDescent="0.3">
      <c r="A86" s="1" t="s">
        <v>30</v>
      </c>
      <c r="B86" s="1" t="s">
        <v>2908</v>
      </c>
      <c r="C86" s="1" t="s">
        <v>4437</v>
      </c>
      <c r="D86" s="1">
        <v>2019</v>
      </c>
      <c r="E86" s="1" t="str">
        <f t="shared" si="0"/>
        <v>TIGGO 2TIGGO 2 1.52019</v>
      </c>
      <c r="F86" s="1" t="s">
        <v>1772</v>
      </c>
      <c r="G86" s="1">
        <v>6290000</v>
      </c>
      <c r="H86" s="1">
        <v>4800000</v>
      </c>
    </row>
    <row r="87" spans="1:8" ht="13.5" customHeight="1" x14ac:dyDescent="0.3">
      <c r="A87" s="1" t="s">
        <v>30</v>
      </c>
      <c r="B87" s="1" t="s">
        <v>2908</v>
      </c>
      <c r="C87" s="1" t="s">
        <v>4437</v>
      </c>
      <c r="D87" s="1">
        <v>2021</v>
      </c>
      <c r="E87" s="1" t="str">
        <f t="shared" si="0"/>
        <v>TIGGO 2TIGGO 2 1.52021</v>
      </c>
      <c r="F87" s="1" t="s">
        <v>1126</v>
      </c>
      <c r="G87" s="1">
        <v>6790000</v>
      </c>
      <c r="H87" s="1">
        <v>5200000</v>
      </c>
    </row>
    <row r="88" spans="1:8" ht="13.5" customHeight="1" x14ac:dyDescent="0.3">
      <c r="A88" s="1" t="s">
        <v>30</v>
      </c>
      <c r="B88" s="1" t="s">
        <v>2908</v>
      </c>
      <c r="C88" s="1" t="s">
        <v>4437</v>
      </c>
      <c r="D88" s="1">
        <v>2021</v>
      </c>
      <c r="E88" s="1" t="str">
        <f t="shared" si="0"/>
        <v>TIGGO 2TIGGO 2 1.52021</v>
      </c>
      <c r="F88" s="1" t="s">
        <v>1932</v>
      </c>
      <c r="G88" s="1">
        <v>8100000</v>
      </c>
      <c r="H88" s="1">
        <v>6300000</v>
      </c>
    </row>
    <row r="89" spans="1:8" ht="13.5" customHeight="1" x14ac:dyDescent="0.3">
      <c r="A89" s="1" t="s">
        <v>30</v>
      </c>
      <c r="B89" s="1" t="s">
        <v>2908</v>
      </c>
      <c r="C89" s="1" t="s">
        <v>4437</v>
      </c>
      <c r="D89" s="1">
        <v>2021</v>
      </c>
      <c r="E89" s="1" t="str">
        <f t="shared" si="0"/>
        <v>TIGGO 2TIGGO 2 1.52021</v>
      </c>
      <c r="F89" s="1" t="s">
        <v>1829</v>
      </c>
      <c r="G89" s="1">
        <v>6827515</v>
      </c>
      <c r="H89" s="1">
        <v>6000000</v>
      </c>
    </row>
    <row r="90" spans="1:8" ht="13.5" customHeight="1" x14ac:dyDescent="0.3">
      <c r="A90" s="1" t="s">
        <v>30</v>
      </c>
      <c r="B90" s="1" t="s">
        <v>2908</v>
      </c>
      <c r="C90" s="1" t="s">
        <v>4437</v>
      </c>
      <c r="D90" s="1">
        <v>2021</v>
      </c>
      <c r="E90" s="1" t="str">
        <f t="shared" si="0"/>
        <v>TIGGO 2TIGGO 2 1.52021</v>
      </c>
      <c r="F90" s="1" t="s">
        <v>1778</v>
      </c>
      <c r="G90" s="1">
        <v>7990000</v>
      </c>
      <c r="H90" s="1">
        <v>6000000</v>
      </c>
    </row>
    <row r="91" spans="1:8" ht="13.5" customHeight="1" x14ac:dyDescent="0.3">
      <c r="A91" s="1" t="s">
        <v>30</v>
      </c>
      <c r="B91" s="1" t="s">
        <v>2908</v>
      </c>
      <c r="C91" s="1" t="s">
        <v>4437</v>
      </c>
      <c r="D91" s="1">
        <v>2021</v>
      </c>
      <c r="E91" s="1" t="str">
        <f t="shared" si="0"/>
        <v>TIGGO 2TIGGO 2 1.52021</v>
      </c>
      <c r="F91" s="1" t="s">
        <v>986</v>
      </c>
      <c r="G91" s="1">
        <v>6490000</v>
      </c>
      <c r="H91" s="1">
        <v>5100000</v>
      </c>
    </row>
    <row r="92" spans="1:8" ht="13.5" customHeight="1" x14ac:dyDescent="0.3">
      <c r="A92" s="1" t="s">
        <v>30</v>
      </c>
      <c r="B92" s="1" t="s">
        <v>2908</v>
      </c>
      <c r="C92" s="1" t="s">
        <v>4437</v>
      </c>
      <c r="D92" s="1">
        <v>2022</v>
      </c>
      <c r="E92" s="1" t="str">
        <f t="shared" si="0"/>
        <v>TIGGO 2TIGGO 2 1.52022</v>
      </c>
      <c r="F92" s="1" t="s">
        <v>557</v>
      </c>
      <c r="G92" s="1">
        <v>6890000</v>
      </c>
      <c r="H92" s="1">
        <v>5500000</v>
      </c>
    </row>
    <row r="93" spans="1:8" ht="13.5" customHeight="1" x14ac:dyDescent="0.3">
      <c r="A93" s="1" t="s">
        <v>30</v>
      </c>
      <c r="B93" s="1" t="s">
        <v>2908</v>
      </c>
      <c r="C93" s="1" t="s">
        <v>4437</v>
      </c>
      <c r="D93" s="1">
        <v>2022</v>
      </c>
      <c r="E93" s="1" t="str">
        <f t="shared" si="0"/>
        <v>TIGGO 2TIGGO 2 1.52022</v>
      </c>
      <c r="F93" s="1" t="s">
        <v>2160</v>
      </c>
      <c r="G93" s="1">
        <v>7290000</v>
      </c>
      <c r="H93" s="1">
        <v>6400000</v>
      </c>
    </row>
    <row r="94" spans="1:8" ht="13.5" customHeight="1" x14ac:dyDescent="0.3">
      <c r="A94" s="1" t="s">
        <v>30</v>
      </c>
      <c r="B94" s="1" t="s">
        <v>2908</v>
      </c>
      <c r="C94" s="1" t="s">
        <v>4437</v>
      </c>
      <c r="D94" s="1">
        <v>2022</v>
      </c>
      <c r="E94" s="1" t="str">
        <f t="shared" si="0"/>
        <v>TIGGO 2TIGGO 2 1.52022</v>
      </c>
      <c r="F94" s="1" t="s">
        <v>1422</v>
      </c>
      <c r="G94" s="1">
        <v>7990000</v>
      </c>
      <c r="H94" s="1">
        <v>6000000</v>
      </c>
    </row>
    <row r="95" spans="1:8" ht="13.5" customHeight="1" x14ac:dyDescent="0.3">
      <c r="A95" s="1" t="s">
        <v>30</v>
      </c>
      <c r="B95" s="1" t="s">
        <v>2908</v>
      </c>
      <c r="C95" s="1" t="s">
        <v>4437</v>
      </c>
      <c r="D95" s="1">
        <v>2022</v>
      </c>
      <c r="E95" s="1" t="str">
        <f t="shared" si="0"/>
        <v>TIGGO 2TIGGO 2 1.52022</v>
      </c>
      <c r="F95" s="1" t="s">
        <v>485</v>
      </c>
      <c r="G95" s="1">
        <v>7990000</v>
      </c>
      <c r="H95" s="1">
        <v>6600000</v>
      </c>
    </row>
    <row r="96" spans="1:8" ht="13.5" customHeight="1" x14ac:dyDescent="0.3">
      <c r="A96" s="1" t="s">
        <v>30</v>
      </c>
      <c r="B96" s="1" t="s">
        <v>2908</v>
      </c>
      <c r="C96" s="1" t="s">
        <v>4437</v>
      </c>
      <c r="D96" s="1">
        <v>2022</v>
      </c>
      <c r="E96" s="1" t="str">
        <f t="shared" si="0"/>
        <v>TIGGO 2TIGGO 2 1.52022</v>
      </c>
      <c r="F96" s="1" t="s">
        <v>780</v>
      </c>
      <c r="G96" s="1">
        <v>6690000</v>
      </c>
      <c r="H96" s="1">
        <v>5350000</v>
      </c>
    </row>
    <row r="97" spans="1:8" ht="13.5" customHeight="1" x14ac:dyDescent="0.3">
      <c r="A97" s="1" t="s">
        <v>30</v>
      </c>
      <c r="B97" s="1" t="s">
        <v>2908</v>
      </c>
      <c r="C97" s="1" t="s">
        <v>4437</v>
      </c>
      <c r="D97" s="1">
        <v>2022</v>
      </c>
      <c r="E97" s="1" t="str">
        <f t="shared" si="0"/>
        <v>TIGGO 2TIGGO 2 1.52022</v>
      </c>
      <c r="F97" s="1" t="s">
        <v>861</v>
      </c>
      <c r="G97" s="1">
        <v>8390000</v>
      </c>
      <c r="H97" s="1">
        <v>7000000</v>
      </c>
    </row>
    <row r="98" spans="1:8" ht="13.5" customHeight="1" x14ac:dyDescent="0.3">
      <c r="A98" s="1" t="s">
        <v>30</v>
      </c>
      <c r="B98" s="1" t="s">
        <v>2908</v>
      </c>
      <c r="C98" s="1" t="s">
        <v>4437</v>
      </c>
      <c r="D98" s="1">
        <v>2023</v>
      </c>
      <c r="E98" s="1" t="str">
        <f t="shared" si="0"/>
        <v>TIGGO 2TIGGO 2 1.52023</v>
      </c>
      <c r="F98" s="1" t="s">
        <v>1133</v>
      </c>
      <c r="G98" s="1">
        <v>8390000</v>
      </c>
      <c r="H98" s="1">
        <v>7000000</v>
      </c>
    </row>
    <row r="99" spans="1:8" ht="13.5" customHeight="1" x14ac:dyDescent="0.3">
      <c r="A99" s="1" t="s">
        <v>30</v>
      </c>
      <c r="B99" s="1" t="s">
        <v>2908</v>
      </c>
      <c r="C99" s="1" t="s">
        <v>4438</v>
      </c>
      <c r="D99" s="1">
        <v>2019</v>
      </c>
      <c r="E99" s="1" t="str">
        <f t="shared" si="0"/>
        <v>TIGGO 2TIGGO 2 GL 1.52019</v>
      </c>
      <c r="F99" s="1" t="s">
        <v>1860</v>
      </c>
      <c r="G99" s="1">
        <v>5990000</v>
      </c>
      <c r="H99" s="1">
        <v>4800000</v>
      </c>
    </row>
    <row r="100" spans="1:8" ht="13.5" customHeight="1" x14ac:dyDescent="0.3">
      <c r="A100" s="1" t="s">
        <v>30</v>
      </c>
      <c r="B100" s="1" t="s">
        <v>2908</v>
      </c>
      <c r="C100" s="1" t="s">
        <v>4439</v>
      </c>
      <c r="D100" s="1">
        <v>2018</v>
      </c>
      <c r="E100" s="1" t="str">
        <f t="shared" si="0"/>
        <v>TIGGO 2TIGGO 2 GLS 1.52018</v>
      </c>
      <c r="F100" s="1" t="s">
        <v>1642</v>
      </c>
      <c r="G100" s="1">
        <v>6690000</v>
      </c>
      <c r="H100" s="1">
        <v>5474790</v>
      </c>
    </row>
    <row r="101" spans="1:8" ht="13.5" customHeight="1" x14ac:dyDescent="0.3">
      <c r="A101" s="1" t="s">
        <v>30</v>
      </c>
      <c r="B101" s="1" t="s">
        <v>2908</v>
      </c>
      <c r="C101" s="1" t="s">
        <v>4439</v>
      </c>
      <c r="D101" s="1">
        <v>2019</v>
      </c>
      <c r="E101" s="1" t="str">
        <f t="shared" si="0"/>
        <v>TIGGO 2TIGGO 2 GLS 1.52019</v>
      </c>
      <c r="F101" s="1" t="s">
        <v>1638</v>
      </c>
      <c r="G101" s="1">
        <v>6690000</v>
      </c>
      <c r="H101" s="1">
        <v>5500000</v>
      </c>
    </row>
    <row r="102" spans="1:8" ht="13.5" customHeight="1" x14ac:dyDescent="0.3">
      <c r="A102" s="1" t="s">
        <v>30</v>
      </c>
      <c r="B102" s="1" t="s">
        <v>2908</v>
      </c>
      <c r="C102" s="1" t="s">
        <v>4439</v>
      </c>
      <c r="D102" s="1">
        <v>2019</v>
      </c>
      <c r="E102" s="1" t="str">
        <f t="shared" si="0"/>
        <v>TIGGO 2TIGGO 2 GLS 1.52019</v>
      </c>
      <c r="F102" s="1" t="s">
        <v>1746</v>
      </c>
      <c r="G102" s="1">
        <v>6514620</v>
      </c>
      <c r="H102" s="1">
        <v>5350000</v>
      </c>
    </row>
    <row r="103" spans="1:8" ht="13.5" customHeight="1" x14ac:dyDescent="0.3">
      <c r="A103" s="1" t="s">
        <v>30</v>
      </c>
      <c r="B103" s="1" t="s">
        <v>2908</v>
      </c>
      <c r="C103" s="1" t="s">
        <v>4439</v>
      </c>
      <c r="D103" s="1">
        <v>2020</v>
      </c>
      <c r="E103" s="1" t="str">
        <f t="shared" si="0"/>
        <v>TIGGO 2TIGGO 2 GLS 1.52020</v>
      </c>
      <c r="F103" s="1" t="s">
        <v>1196</v>
      </c>
      <c r="G103" s="1">
        <v>6990000</v>
      </c>
      <c r="H103" s="1">
        <v>5300000</v>
      </c>
    </row>
    <row r="104" spans="1:8" ht="13.5" customHeight="1" x14ac:dyDescent="0.3">
      <c r="A104" s="1" t="s">
        <v>30</v>
      </c>
      <c r="B104" s="1" t="s">
        <v>2908</v>
      </c>
      <c r="C104" s="1" t="s">
        <v>4439</v>
      </c>
      <c r="D104" s="1">
        <v>2021</v>
      </c>
      <c r="E104" s="1" t="str">
        <f t="shared" si="0"/>
        <v>TIGGO 2TIGGO 2 GLS 1.52021</v>
      </c>
      <c r="F104" s="1" t="s">
        <v>893</v>
      </c>
      <c r="G104" s="1">
        <v>7290000</v>
      </c>
      <c r="H104" s="1">
        <v>5800000</v>
      </c>
    </row>
    <row r="105" spans="1:8" ht="13.5" customHeight="1" x14ac:dyDescent="0.3">
      <c r="A105" s="1" t="s">
        <v>30</v>
      </c>
      <c r="B105" s="1" t="s">
        <v>2908</v>
      </c>
      <c r="C105" s="1" t="s">
        <v>4440</v>
      </c>
      <c r="D105" s="1">
        <v>2022</v>
      </c>
      <c r="E105" s="1" t="str">
        <f t="shared" si="0"/>
        <v>TIGGO 2TIGGO 2 GLS 1.5 AUT2022</v>
      </c>
      <c r="F105" s="1" t="s">
        <v>673</v>
      </c>
      <c r="G105" s="1">
        <v>8290000</v>
      </c>
      <c r="H105" s="1">
        <v>6600000</v>
      </c>
    </row>
    <row r="106" spans="1:8" ht="13.5" customHeight="1" x14ac:dyDescent="0.3">
      <c r="A106" s="1" t="s">
        <v>30</v>
      </c>
      <c r="B106" s="1" t="s">
        <v>2908</v>
      </c>
      <c r="C106" s="1" t="s">
        <v>4441</v>
      </c>
      <c r="D106" s="1">
        <v>2021</v>
      </c>
      <c r="E106" s="1" t="str">
        <f t="shared" si="0"/>
        <v>TIGGO 2TIGGO 2 GLS CVT 1.5 AUT2021</v>
      </c>
      <c r="F106" s="1" t="s">
        <v>1365</v>
      </c>
      <c r="G106" s="1">
        <v>8690000</v>
      </c>
      <c r="H106" s="1">
        <v>7200000</v>
      </c>
    </row>
    <row r="107" spans="1:8" ht="13.5" customHeight="1" x14ac:dyDescent="0.3">
      <c r="A107" s="1" t="s">
        <v>30</v>
      </c>
      <c r="B107" s="1" t="s">
        <v>2908</v>
      </c>
      <c r="C107" s="1" t="s">
        <v>4441</v>
      </c>
      <c r="D107" s="1">
        <v>2021</v>
      </c>
      <c r="E107" s="1" t="str">
        <f t="shared" si="0"/>
        <v>TIGGO 2TIGGO 2 GLS CVT 1.5 AUT2021</v>
      </c>
      <c r="F107" s="1" t="s">
        <v>1421</v>
      </c>
      <c r="G107" s="1">
        <v>8790000</v>
      </c>
      <c r="H107" s="1">
        <v>7300000</v>
      </c>
    </row>
    <row r="108" spans="1:8" ht="13.5" customHeight="1" x14ac:dyDescent="0.3">
      <c r="A108" s="1" t="s">
        <v>30</v>
      </c>
      <c r="B108" s="1" t="s">
        <v>2908</v>
      </c>
      <c r="C108" s="1" t="s">
        <v>4441</v>
      </c>
      <c r="D108" s="1">
        <v>2022</v>
      </c>
      <c r="E108" s="1" t="str">
        <f t="shared" si="0"/>
        <v>TIGGO 2TIGGO 2 GLS CVT 1.5 AUT2022</v>
      </c>
      <c r="F108" s="1" t="s">
        <v>2321</v>
      </c>
      <c r="G108" s="1">
        <v>9990000</v>
      </c>
      <c r="H108" s="1">
        <v>8500000</v>
      </c>
    </row>
    <row r="109" spans="1:8" ht="13.5" customHeight="1" x14ac:dyDescent="0.3">
      <c r="A109" s="1" t="s">
        <v>30</v>
      </c>
      <c r="B109" s="1" t="s">
        <v>2908</v>
      </c>
      <c r="C109" s="1" t="s">
        <v>4441</v>
      </c>
      <c r="D109" s="1">
        <v>2023</v>
      </c>
      <c r="E109" s="1" t="str">
        <f t="shared" si="0"/>
        <v>TIGGO 2TIGGO 2 GLS CVT 1.5 AUT2023</v>
      </c>
      <c r="F109" s="1" t="s">
        <v>1917</v>
      </c>
      <c r="G109" s="1">
        <v>8790000</v>
      </c>
      <c r="H109" s="1">
        <v>7100000</v>
      </c>
    </row>
    <row r="110" spans="1:8" ht="13.5" customHeight="1" x14ac:dyDescent="0.3">
      <c r="A110" s="1" t="s">
        <v>30</v>
      </c>
      <c r="B110" s="1" t="s">
        <v>2908</v>
      </c>
      <c r="C110" s="1" t="s">
        <v>4441</v>
      </c>
      <c r="D110" s="1">
        <v>2023</v>
      </c>
      <c r="E110" s="1" t="str">
        <f t="shared" si="0"/>
        <v>TIGGO 2TIGGO 2 GLS CVT 1.5 AUT2023</v>
      </c>
      <c r="F110" s="1" t="s">
        <v>2179</v>
      </c>
      <c r="G110" s="1">
        <v>9990000</v>
      </c>
      <c r="H110" s="1">
        <v>8990000</v>
      </c>
    </row>
    <row r="111" spans="1:8" ht="13.5" customHeight="1" x14ac:dyDescent="0.3">
      <c r="A111" s="1" t="s">
        <v>30</v>
      </c>
      <c r="B111" s="1" t="s">
        <v>2908</v>
      </c>
      <c r="C111" s="1" t="s">
        <v>4441</v>
      </c>
      <c r="D111" s="1">
        <v>2023</v>
      </c>
      <c r="E111" s="1" t="str">
        <f t="shared" si="0"/>
        <v>TIGGO 2TIGGO 2 GLS CVT 1.5 AUT2023</v>
      </c>
      <c r="F111" s="1" t="s">
        <v>637</v>
      </c>
      <c r="G111" s="1">
        <v>8790000</v>
      </c>
      <c r="H111" s="1">
        <v>7000000</v>
      </c>
    </row>
    <row r="112" spans="1:8" ht="13.5" customHeight="1" x14ac:dyDescent="0.3">
      <c r="A112" s="1" t="s">
        <v>30</v>
      </c>
      <c r="B112" s="1" t="s">
        <v>2908</v>
      </c>
      <c r="C112" s="1" t="s">
        <v>4441</v>
      </c>
      <c r="D112" s="1">
        <v>2023</v>
      </c>
      <c r="E112" s="1" t="str">
        <f t="shared" si="0"/>
        <v>TIGGO 2TIGGO 2 GLS CVT 1.5 AUT2023</v>
      </c>
      <c r="F112" s="1" t="s">
        <v>482</v>
      </c>
      <c r="G112" s="1">
        <v>9190000</v>
      </c>
      <c r="H112" s="1">
        <v>7500000</v>
      </c>
    </row>
    <row r="113" spans="1:8" ht="13.5" customHeight="1" x14ac:dyDescent="0.3">
      <c r="A113" s="1" t="s">
        <v>30</v>
      </c>
      <c r="B113" s="1" t="s">
        <v>2908</v>
      </c>
      <c r="C113" s="1" t="s">
        <v>4441</v>
      </c>
      <c r="D113" s="1">
        <v>2024</v>
      </c>
      <c r="E113" s="1" t="str">
        <f t="shared" si="0"/>
        <v>TIGGO 2TIGGO 2 GLS CVT 1.5 AUT2024</v>
      </c>
      <c r="F113" s="1" t="s">
        <v>448</v>
      </c>
      <c r="G113" s="1">
        <v>8347530</v>
      </c>
      <c r="H113" s="1">
        <v>8100000</v>
      </c>
    </row>
    <row r="114" spans="1:8" ht="13.5" customHeight="1" x14ac:dyDescent="0.3">
      <c r="A114" s="1" t="s">
        <v>30</v>
      </c>
      <c r="B114" s="1" t="s">
        <v>2908</v>
      </c>
      <c r="C114" s="1" t="s">
        <v>4442</v>
      </c>
      <c r="D114" s="1">
        <v>2021</v>
      </c>
      <c r="E114" s="1" t="str">
        <f t="shared" si="0"/>
        <v>TIGGO 2TIGGO 2 GLS MT 1.52021</v>
      </c>
      <c r="F114" s="1" t="s">
        <v>956</v>
      </c>
      <c r="G114" s="1">
        <v>6990000</v>
      </c>
      <c r="H114" s="1">
        <v>5900000</v>
      </c>
    </row>
    <row r="115" spans="1:8" ht="13.5" customHeight="1" x14ac:dyDescent="0.3">
      <c r="A115" s="1" t="s">
        <v>30</v>
      </c>
      <c r="B115" s="1" t="s">
        <v>2908</v>
      </c>
      <c r="C115" s="1" t="s">
        <v>4442</v>
      </c>
      <c r="D115" s="1">
        <v>2021</v>
      </c>
      <c r="E115" s="1" t="str">
        <f t="shared" si="0"/>
        <v>TIGGO 2TIGGO 2 GLS MT 1.52021</v>
      </c>
      <c r="F115" s="1" t="s">
        <v>1819</v>
      </c>
      <c r="G115" s="1">
        <v>7490000</v>
      </c>
      <c r="H115" s="1">
        <v>5300000</v>
      </c>
    </row>
    <row r="116" spans="1:8" ht="13.5" customHeight="1" x14ac:dyDescent="0.3">
      <c r="A116" s="1" t="s">
        <v>30</v>
      </c>
      <c r="B116" s="1" t="s">
        <v>2908</v>
      </c>
      <c r="C116" s="1" t="s">
        <v>4442</v>
      </c>
      <c r="D116" s="1">
        <v>2022</v>
      </c>
      <c r="E116" s="1" t="str">
        <f t="shared" si="0"/>
        <v>TIGGO 2TIGGO 2 GLS MT 1.52022</v>
      </c>
      <c r="F116" s="1" t="s">
        <v>364</v>
      </c>
      <c r="G116" s="1">
        <v>7490000</v>
      </c>
      <c r="H116" s="1">
        <v>6150000</v>
      </c>
    </row>
    <row r="117" spans="1:8" ht="13.5" customHeight="1" x14ac:dyDescent="0.3">
      <c r="A117" s="1" t="s">
        <v>30</v>
      </c>
      <c r="B117" s="1" t="s">
        <v>2908</v>
      </c>
      <c r="C117" s="1" t="s">
        <v>4442</v>
      </c>
      <c r="D117" s="1">
        <v>2022</v>
      </c>
      <c r="E117" s="1" t="str">
        <f t="shared" si="0"/>
        <v>TIGGO 2TIGGO 2 GLS MT 1.52022</v>
      </c>
      <c r="F117" s="1" t="s">
        <v>410</v>
      </c>
      <c r="G117" s="1">
        <v>7490000</v>
      </c>
      <c r="H117" s="1">
        <v>6000000</v>
      </c>
    </row>
    <row r="118" spans="1:8" ht="13.5" customHeight="1" x14ac:dyDescent="0.3">
      <c r="A118" s="1" t="s">
        <v>30</v>
      </c>
      <c r="B118" s="1" t="s">
        <v>2908</v>
      </c>
      <c r="C118" s="1" t="s">
        <v>4442</v>
      </c>
      <c r="D118" s="1">
        <v>2023</v>
      </c>
      <c r="E118" s="1" t="str">
        <f t="shared" si="0"/>
        <v>TIGGO 2TIGGO 2 GLS MT 1.52023</v>
      </c>
      <c r="F118" s="1" t="s">
        <v>559</v>
      </c>
      <c r="G118" s="1">
        <v>7890000</v>
      </c>
      <c r="H118" s="1">
        <v>6500000</v>
      </c>
    </row>
    <row r="119" spans="1:8" ht="13.5" customHeight="1" x14ac:dyDescent="0.3">
      <c r="A119" s="1" t="s">
        <v>30</v>
      </c>
      <c r="B119" s="1" t="s">
        <v>2908</v>
      </c>
      <c r="C119" s="1" t="s">
        <v>4442</v>
      </c>
      <c r="D119" s="1">
        <v>2023</v>
      </c>
      <c r="E119" s="1" t="str">
        <f t="shared" si="0"/>
        <v>TIGGO 2TIGGO 2 GLS MT 1.52023</v>
      </c>
      <c r="F119" s="1" t="s">
        <v>373</v>
      </c>
      <c r="G119" s="1">
        <v>8289000</v>
      </c>
      <c r="H119" s="1">
        <v>6550000</v>
      </c>
    </row>
    <row r="120" spans="1:8" ht="13.5" customHeight="1" x14ac:dyDescent="0.3">
      <c r="A120" s="1" t="s">
        <v>30</v>
      </c>
      <c r="B120" s="1" t="s">
        <v>2908</v>
      </c>
      <c r="C120" s="1" t="s">
        <v>4442</v>
      </c>
      <c r="D120" s="1">
        <v>2023</v>
      </c>
      <c r="E120" s="1" t="str">
        <f t="shared" si="0"/>
        <v>TIGGO 2TIGGO 2 GLS MT 1.52023</v>
      </c>
      <c r="F120" s="1" t="s">
        <v>936</v>
      </c>
      <c r="G120" s="1">
        <v>7990000</v>
      </c>
      <c r="H120" s="1">
        <v>6600000</v>
      </c>
    </row>
    <row r="121" spans="1:8" ht="13.5" customHeight="1" x14ac:dyDescent="0.3">
      <c r="A121" s="1" t="s">
        <v>30</v>
      </c>
      <c r="B121" s="1" t="s">
        <v>2908</v>
      </c>
      <c r="C121" s="1" t="s">
        <v>4442</v>
      </c>
      <c r="D121" s="1">
        <v>2024</v>
      </c>
      <c r="E121" s="1" t="str">
        <f t="shared" si="0"/>
        <v>TIGGO 2TIGGO 2 GLS MT 1.52024</v>
      </c>
      <c r="F121" s="1" t="s">
        <v>561</v>
      </c>
      <c r="G121" s="1">
        <v>9590000</v>
      </c>
      <c r="H121" s="1">
        <v>8000000</v>
      </c>
    </row>
    <row r="122" spans="1:8" ht="13.5" customHeight="1" x14ac:dyDescent="0.3">
      <c r="A122" s="1" t="s">
        <v>30</v>
      </c>
      <c r="B122" s="1" t="s">
        <v>2908</v>
      </c>
      <c r="C122" s="1" t="s">
        <v>4443</v>
      </c>
      <c r="D122" s="1">
        <v>2018</v>
      </c>
      <c r="E122" s="1" t="str">
        <f t="shared" si="0"/>
        <v>TIGGO 2TIGGO 2 GLX 1.52018</v>
      </c>
      <c r="F122" s="1" t="s">
        <v>2131</v>
      </c>
      <c r="G122" s="1">
        <v>7390000</v>
      </c>
      <c r="H122" s="1">
        <v>5500000</v>
      </c>
    </row>
    <row r="123" spans="1:8" ht="13.5" customHeight="1" x14ac:dyDescent="0.3">
      <c r="A123" s="1" t="s">
        <v>30</v>
      </c>
      <c r="B123" s="1" t="s">
        <v>2908</v>
      </c>
      <c r="C123" s="1" t="s">
        <v>4443</v>
      </c>
      <c r="D123" s="1">
        <v>2018</v>
      </c>
      <c r="E123" s="1" t="str">
        <f t="shared" si="0"/>
        <v>TIGGO 2TIGGO 2 GLX 1.52018</v>
      </c>
      <c r="F123" s="1" t="s">
        <v>1597</v>
      </c>
      <c r="G123" s="1">
        <v>5490000</v>
      </c>
      <c r="H123" s="1">
        <v>4500000</v>
      </c>
    </row>
    <row r="124" spans="1:8" ht="13.5" customHeight="1" x14ac:dyDescent="0.3">
      <c r="A124" s="1" t="s">
        <v>30</v>
      </c>
      <c r="B124" s="1" t="s">
        <v>2908</v>
      </c>
      <c r="C124" s="1" t="s">
        <v>4443</v>
      </c>
      <c r="D124" s="1">
        <v>2019</v>
      </c>
      <c r="E124" s="1" t="str">
        <f t="shared" si="0"/>
        <v>TIGGO 2TIGGO 2 GLX 1.52019</v>
      </c>
      <c r="F124" s="1" t="s">
        <v>542</v>
      </c>
      <c r="G124" s="1">
        <v>7290000</v>
      </c>
      <c r="H124" s="1">
        <v>4500000</v>
      </c>
    </row>
    <row r="125" spans="1:8" ht="13.5" customHeight="1" x14ac:dyDescent="0.3">
      <c r="A125" s="1" t="s">
        <v>30</v>
      </c>
      <c r="B125" s="1" t="s">
        <v>2908</v>
      </c>
      <c r="C125" s="1" t="s">
        <v>4443</v>
      </c>
      <c r="D125" s="1">
        <v>2021</v>
      </c>
      <c r="E125" s="1" t="str">
        <f t="shared" si="0"/>
        <v>TIGGO 2TIGGO 2 GLX 1.52021</v>
      </c>
      <c r="F125" s="1" t="s">
        <v>377</v>
      </c>
      <c r="G125" s="1">
        <v>6790000</v>
      </c>
      <c r="H125" s="1">
        <v>5400000</v>
      </c>
    </row>
    <row r="126" spans="1:8" ht="13.5" customHeight="1" x14ac:dyDescent="0.3">
      <c r="A126" s="1" t="s">
        <v>30</v>
      </c>
      <c r="B126" s="1" t="s">
        <v>2908</v>
      </c>
      <c r="C126" s="1" t="s">
        <v>4443</v>
      </c>
      <c r="D126" s="1">
        <v>2021</v>
      </c>
      <c r="E126" s="1" t="str">
        <f t="shared" si="0"/>
        <v>TIGGO 2TIGGO 2 GLX 1.52021</v>
      </c>
      <c r="F126" s="1" t="s">
        <v>2135</v>
      </c>
      <c r="G126" s="1">
        <v>7490000</v>
      </c>
      <c r="H126" s="1">
        <v>6000000</v>
      </c>
    </row>
    <row r="127" spans="1:8" ht="13.5" customHeight="1" x14ac:dyDescent="0.3">
      <c r="A127" s="1" t="s">
        <v>30</v>
      </c>
      <c r="B127" s="1" t="s">
        <v>2908</v>
      </c>
      <c r="C127" s="1" t="s">
        <v>4443</v>
      </c>
      <c r="D127" s="1">
        <v>2021</v>
      </c>
      <c r="E127" s="1" t="str">
        <f t="shared" si="0"/>
        <v>TIGGO 2TIGGO 2 GLX 1.52021</v>
      </c>
      <c r="F127" s="1" t="s">
        <v>1850</v>
      </c>
      <c r="G127" s="1">
        <v>7290000</v>
      </c>
      <c r="H127" s="1">
        <v>5392348</v>
      </c>
    </row>
    <row r="128" spans="1:8" ht="13.5" customHeight="1" x14ac:dyDescent="0.3">
      <c r="A128" s="1" t="s">
        <v>30</v>
      </c>
      <c r="B128" s="1" t="s">
        <v>2908</v>
      </c>
      <c r="C128" s="1" t="s">
        <v>4444</v>
      </c>
      <c r="D128" s="1">
        <v>2022</v>
      </c>
      <c r="E128" s="1" t="str">
        <f t="shared" si="0"/>
        <v>TIGGO 2TIGGO 2 PRO GLS MT 1.52022</v>
      </c>
      <c r="F128" s="1" t="s">
        <v>2630</v>
      </c>
      <c r="G128" s="1">
        <v>9990000</v>
      </c>
      <c r="H128" s="1">
        <v>10200000</v>
      </c>
    </row>
    <row r="129" spans="1:8" ht="13.5" customHeight="1" x14ac:dyDescent="0.3">
      <c r="A129" s="1" t="s">
        <v>30</v>
      </c>
      <c r="B129" s="1" t="s">
        <v>2908</v>
      </c>
      <c r="C129" s="1" t="s">
        <v>4444</v>
      </c>
      <c r="D129" s="1">
        <v>2023</v>
      </c>
      <c r="E129" s="1" t="str">
        <f t="shared" si="0"/>
        <v>TIGGO 2TIGGO 2 PRO GLS MT 1.52023</v>
      </c>
      <c r="F129" s="1" t="s">
        <v>610</v>
      </c>
      <c r="G129" s="1">
        <v>8090560</v>
      </c>
      <c r="H129" s="1">
        <v>6800000</v>
      </c>
    </row>
    <row r="130" spans="1:8" ht="13.5" customHeight="1" x14ac:dyDescent="0.3">
      <c r="A130" s="1" t="s">
        <v>30</v>
      </c>
      <c r="B130" s="1" t="s">
        <v>2987</v>
      </c>
      <c r="C130" s="1" t="s">
        <v>4445</v>
      </c>
      <c r="D130" s="1">
        <v>2024</v>
      </c>
      <c r="E130" s="1" t="str">
        <f t="shared" si="0"/>
        <v>TIGGO 2 PROFL GLS 1.52024</v>
      </c>
      <c r="F130" s="1" t="s">
        <v>720</v>
      </c>
      <c r="G130" s="1">
        <v>10390000</v>
      </c>
      <c r="H130" s="1">
        <v>9000000</v>
      </c>
    </row>
    <row r="131" spans="1:8" ht="13.5" customHeight="1" x14ac:dyDescent="0.3">
      <c r="A131" s="1" t="s">
        <v>30</v>
      </c>
      <c r="B131" s="1" t="s">
        <v>2987</v>
      </c>
      <c r="C131" s="1" t="s">
        <v>4446</v>
      </c>
      <c r="D131" s="1">
        <v>2021</v>
      </c>
      <c r="E131" s="1" t="str">
        <f t="shared" si="0"/>
        <v>TIGGO 2 PROTIGGO 2 GLS CVT PRO 1.5 AUT2021</v>
      </c>
      <c r="F131" s="1" t="s">
        <v>1770</v>
      </c>
      <c r="G131" s="1">
        <v>16380000</v>
      </c>
      <c r="H131" s="1">
        <v>13600000</v>
      </c>
    </row>
    <row r="132" spans="1:8" ht="13.5" customHeight="1" x14ac:dyDescent="0.3">
      <c r="A132" s="1" t="s">
        <v>30</v>
      </c>
      <c r="B132" s="1" t="s">
        <v>2987</v>
      </c>
      <c r="C132" s="1" t="s">
        <v>4446</v>
      </c>
      <c r="D132" s="1">
        <v>2022</v>
      </c>
      <c r="E132" s="1" t="str">
        <f t="shared" si="0"/>
        <v>TIGGO 2 PROTIGGO 2 GLS CVT PRO 1.5 AUT2022</v>
      </c>
      <c r="F132" s="1" t="s">
        <v>700</v>
      </c>
      <c r="G132" s="1">
        <v>7890000</v>
      </c>
      <c r="H132" s="1">
        <v>6450000</v>
      </c>
    </row>
    <row r="133" spans="1:8" ht="13.5" customHeight="1" x14ac:dyDescent="0.3">
      <c r="A133" s="1" t="s">
        <v>30</v>
      </c>
      <c r="B133" s="1" t="s">
        <v>2987</v>
      </c>
      <c r="C133" s="1" t="s">
        <v>4446</v>
      </c>
      <c r="D133" s="1">
        <v>2024</v>
      </c>
      <c r="E133" s="1" t="str">
        <f t="shared" si="0"/>
        <v>TIGGO 2 PROTIGGO 2 GLS CVT PRO 1.5 AUT2024</v>
      </c>
      <c r="F133" s="1" t="s">
        <v>1004</v>
      </c>
      <c r="G133" s="1">
        <v>9490000</v>
      </c>
      <c r="H133" s="1">
        <v>7600000</v>
      </c>
    </row>
    <row r="134" spans="1:8" ht="13.5" customHeight="1" x14ac:dyDescent="0.3">
      <c r="A134" s="1" t="s">
        <v>30</v>
      </c>
      <c r="B134" s="1" t="s">
        <v>2987</v>
      </c>
      <c r="C134" s="1" t="s">
        <v>4446</v>
      </c>
      <c r="D134" s="1">
        <v>2024</v>
      </c>
      <c r="E134" s="1" t="str">
        <f t="shared" si="0"/>
        <v>TIGGO 2 PROTIGGO 2 GLS CVT PRO 1.5 AUT2024</v>
      </c>
      <c r="F134" s="1" t="s">
        <v>1601</v>
      </c>
      <c r="G134" s="1">
        <v>10990000</v>
      </c>
      <c r="H134" s="1">
        <v>10000000</v>
      </c>
    </row>
    <row r="135" spans="1:8" ht="13.5" customHeight="1" x14ac:dyDescent="0.3">
      <c r="A135" s="1" t="s">
        <v>30</v>
      </c>
      <c r="B135" s="1" t="s">
        <v>2987</v>
      </c>
      <c r="C135" s="1" t="s">
        <v>4444</v>
      </c>
      <c r="D135" s="1">
        <v>2021</v>
      </c>
      <c r="E135" s="1" t="str">
        <f t="shared" si="0"/>
        <v>TIGGO 2 PROTIGGO 2 PRO GLS MT 1.52021</v>
      </c>
      <c r="F135" s="1" t="s">
        <v>2228</v>
      </c>
      <c r="G135" s="1">
        <v>8990000</v>
      </c>
      <c r="H135" s="1">
        <v>7000000</v>
      </c>
    </row>
    <row r="136" spans="1:8" ht="13.5" customHeight="1" x14ac:dyDescent="0.3">
      <c r="A136" s="1" t="s">
        <v>30</v>
      </c>
      <c r="B136" s="1" t="s">
        <v>2987</v>
      </c>
      <c r="C136" s="1" t="s">
        <v>4444</v>
      </c>
      <c r="D136" s="1">
        <v>2021</v>
      </c>
      <c r="E136" s="1" t="str">
        <f t="shared" si="0"/>
        <v>TIGGO 2 PROTIGGO 2 PRO GLS MT 1.52021</v>
      </c>
      <c r="F136" s="1" t="s">
        <v>695</v>
      </c>
      <c r="G136" s="1">
        <v>7290000</v>
      </c>
      <c r="H136" s="1">
        <v>5700000</v>
      </c>
    </row>
    <row r="137" spans="1:8" ht="13.5" customHeight="1" x14ac:dyDescent="0.3">
      <c r="A137" s="1" t="s">
        <v>30</v>
      </c>
      <c r="B137" s="1" t="s">
        <v>2987</v>
      </c>
      <c r="C137" s="1" t="s">
        <v>4444</v>
      </c>
      <c r="D137" s="1">
        <v>2023</v>
      </c>
      <c r="E137" s="1" t="str">
        <f t="shared" si="0"/>
        <v>TIGGO 2 PROTIGGO 2 PRO GLS MT 1.52023</v>
      </c>
      <c r="F137" s="1" t="s">
        <v>1342</v>
      </c>
      <c r="G137" s="1">
        <v>8690000</v>
      </c>
      <c r="H137" s="1">
        <v>7200000</v>
      </c>
    </row>
    <row r="138" spans="1:8" ht="13.5" customHeight="1" x14ac:dyDescent="0.3">
      <c r="A138" s="1" t="s">
        <v>30</v>
      </c>
      <c r="B138" s="1" t="s">
        <v>2987</v>
      </c>
      <c r="C138" s="1" t="s">
        <v>4444</v>
      </c>
      <c r="D138" s="1">
        <v>2023</v>
      </c>
      <c r="E138" s="1" t="str">
        <f t="shared" si="0"/>
        <v>TIGGO 2 PROTIGGO 2 PRO GLS MT 1.52023</v>
      </c>
      <c r="F138" s="1" t="s">
        <v>400</v>
      </c>
      <c r="G138" s="1">
        <v>8190000</v>
      </c>
      <c r="H138" s="1">
        <v>5500000</v>
      </c>
    </row>
    <row r="139" spans="1:8" ht="13.5" customHeight="1" x14ac:dyDescent="0.3">
      <c r="A139" s="1" t="s">
        <v>30</v>
      </c>
      <c r="B139" s="1" t="s">
        <v>2987</v>
      </c>
      <c r="C139" s="1" t="s">
        <v>4444</v>
      </c>
      <c r="D139" s="1">
        <v>2023</v>
      </c>
      <c r="E139" s="1" t="str">
        <f t="shared" si="0"/>
        <v>TIGGO 2 PROTIGGO 2 PRO GLS MT 1.52023</v>
      </c>
      <c r="F139" s="1" t="s">
        <v>868</v>
      </c>
      <c r="G139" s="1">
        <v>8290000</v>
      </c>
      <c r="H139" s="1">
        <v>6800000</v>
      </c>
    </row>
    <row r="140" spans="1:8" ht="13.5" customHeight="1" x14ac:dyDescent="0.3">
      <c r="A140" s="1" t="s">
        <v>30</v>
      </c>
      <c r="B140" s="1" t="s">
        <v>2987</v>
      </c>
      <c r="C140" s="1" t="s">
        <v>4444</v>
      </c>
      <c r="D140" s="1">
        <v>2024</v>
      </c>
      <c r="E140" s="1" t="str">
        <f t="shared" si="0"/>
        <v>TIGGO 2 PROTIGGO 2 PRO GLS MT 1.52024</v>
      </c>
      <c r="F140" s="1" t="s">
        <v>1788</v>
      </c>
      <c r="G140" s="1">
        <v>7990000</v>
      </c>
      <c r="H140" s="1">
        <v>8990000</v>
      </c>
    </row>
    <row r="141" spans="1:8" ht="13.5" customHeight="1" x14ac:dyDescent="0.3">
      <c r="A141" s="1" t="s">
        <v>30</v>
      </c>
      <c r="B141" s="1" t="s">
        <v>2987</v>
      </c>
      <c r="C141" s="1" t="s">
        <v>4444</v>
      </c>
      <c r="D141" s="1">
        <v>2024</v>
      </c>
      <c r="E141" s="1" t="str">
        <f t="shared" si="0"/>
        <v>TIGGO 2 PROTIGGO 2 PRO GLS MT 1.52024</v>
      </c>
      <c r="F141" s="1" t="s">
        <v>413</v>
      </c>
      <c r="G141" s="1">
        <v>8590000</v>
      </c>
      <c r="H141" s="1">
        <v>7000000</v>
      </c>
    </row>
    <row r="142" spans="1:8" ht="13.5" customHeight="1" x14ac:dyDescent="0.3">
      <c r="A142" s="1" t="s">
        <v>30</v>
      </c>
      <c r="B142" s="1" t="s">
        <v>2987</v>
      </c>
      <c r="C142" s="1" t="s">
        <v>4447</v>
      </c>
      <c r="D142" s="1">
        <v>2022</v>
      </c>
      <c r="E142" s="1" t="str">
        <f t="shared" si="0"/>
        <v>TIGGO 2 PROTIGGO 2 PRO GLX CVT 1.0 AUT2022</v>
      </c>
      <c r="F142" s="1" t="s">
        <v>837</v>
      </c>
      <c r="G142" s="1">
        <v>8990000</v>
      </c>
      <c r="H142" s="1">
        <v>7400000</v>
      </c>
    </row>
    <row r="143" spans="1:8" ht="13.5" customHeight="1" x14ac:dyDescent="0.3">
      <c r="A143" s="1" t="s">
        <v>30</v>
      </c>
      <c r="B143" s="1" t="s">
        <v>2987</v>
      </c>
      <c r="C143" s="1" t="s">
        <v>4447</v>
      </c>
      <c r="D143" s="1">
        <v>2022</v>
      </c>
      <c r="E143" s="1" t="str">
        <f t="shared" si="0"/>
        <v>TIGGO 2 PROTIGGO 2 PRO GLX CVT 1.0 AUT2022</v>
      </c>
      <c r="F143" s="1" t="s">
        <v>2224</v>
      </c>
      <c r="G143" s="1">
        <v>9490000</v>
      </c>
      <c r="H143" s="1">
        <v>8000000</v>
      </c>
    </row>
    <row r="144" spans="1:8" ht="13.5" customHeight="1" x14ac:dyDescent="0.3">
      <c r="A144" s="1" t="s">
        <v>30</v>
      </c>
      <c r="B144" s="1" t="s">
        <v>2987</v>
      </c>
      <c r="C144" s="1" t="s">
        <v>4447</v>
      </c>
      <c r="D144" s="1">
        <v>2023</v>
      </c>
      <c r="E144" s="1" t="str">
        <f t="shared" si="0"/>
        <v>TIGGO 2 PROTIGGO 2 PRO GLX CVT 1.0 AUT2023</v>
      </c>
      <c r="F144" s="1" t="s">
        <v>556</v>
      </c>
      <c r="G144" s="1">
        <v>8390000</v>
      </c>
      <c r="H144" s="1">
        <v>7000000</v>
      </c>
    </row>
    <row r="145" spans="1:8" ht="13.5" customHeight="1" x14ac:dyDescent="0.3">
      <c r="A145" s="1" t="s">
        <v>30</v>
      </c>
      <c r="B145" s="1" t="s">
        <v>34</v>
      </c>
      <c r="C145" s="1" t="s">
        <v>35</v>
      </c>
      <c r="D145" s="1">
        <v>2021</v>
      </c>
      <c r="E145" s="1" t="str">
        <f t="shared" si="0"/>
        <v>TIGGO 3TIGGO 3 1.52021</v>
      </c>
      <c r="F145" s="1" t="s">
        <v>2180</v>
      </c>
      <c r="G145" s="1">
        <v>9390000</v>
      </c>
      <c r="H145" s="1">
        <v>7500000</v>
      </c>
    </row>
    <row r="146" spans="1:8" ht="13.5" customHeight="1" x14ac:dyDescent="0.3">
      <c r="A146" s="1" t="s">
        <v>30</v>
      </c>
      <c r="B146" s="1" t="s">
        <v>34</v>
      </c>
      <c r="C146" s="1" t="s">
        <v>35</v>
      </c>
      <c r="D146" s="1">
        <v>2021</v>
      </c>
      <c r="E146" s="1" t="str">
        <f t="shared" si="0"/>
        <v>TIGGO 3TIGGO 3 1.52021</v>
      </c>
      <c r="F146" s="1" t="s">
        <v>2112</v>
      </c>
      <c r="G146" s="1">
        <v>10990000</v>
      </c>
      <c r="H146" s="1">
        <v>9000000</v>
      </c>
    </row>
    <row r="147" spans="1:8" ht="13.5" customHeight="1" x14ac:dyDescent="0.3">
      <c r="A147" s="1" t="s">
        <v>30</v>
      </c>
      <c r="B147" s="1" t="s">
        <v>34</v>
      </c>
      <c r="C147" s="1" t="s">
        <v>35</v>
      </c>
      <c r="D147" s="1">
        <v>2021</v>
      </c>
      <c r="E147" s="1" t="str">
        <f t="shared" si="0"/>
        <v>TIGGO 3TIGGO 3 1.52021</v>
      </c>
      <c r="F147" s="1" t="s">
        <v>37</v>
      </c>
      <c r="G147" s="1">
        <v>8190000</v>
      </c>
      <c r="H147" s="1">
        <v>6200000</v>
      </c>
    </row>
    <row r="148" spans="1:8" ht="13.5" customHeight="1" x14ac:dyDescent="0.3">
      <c r="A148" s="1" t="s">
        <v>30</v>
      </c>
      <c r="B148" s="1" t="s">
        <v>34</v>
      </c>
      <c r="C148" s="1" t="s">
        <v>35</v>
      </c>
      <c r="D148" s="1">
        <v>2021</v>
      </c>
      <c r="E148" s="1" t="str">
        <f t="shared" si="0"/>
        <v>TIGGO 3TIGGO 3 1.52021</v>
      </c>
      <c r="F148" s="1" t="s">
        <v>792</v>
      </c>
      <c r="G148" s="1">
        <v>7590000</v>
      </c>
      <c r="H148" s="1">
        <v>6100000</v>
      </c>
    </row>
    <row r="149" spans="1:8" ht="13.5" customHeight="1" x14ac:dyDescent="0.3">
      <c r="A149" s="1" t="s">
        <v>30</v>
      </c>
      <c r="B149" s="1" t="s">
        <v>34</v>
      </c>
      <c r="C149" s="1" t="s">
        <v>35</v>
      </c>
      <c r="D149" s="1">
        <v>2021</v>
      </c>
      <c r="E149" s="1" t="str">
        <f t="shared" si="0"/>
        <v>TIGGO 3TIGGO 3 1.52021</v>
      </c>
      <c r="F149" s="1" t="s">
        <v>1677</v>
      </c>
      <c r="G149" s="1">
        <v>8890000</v>
      </c>
      <c r="H149" s="1">
        <v>7400000</v>
      </c>
    </row>
    <row r="150" spans="1:8" ht="13.5" customHeight="1" x14ac:dyDescent="0.3">
      <c r="A150" s="1" t="s">
        <v>30</v>
      </c>
      <c r="B150" s="1" t="s">
        <v>34</v>
      </c>
      <c r="C150" s="1" t="s">
        <v>35</v>
      </c>
      <c r="D150" s="1">
        <v>2022</v>
      </c>
      <c r="E150" s="1" t="str">
        <f t="shared" si="0"/>
        <v>TIGGO 3TIGGO 3 1.52022</v>
      </c>
      <c r="F150" s="1" t="s">
        <v>1484</v>
      </c>
      <c r="G150" s="1">
        <v>9990000</v>
      </c>
      <c r="H150" s="1">
        <v>8000000</v>
      </c>
    </row>
    <row r="151" spans="1:8" ht="13.5" customHeight="1" x14ac:dyDescent="0.3">
      <c r="A151" s="1" t="s">
        <v>30</v>
      </c>
      <c r="B151" s="1" t="s">
        <v>34</v>
      </c>
      <c r="C151" s="1" t="s">
        <v>35</v>
      </c>
      <c r="D151" s="1">
        <v>2022</v>
      </c>
      <c r="E151" s="1" t="str">
        <f t="shared" si="0"/>
        <v>TIGGO 3TIGGO 3 1.52022</v>
      </c>
      <c r="F151" s="1" t="s">
        <v>1786</v>
      </c>
      <c r="G151" s="1">
        <v>7990000</v>
      </c>
      <c r="H151" s="1">
        <v>6000000</v>
      </c>
    </row>
    <row r="152" spans="1:8" ht="13.5" customHeight="1" x14ac:dyDescent="0.3">
      <c r="A152" s="1" t="s">
        <v>30</v>
      </c>
      <c r="B152" s="1" t="s">
        <v>34</v>
      </c>
      <c r="C152" s="1" t="s">
        <v>35</v>
      </c>
      <c r="D152" s="1">
        <v>2022</v>
      </c>
      <c r="E152" s="1" t="str">
        <f t="shared" si="0"/>
        <v>TIGGO 3TIGGO 3 1.52022</v>
      </c>
      <c r="F152" s="1" t="s">
        <v>1490</v>
      </c>
      <c r="G152" s="1">
        <v>9690000</v>
      </c>
      <c r="H152" s="1">
        <v>7800000</v>
      </c>
    </row>
    <row r="153" spans="1:8" ht="13.5" customHeight="1" x14ac:dyDescent="0.3">
      <c r="A153" s="1" t="s">
        <v>30</v>
      </c>
      <c r="B153" s="1" t="s">
        <v>34</v>
      </c>
      <c r="C153" s="1" t="s">
        <v>35</v>
      </c>
      <c r="D153" s="1">
        <v>2022</v>
      </c>
      <c r="E153" s="1" t="str">
        <f t="shared" si="0"/>
        <v>TIGGO 3TIGGO 3 1.52022</v>
      </c>
      <c r="F153" s="1" t="s">
        <v>2457</v>
      </c>
      <c r="G153" s="1">
        <v>11890000</v>
      </c>
      <c r="H153" s="1">
        <v>10000000</v>
      </c>
    </row>
    <row r="154" spans="1:8" ht="13.5" customHeight="1" x14ac:dyDescent="0.3">
      <c r="A154" s="1" t="s">
        <v>30</v>
      </c>
      <c r="B154" s="1" t="s">
        <v>34</v>
      </c>
      <c r="C154" s="1" t="s">
        <v>35</v>
      </c>
      <c r="D154" s="1">
        <v>2022</v>
      </c>
      <c r="E154" s="1" t="str">
        <f t="shared" si="0"/>
        <v>TIGGO 3TIGGO 3 1.52022</v>
      </c>
      <c r="F154" s="1" t="s">
        <v>1216</v>
      </c>
      <c r="G154" s="1">
        <v>8490000</v>
      </c>
      <c r="H154" s="1">
        <v>7000000</v>
      </c>
    </row>
    <row r="155" spans="1:8" ht="13.5" customHeight="1" x14ac:dyDescent="0.3">
      <c r="A155" s="1" t="s">
        <v>30</v>
      </c>
      <c r="B155" s="1" t="s">
        <v>34</v>
      </c>
      <c r="C155" s="1" t="s">
        <v>35</v>
      </c>
      <c r="D155" s="1">
        <v>2022</v>
      </c>
      <c r="E155" s="1" t="str">
        <f t="shared" si="0"/>
        <v>TIGGO 3TIGGO 3 1.52022</v>
      </c>
      <c r="F155" s="1" t="s">
        <v>1867</v>
      </c>
      <c r="G155" s="1">
        <v>9117650</v>
      </c>
      <c r="H155" s="1">
        <v>7500000</v>
      </c>
    </row>
    <row r="156" spans="1:8" ht="13.5" customHeight="1" x14ac:dyDescent="0.3">
      <c r="A156" s="1" t="s">
        <v>30</v>
      </c>
      <c r="B156" s="1" t="s">
        <v>34</v>
      </c>
      <c r="C156" s="1" t="s">
        <v>35</v>
      </c>
      <c r="D156" s="1">
        <v>2022</v>
      </c>
      <c r="E156" s="1" t="str">
        <f t="shared" si="0"/>
        <v>TIGGO 3TIGGO 3 1.52022</v>
      </c>
      <c r="F156" s="1" t="s">
        <v>753</v>
      </c>
      <c r="G156" s="1">
        <v>8690000</v>
      </c>
      <c r="H156" s="1">
        <v>7200000</v>
      </c>
    </row>
    <row r="157" spans="1:8" ht="13.5" customHeight="1" x14ac:dyDescent="0.3">
      <c r="A157" s="1" t="s">
        <v>30</v>
      </c>
      <c r="B157" s="1" t="s">
        <v>34</v>
      </c>
      <c r="C157" s="1" t="s">
        <v>35</v>
      </c>
      <c r="D157" s="1">
        <v>2022</v>
      </c>
      <c r="E157" s="1" t="str">
        <f t="shared" si="0"/>
        <v>TIGGO 3TIGGO 3 1.52022</v>
      </c>
      <c r="F157" s="1" t="s">
        <v>963</v>
      </c>
      <c r="G157" s="1">
        <v>8490000</v>
      </c>
      <c r="H157" s="1">
        <v>6800000</v>
      </c>
    </row>
    <row r="158" spans="1:8" ht="13.5" customHeight="1" x14ac:dyDescent="0.3">
      <c r="A158" s="1" t="s">
        <v>30</v>
      </c>
      <c r="B158" s="1" t="s">
        <v>34</v>
      </c>
      <c r="C158" s="1" t="s">
        <v>35</v>
      </c>
      <c r="D158" s="1">
        <v>2022</v>
      </c>
      <c r="E158" s="1" t="str">
        <f t="shared" si="0"/>
        <v>TIGGO 3TIGGO 3 1.52022</v>
      </c>
      <c r="F158" s="1" t="s">
        <v>908</v>
      </c>
      <c r="G158" s="1">
        <v>7990000</v>
      </c>
      <c r="H158" s="1">
        <v>6600000</v>
      </c>
    </row>
    <row r="159" spans="1:8" ht="13.5" customHeight="1" x14ac:dyDescent="0.3">
      <c r="A159" s="1" t="s">
        <v>30</v>
      </c>
      <c r="B159" s="1" t="s">
        <v>34</v>
      </c>
      <c r="C159" s="1" t="s">
        <v>35</v>
      </c>
      <c r="D159" s="1">
        <v>2022</v>
      </c>
      <c r="E159" s="1" t="str">
        <f t="shared" si="0"/>
        <v>TIGGO 3TIGGO 3 1.52022</v>
      </c>
      <c r="F159" s="1" t="s">
        <v>865</v>
      </c>
      <c r="G159" s="1">
        <v>8690000</v>
      </c>
      <c r="H159" s="1">
        <v>7200000</v>
      </c>
    </row>
    <row r="160" spans="1:8" ht="13.5" customHeight="1" x14ac:dyDescent="0.3">
      <c r="A160" s="1" t="s">
        <v>30</v>
      </c>
      <c r="B160" s="1" t="s">
        <v>34</v>
      </c>
      <c r="C160" s="1" t="s">
        <v>4448</v>
      </c>
      <c r="D160" s="1">
        <v>2021</v>
      </c>
      <c r="E160" s="1" t="str">
        <f t="shared" si="0"/>
        <v>TIGGO 3TIGGO 3 CVT 1.5L AUT2021</v>
      </c>
      <c r="F160" s="1" t="s">
        <v>1705</v>
      </c>
      <c r="G160" s="1">
        <v>8950000</v>
      </c>
      <c r="H160" s="1">
        <v>7487395</v>
      </c>
    </row>
    <row r="161" spans="1:8" ht="13.5" customHeight="1" x14ac:dyDescent="0.3">
      <c r="A161" s="1" t="s">
        <v>30</v>
      </c>
      <c r="B161" s="1" t="s">
        <v>34</v>
      </c>
      <c r="C161" s="1" t="s">
        <v>4448</v>
      </c>
      <c r="D161" s="1">
        <v>2021</v>
      </c>
      <c r="E161" s="1" t="str">
        <f t="shared" si="0"/>
        <v>TIGGO 3TIGGO 3 CVT 1.5L AUT2021</v>
      </c>
      <c r="F161" s="1" t="s">
        <v>1510</v>
      </c>
      <c r="G161" s="1">
        <v>8990000</v>
      </c>
      <c r="H161" s="1">
        <v>7500000</v>
      </c>
    </row>
    <row r="162" spans="1:8" ht="13.5" customHeight="1" x14ac:dyDescent="0.3">
      <c r="A162" s="1" t="s">
        <v>30</v>
      </c>
      <c r="B162" s="1" t="s">
        <v>34</v>
      </c>
      <c r="C162" s="1" t="s">
        <v>4448</v>
      </c>
      <c r="D162" s="1">
        <v>2022</v>
      </c>
      <c r="E162" s="1" t="str">
        <f t="shared" si="0"/>
        <v>TIGGO 3TIGGO 3 CVT 1.5L AUT2022</v>
      </c>
      <c r="F162" s="1" t="s">
        <v>1394</v>
      </c>
      <c r="G162" s="1">
        <v>9990000</v>
      </c>
      <c r="H162" s="1">
        <v>8500000</v>
      </c>
    </row>
    <row r="163" spans="1:8" ht="13.5" customHeight="1" x14ac:dyDescent="0.3">
      <c r="A163" s="1" t="s">
        <v>30</v>
      </c>
      <c r="B163" s="1" t="s">
        <v>34</v>
      </c>
      <c r="C163" s="1" t="s">
        <v>4448</v>
      </c>
      <c r="D163" s="1">
        <v>2023</v>
      </c>
      <c r="E163" s="1" t="str">
        <f t="shared" si="0"/>
        <v>TIGGO 3TIGGO 3 CVT 1.5L AUT2023</v>
      </c>
      <c r="F163" s="1" t="s">
        <v>1835</v>
      </c>
      <c r="G163" s="1">
        <v>11990000</v>
      </c>
      <c r="H163" s="1">
        <v>10000000</v>
      </c>
    </row>
    <row r="164" spans="1:8" ht="13.5" customHeight="1" x14ac:dyDescent="0.3">
      <c r="A164" s="1" t="s">
        <v>30</v>
      </c>
      <c r="B164" s="1" t="s">
        <v>34</v>
      </c>
      <c r="C164" s="1" t="s">
        <v>4449</v>
      </c>
      <c r="D164" s="1">
        <v>2020</v>
      </c>
      <c r="E164" s="1" t="str">
        <f t="shared" si="0"/>
        <v>TIGGO 3TIGGO 3 GL 1.52020</v>
      </c>
      <c r="F164" s="1" t="s">
        <v>2238</v>
      </c>
      <c r="G164" s="1">
        <v>7190000</v>
      </c>
      <c r="H164" s="1">
        <v>6000000</v>
      </c>
    </row>
    <row r="165" spans="1:8" ht="13.5" customHeight="1" x14ac:dyDescent="0.3">
      <c r="A165" s="1" t="s">
        <v>30</v>
      </c>
      <c r="B165" s="1" t="s">
        <v>34</v>
      </c>
      <c r="C165" s="1" t="s">
        <v>4450</v>
      </c>
      <c r="D165" s="1">
        <v>2020</v>
      </c>
      <c r="E165" s="1" t="str">
        <f t="shared" si="0"/>
        <v>TIGGO 3TIGGO 3 GLS 1.52020</v>
      </c>
      <c r="F165" s="1" t="s">
        <v>967</v>
      </c>
      <c r="G165" s="1">
        <v>7590000</v>
      </c>
      <c r="H165" s="1">
        <v>6300000</v>
      </c>
    </row>
    <row r="166" spans="1:8" ht="13.5" customHeight="1" x14ac:dyDescent="0.3">
      <c r="A166" s="1" t="s">
        <v>30</v>
      </c>
      <c r="B166" s="1" t="s">
        <v>34</v>
      </c>
      <c r="C166" s="1" t="s">
        <v>4450</v>
      </c>
      <c r="D166" s="1">
        <v>2020</v>
      </c>
      <c r="E166" s="1" t="str">
        <f t="shared" si="0"/>
        <v>TIGGO 3TIGGO 3 GLS 1.52020</v>
      </c>
      <c r="F166" s="1" t="s">
        <v>944</v>
      </c>
      <c r="G166" s="1">
        <v>7690000</v>
      </c>
      <c r="H166" s="1">
        <v>6100000</v>
      </c>
    </row>
    <row r="167" spans="1:8" ht="13.5" customHeight="1" x14ac:dyDescent="0.3">
      <c r="A167" s="1" t="s">
        <v>30</v>
      </c>
      <c r="B167" s="1" t="s">
        <v>34</v>
      </c>
      <c r="C167" s="1" t="s">
        <v>4450</v>
      </c>
      <c r="D167" s="1">
        <v>2020</v>
      </c>
      <c r="E167" s="1" t="str">
        <f t="shared" si="0"/>
        <v>TIGGO 3TIGGO 3 GLS 1.52020</v>
      </c>
      <c r="F167" s="1" t="s">
        <v>1693</v>
      </c>
      <c r="G167" s="1">
        <v>7190000</v>
      </c>
      <c r="H167" s="1">
        <v>5700000</v>
      </c>
    </row>
    <row r="168" spans="1:8" ht="13.5" customHeight="1" x14ac:dyDescent="0.3">
      <c r="A168" s="1" t="s">
        <v>30</v>
      </c>
      <c r="B168" s="1" t="s">
        <v>34</v>
      </c>
      <c r="C168" s="1" t="s">
        <v>4450</v>
      </c>
      <c r="D168" s="1">
        <v>2021</v>
      </c>
      <c r="E168" s="1" t="str">
        <f t="shared" si="0"/>
        <v>TIGGO 3TIGGO 3 GLS 1.52021</v>
      </c>
      <c r="F168" s="1" t="s">
        <v>646</v>
      </c>
      <c r="G168" s="1">
        <v>7890000</v>
      </c>
      <c r="H168" s="1">
        <v>6400000</v>
      </c>
    </row>
    <row r="169" spans="1:8" ht="13.5" customHeight="1" x14ac:dyDescent="0.3">
      <c r="A169" s="1" t="s">
        <v>30</v>
      </c>
      <c r="B169" s="1" t="s">
        <v>34</v>
      </c>
      <c r="C169" s="1" t="s">
        <v>4451</v>
      </c>
      <c r="D169" s="1">
        <v>2019</v>
      </c>
      <c r="E169" s="1" t="str">
        <f t="shared" si="0"/>
        <v>TIGGO 3TIGGO 3 GLX 1.62019</v>
      </c>
      <c r="F169" s="1" t="s">
        <v>1102</v>
      </c>
      <c r="G169" s="1">
        <v>6990000</v>
      </c>
      <c r="H169" s="1">
        <v>5350000</v>
      </c>
    </row>
    <row r="170" spans="1:8" ht="13.5" customHeight="1" x14ac:dyDescent="0.3">
      <c r="A170" s="1" t="s">
        <v>30</v>
      </c>
      <c r="B170" s="1" t="s">
        <v>38</v>
      </c>
      <c r="C170" s="1" t="s">
        <v>4452</v>
      </c>
      <c r="D170" s="1">
        <v>2022</v>
      </c>
      <c r="E170" s="1" t="str">
        <f t="shared" si="0"/>
        <v>TIGGO 3 PROTIGGO 3 PRO GLS 1.52022</v>
      </c>
      <c r="F170" s="1" t="s">
        <v>889</v>
      </c>
      <c r="G170" s="1">
        <v>8490000</v>
      </c>
      <c r="H170" s="1">
        <v>7000000</v>
      </c>
    </row>
    <row r="171" spans="1:8" ht="13.5" customHeight="1" x14ac:dyDescent="0.3">
      <c r="A171" s="1" t="s">
        <v>30</v>
      </c>
      <c r="B171" s="1" t="s">
        <v>38</v>
      </c>
      <c r="C171" s="1" t="s">
        <v>4452</v>
      </c>
      <c r="D171" s="1">
        <v>2023</v>
      </c>
      <c r="E171" s="1" t="str">
        <f t="shared" si="0"/>
        <v>TIGGO 3 PROTIGGO 3 PRO GLS 1.52023</v>
      </c>
      <c r="F171" s="1" t="s">
        <v>4453</v>
      </c>
      <c r="G171" s="1">
        <v>11990000</v>
      </c>
      <c r="H171" s="1">
        <v>10000000</v>
      </c>
    </row>
    <row r="172" spans="1:8" ht="13.5" customHeight="1" x14ac:dyDescent="0.3">
      <c r="A172" s="1" t="s">
        <v>30</v>
      </c>
      <c r="B172" s="1" t="s">
        <v>38</v>
      </c>
      <c r="C172" s="1" t="s">
        <v>39</v>
      </c>
      <c r="D172" s="1">
        <v>2023</v>
      </c>
      <c r="E172" s="1" t="str">
        <f t="shared" si="0"/>
        <v>TIGGO 3 PROTIGGO 3 PRO GLS 1.5 AUT2023</v>
      </c>
      <c r="F172" s="1" t="s">
        <v>628</v>
      </c>
      <c r="G172" s="1">
        <v>20780000</v>
      </c>
      <c r="H172" s="1">
        <v>17450000</v>
      </c>
    </row>
    <row r="173" spans="1:8" ht="13.5" customHeight="1" x14ac:dyDescent="0.3">
      <c r="A173" s="1" t="s">
        <v>30</v>
      </c>
      <c r="B173" s="1" t="s">
        <v>38</v>
      </c>
      <c r="C173" s="1" t="s">
        <v>4454</v>
      </c>
      <c r="D173" s="1">
        <v>2023</v>
      </c>
      <c r="E173" s="1" t="str">
        <f t="shared" si="0"/>
        <v>TIGGO 3 PROTIGGO 3 PRO GLX 1.5 AUT2023</v>
      </c>
      <c r="F173" s="1" t="s">
        <v>1236</v>
      </c>
      <c r="G173" s="1">
        <v>11490000</v>
      </c>
      <c r="H173" s="1">
        <v>9500000</v>
      </c>
    </row>
    <row r="174" spans="1:8" ht="13.5" customHeight="1" x14ac:dyDescent="0.3">
      <c r="A174" s="1" t="s">
        <v>30</v>
      </c>
      <c r="B174" s="1" t="s">
        <v>4455</v>
      </c>
      <c r="C174" s="1" t="s">
        <v>4456</v>
      </c>
      <c r="D174" s="1">
        <v>2018</v>
      </c>
      <c r="E174" s="1" t="str">
        <f t="shared" si="0"/>
        <v>TIGGO 4TIGGO 4 GLS 2.02018</v>
      </c>
      <c r="F174" s="1" t="s">
        <v>1116</v>
      </c>
      <c r="G174" s="1">
        <v>6990000</v>
      </c>
      <c r="H174" s="1">
        <v>4700000</v>
      </c>
    </row>
    <row r="175" spans="1:8" ht="13.5" customHeight="1" x14ac:dyDescent="0.3">
      <c r="A175" s="1" t="s">
        <v>30</v>
      </c>
      <c r="B175" s="1" t="s">
        <v>3082</v>
      </c>
      <c r="C175" s="1" t="s">
        <v>4457</v>
      </c>
      <c r="D175" s="1">
        <v>2021</v>
      </c>
      <c r="E175" s="1" t="str">
        <f t="shared" si="0"/>
        <v>TIGGO 7TIGGO 7 GLX 1.5 AUT2021</v>
      </c>
      <c r="F175" s="1" t="s">
        <v>1177</v>
      </c>
      <c r="G175" s="1">
        <v>25730000</v>
      </c>
      <c r="H175" s="1">
        <v>21200000</v>
      </c>
    </row>
    <row r="176" spans="1:8" ht="13.5" customHeight="1" x14ac:dyDescent="0.3">
      <c r="A176" s="1" t="s">
        <v>30</v>
      </c>
      <c r="B176" s="1" t="s">
        <v>3082</v>
      </c>
      <c r="C176" s="1" t="s">
        <v>4458</v>
      </c>
      <c r="D176" s="1">
        <v>2021</v>
      </c>
      <c r="E176" s="1" t="str">
        <f t="shared" si="0"/>
        <v>TIGGO 7TIGGO 7 TURBO 1.52021</v>
      </c>
      <c r="F176" s="1" t="s">
        <v>2550</v>
      </c>
      <c r="G176" s="1">
        <v>12490000</v>
      </c>
      <c r="H176" s="1">
        <v>13500000</v>
      </c>
    </row>
    <row r="177" spans="1:8" ht="13.5" customHeight="1" x14ac:dyDescent="0.3">
      <c r="A177" s="1" t="s">
        <v>30</v>
      </c>
      <c r="B177" s="1" t="s">
        <v>41</v>
      </c>
      <c r="C177" s="1" t="s">
        <v>4459</v>
      </c>
      <c r="D177" s="1">
        <v>2021</v>
      </c>
      <c r="E177" s="1" t="str">
        <f t="shared" si="0"/>
        <v>TIGGO 7 PROTIGGO 7 GLS CVT PRO 1.5 AUT2021</v>
      </c>
      <c r="F177" s="1" t="s">
        <v>1798</v>
      </c>
      <c r="G177" s="1">
        <v>12190000</v>
      </c>
      <c r="H177" s="1">
        <v>10000000</v>
      </c>
    </row>
    <row r="178" spans="1:8" ht="13.5" customHeight="1" x14ac:dyDescent="0.3">
      <c r="A178" s="1" t="s">
        <v>30</v>
      </c>
      <c r="B178" s="1" t="s">
        <v>41</v>
      </c>
      <c r="C178" s="1" t="s">
        <v>4459</v>
      </c>
      <c r="D178" s="1">
        <v>2021</v>
      </c>
      <c r="E178" s="1" t="str">
        <f t="shared" si="0"/>
        <v>TIGGO 7 PROTIGGO 7 GLS CVT PRO 1.5 AUT2021</v>
      </c>
      <c r="F178" s="1" t="s">
        <v>1262</v>
      </c>
      <c r="G178" s="1">
        <v>11890000</v>
      </c>
      <c r="H178" s="1">
        <v>10000000</v>
      </c>
    </row>
    <row r="179" spans="1:8" ht="13.5" customHeight="1" x14ac:dyDescent="0.3">
      <c r="A179" s="1" t="s">
        <v>30</v>
      </c>
      <c r="B179" s="1" t="s">
        <v>41</v>
      </c>
      <c r="C179" s="1" t="s">
        <v>4459</v>
      </c>
      <c r="D179" s="1">
        <v>2022</v>
      </c>
      <c r="E179" s="1" t="str">
        <f t="shared" si="0"/>
        <v>TIGGO 7 PROTIGGO 7 GLS CVT PRO 1.5 AUT2022</v>
      </c>
      <c r="F179" s="1" t="s">
        <v>830</v>
      </c>
      <c r="G179" s="1">
        <v>11170000</v>
      </c>
      <c r="H179" s="1">
        <v>9400000</v>
      </c>
    </row>
    <row r="180" spans="1:8" ht="13.5" customHeight="1" x14ac:dyDescent="0.3">
      <c r="A180" s="1" t="s">
        <v>30</v>
      </c>
      <c r="B180" s="1" t="s">
        <v>41</v>
      </c>
      <c r="C180" s="1" t="s">
        <v>4459</v>
      </c>
      <c r="D180" s="1">
        <v>2023</v>
      </c>
      <c r="E180" s="1" t="str">
        <f t="shared" si="0"/>
        <v>TIGGO 7 PROTIGGO 7 GLS CVT PRO 1.5 AUT2023</v>
      </c>
      <c r="F180" s="1" t="s">
        <v>462</v>
      </c>
      <c r="G180" s="1">
        <v>12390000</v>
      </c>
      <c r="H180" s="1">
        <v>10500000</v>
      </c>
    </row>
    <row r="181" spans="1:8" ht="13.5" customHeight="1" x14ac:dyDescent="0.3">
      <c r="A181" s="1" t="s">
        <v>30</v>
      </c>
      <c r="B181" s="1" t="s">
        <v>41</v>
      </c>
      <c r="C181" s="1" t="s">
        <v>4459</v>
      </c>
      <c r="D181" s="1">
        <v>2024</v>
      </c>
      <c r="E181" s="1" t="str">
        <f t="shared" si="0"/>
        <v>TIGGO 7 PROTIGGO 7 GLS CVT PRO 1.5 AUT2024</v>
      </c>
      <c r="F181" s="1" t="s">
        <v>1571</v>
      </c>
      <c r="G181" s="1">
        <v>13590000</v>
      </c>
      <c r="H181" s="1">
        <v>11482757</v>
      </c>
    </row>
    <row r="182" spans="1:8" ht="13.5" customHeight="1" x14ac:dyDescent="0.3">
      <c r="A182" s="1" t="s">
        <v>30</v>
      </c>
      <c r="B182" s="1" t="s">
        <v>41</v>
      </c>
      <c r="C182" s="1" t="s">
        <v>4459</v>
      </c>
      <c r="D182" s="1">
        <v>2024</v>
      </c>
      <c r="E182" s="1" t="str">
        <f t="shared" si="0"/>
        <v>TIGGO 7 PROTIGGO 7 GLS CVT PRO 1.5 AUT2024</v>
      </c>
      <c r="F182" s="1" t="s">
        <v>971</v>
      </c>
      <c r="G182" s="1">
        <v>14790000</v>
      </c>
      <c r="H182" s="1">
        <v>12400000</v>
      </c>
    </row>
    <row r="183" spans="1:8" ht="13.5" customHeight="1" x14ac:dyDescent="0.3">
      <c r="A183" s="1" t="s">
        <v>30</v>
      </c>
      <c r="B183" s="1" t="s">
        <v>41</v>
      </c>
      <c r="C183" s="1" t="s">
        <v>4459</v>
      </c>
      <c r="D183" s="1">
        <v>2025</v>
      </c>
      <c r="E183" s="1" t="str">
        <f t="shared" si="0"/>
        <v>TIGGO 7 PROTIGGO 7 GLS CVT PRO 1.5 AUT2025</v>
      </c>
      <c r="F183" s="1" t="s">
        <v>789</v>
      </c>
      <c r="G183" s="1">
        <v>14790000</v>
      </c>
      <c r="H183" s="1">
        <v>12500000</v>
      </c>
    </row>
    <row r="184" spans="1:8" ht="13.5" customHeight="1" x14ac:dyDescent="0.3">
      <c r="A184" s="1" t="s">
        <v>30</v>
      </c>
      <c r="B184" s="1" t="s">
        <v>41</v>
      </c>
      <c r="C184" s="1" t="s">
        <v>42</v>
      </c>
      <c r="D184" s="1">
        <v>2021</v>
      </c>
      <c r="E184" s="1" t="str">
        <f t="shared" si="0"/>
        <v>TIGGO 7 PROTIGGO 7 GLX CVT PRO 1.5 AUT2021</v>
      </c>
      <c r="F184" s="1" t="s">
        <v>1989</v>
      </c>
      <c r="G184" s="1">
        <v>13990000</v>
      </c>
      <c r="H184" s="1">
        <v>11500000</v>
      </c>
    </row>
    <row r="185" spans="1:8" ht="13.5" customHeight="1" x14ac:dyDescent="0.3">
      <c r="A185" s="1" t="s">
        <v>30</v>
      </c>
      <c r="B185" s="1" t="s">
        <v>41</v>
      </c>
      <c r="C185" s="1" t="s">
        <v>42</v>
      </c>
      <c r="D185" s="1">
        <v>2021</v>
      </c>
      <c r="E185" s="1" t="str">
        <f t="shared" si="0"/>
        <v>TIGGO 7 PROTIGGO 7 GLX CVT PRO 1.5 AUT2021</v>
      </c>
      <c r="F185" s="1" t="s">
        <v>2029</v>
      </c>
      <c r="G185" s="1">
        <v>13490000</v>
      </c>
      <c r="H185" s="1">
        <v>11000000</v>
      </c>
    </row>
    <row r="186" spans="1:8" ht="13.5" customHeight="1" x14ac:dyDescent="0.3">
      <c r="A186" s="1" t="s">
        <v>30</v>
      </c>
      <c r="B186" s="1" t="s">
        <v>41</v>
      </c>
      <c r="C186" s="1" t="s">
        <v>42</v>
      </c>
      <c r="D186" s="1">
        <v>2021</v>
      </c>
      <c r="E186" s="1" t="str">
        <f t="shared" si="0"/>
        <v>TIGGO 7 PROTIGGO 7 GLX CVT PRO 1.5 AUT2021</v>
      </c>
      <c r="F186" s="1" t="s">
        <v>1895</v>
      </c>
      <c r="G186" s="1">
        <v>12990000</v>
      </c>
      <c r="H186" s="1">
        <v>10700000</v>
      </c>
    </row>
    <row r="187" spans="1:8" ht="13.5" customHeight="1" x14ac:dyDescent="0.3">
      <c r="A187" s="1" t="s">
        <v>30</v>
      </c>
      <c r="B187" s="1" t="s">
        <v>41</v>
      </c>
      <c r="C187" s="1" t="s">
        <v>42</v>
      </c>
      <c r="D187" s="1">
        <v>2022</v>
      </c>
      <c r="E187" s="1" t="str">
        <f t="shared" si="0"/>
        <v>TIGGO 7 PROTIGGO 7 GLX CVT PRO 1.5 AUT2022</v>
      </c>
      <c r="F187" s="1" t="s">
        <v>1079</v>
      </c>
      <c r="G187" s="1">
        <v>12990000</v>
      </c>
      <c r="H187" s="1">
        <v>10500000</v>
      </c>
    </row>
    <row r="188" spans="1:8" ht="13.5" customHeight="1" x14ac:dyDescent="0.3">
      <c r="A188" s="1" t="s">
        <v>30</v>
      </c>
      <c r="B188" s="1" t="s">
        <v>41</v>
      </c>
      <c r="C188" s="1" t="s">
        <v>42</v>
      </c>
      <c r="D188" s="1">
        <v>2022</v>
      </c>
      <c r="E188" s="1" t="str">
        <f t="shared" si="0"/>
        <v>TIGGO 7 PROTIGGO 7 GLX CVT PRO 1.5 AUT2022</v>
      </c>
      <c r="F188" s="1" t="s">
        <v>608</v>
      </c>
      <c r="G188" s="1">
        <v>11590000</v>
      </c>
      <c r="H188" s="1">
        <v>10000000</v>
      </c>
    </row>
    <row r="189" spans="1:8" ht="13.5" customHeight="1" x14ac:dyDescent="0.3">
      <c r="A189" s="1" t="s">
        <v>30</v>
      </c>
      <c r="B189" s="1" t="s">
        <v>41</v>
      </c>
      <c r="C189" s="1" t="s">
        <v>42</v>
      </c>
      <c r="D189" s="1">
        <v>2022</v>
      </c>
      <c r="E189" s="1" t="str">
        <f t="shared" si="0"/>
        <v>TIGGO 7 PROTIGGO 7 GLX CVT PRO 1.5 AUT2022</v>
      </c>
      <c r="F189" s="1" t="s">
        <v>1141</v>
      </c>
      <c r="G189" s="1">
        <v>11790000</v>
      </c>
      <c r="H189" s="1">
        <v>10000000</v>
      </c>
    </row>
    <row r="190" spans="1:8" ht="13.5" customHeight="1" x14ac:dyDescent="0.3">
      <c r="A190" s="1" t="s">
        <v>30</v>
      </c>
      <c r="B190" s="1" t="s">
        <v>41</v>
      </c>
      <c r="C190" s="1" t="s">
        <v>42</v>
      </c>
      <c r="D190" s="1">
        <v>2022</v>
      </c>
      <c r="E190" s="1" t="str">
        <f t="shared" si="0"/>
        <v>TIGGO 7 PROTIGGO 7 GLX CVT PRO 1.5 AUT2022</v>
      </c>
      <c r="F190" s="1" t="s">
        <v>754</v>
      </c>
      <c r="G190" s="1">
        <v>11990000</v>
      </c>
      <c r="H190" s="1">
        <v>9650000</v>
      </c>
    </row>
    <row r="191" spans="1:8" ht="13.5" customHeight="1" x14ac:dyDescent="0.3">
      <c r="A191" s="1" t="s">
        <v>30</v>
      </c>
      <c r="B191" s="1" t="s">
        <v>41</v>
      </c>
      <c r="C191" s="1" t="s">
        <v>42</v>
      </c>
      <c r="D191" s="1">
        <v>2022</v>
      </c>
      <c r="E191" s="1" t="str">
        <f t="shared" si="0"/>
        <v>TIGGO 7 PROTIGGO 7 GLX CVT PRO 1.5 AUT2022</v>
      </c>
      <c r="F191" s="1" t="s">
        <v>2382</v>
      </c>
      <c r="G191" s="1">
        <v>15990000</v>
      </c>
      <c r="H191" s="1">
        <v>14000000</v>
      </c>
    </row>
    <row r="192" spans="1:8" ht="13.5" customHeight="1" x14ac:dyDescent="0.3">
      <c r="A192" s="1" t="s">
        <v>30</v>
      </c>
      <c r="B192" s="1" t="s">
        <v>41</v>
      </c>
      <c r="C192" s="1" t="s">
        <v>42</v>
      </c>
      <c r="D192" s="1">
        <v>2022</v>
      </c>
      <c r="E192" s="1" t="str">
        <f t="shared" si="0"/>
        <v>TIGGO 7 PROTIGGO 7 GLX CVT PRO 1.5 AUT2022</v>
      </c>
      <c r="F192" s="1" t="s">
        <v>2323</v>
      </c>
      <c r="G192" s="1">
        <v>15590000</v>
      </c>
      <c r="H192" s="1">
        <v>13000000</v>
      </c>
    </row>
    <row r="193" spans="1:8" ht="13.5" customHeight="1" x14ac:dyDescent="0.3">
      <c r="A193" s="1" t="s">
        <v>30</v>
      </c>
      <c r="B193" s="1" t="s">
        <v>41</v>
      </c>
      <c r="C193" s="1" t="s">
        <v>42</v>
      </c>
      <c r="D193" s="1">
        <v>2022</v>
      </c>
      <c r="E193" s="1" t="str">
        <f t="shared" si="0"/>
        <v>TIGGO 7 PROTIGGO 7 GLX CVT PRO 1.5 AUT2022</v>
      </c>
      <c r="F193" s="1" t="s">
        <v>2544</v>
      </c>
      <c r="G193" s="1">
        <v>15990000</v>
      </c>
      <c r="H193" s="1">
        <v>14179318</v>
      </c>
    </row>
    <row r="194" spans="1:8" ht="13.5" customHeight="1" x14ac:dyDescent="0.3">
      <c r="A194" s="1" t="s">
        <v>30</v>
      </c>
      <c r="B194" s="1" t="s">
        <v>41</v>
      </c>
      <c r="C194" s="1" t="s">
        <v>42</v>
      </c>
      <c r="D194" s="1">
        <v>2022</v>
      </c>
      <c r="E194" s="1" t="str">
        <f t="shared" si="0"/>
        <v>TIGGO 7 PROTIGGO 7 GLX CVT PRO 1.5 AUT2022</v>
      </c>
      <c r="F194" s="1" t="s">
        <v>1013</v>
      </c>
      <c r="G194" s="1">
        <v>12490000</v>
      </c>
      <c r="H194" s="1">
        <v>10500000</v>
      </c>
    </row>
    <row r="195" spans="1:8" ht="13.5" customHeight="1" x14ac:dyDescent="0.3">
      <c r="A195" s="1" t="s">
        <v>30</v>
      </c>
      <c r="B195" s="1" t="s">
        <v>41</v>
      </c>
      <c r="C195" s="1" t="s">
        <v>42</v>
      </c>
      <c r="D195" s="1">
        <v>2022</v>
      </c>
      <c r="E195" s="1" t="str">
        <f t="shared" si="0"/>
        <v>TIGGO 7 PROTIGGO 7 GLX CVT PRO 1.5 AUT2022</v>
      </c>
      <c r="F195" s="1" t="s">
        <v>1022</v>
      </c>
      <c r="G195" s="1">
        <v>12590000</v>
      </c>
      <c r="H195" s="1">
        <v>10800000</v>
      </c>
    </row>
    <row r="196" spans="1:8" ht="13.5" customHeight="1" x14ac:dyDescent="0.3">
      <c r="A196" s="1" t="s">
        <v>30</v>
      </c>
      <c r="B196" s="1" t="s">
        <v>41</v>
      </c>
      <c r="C196" s="1" t="s">
        <v>42</v>
      </c>
      <c r="D196" s="1">
        <v>2022</v>
      </c>
      <c r="E196" s="1" t="str">
        <f t="shared" si="0"/>
        <v>TIGGO 7 PROTIGGO 7 GLX CVT PRO 1.5 AUT2022</v>
      </c>
      <c r="F196" s="1" t="s">
        <v>2406</v>
      </c>
      <c r="G196" s="1">
        <v>15990000</v>
      </c>
      <c r="H196" s="1">
        <v>18500000</v>
      </c>
    </row>
    <row r="197" spans="1:8" ht="13.5" customHeight="1" x14ac:dyDescent="0.3">
      <c r="A197" s="1" t="s">
        <v>30</v>
      </c>
      <c r="B197" s="1" t="s">
        <v>41</v>
      </c>
      <c r="C197" s="1" t="s">
        <v>42</v>
      </c>
      <c r="D197" s="1">
        <v>2023</v>
      </c>
      <c r="E197" s="1" t="str">
        <f t="shared" si="0"/>
        <v>TIGGO 7 PROTIGGO 7 GLX CVT PRO 1.5 AUT2023</v>
      </c>
      <c r="F197" s="1" t="s">
        <v>3812</v>
      </c>
      <c r="G197" s="1">
        <v>15000000</v>
      </c>
      <c r="H197" s="1">
        <v>16200000</v>
      </c>
    </row>
    <row r="198" spans="1:8" ht="13.5" customHeight="1" x14ac:dyDescent="0.3">
      <c r="A198" s="1" t="s">
        <v>30</v>
      </c>
      <c r="B198" s="1" t="s">
        <v>41</v>
      </c>
      <c r="C198" s="1" t="s">
        <v>42</v>
      </c>
      <c r="D198" s="1">
        <v>2023</v>
      </c>
      <c r="E198" s="1" t="str">
        <f t="shared" si="0"/>
        <v>TIGGO 7 PROTIGGO 7 GLX CVT PRO 1.5 AUT2023</v>
      </c>
      <c r="F198" s="1" t="s">
        <v>2020</v>
      </c>
      <c r="G198" s="1">
        <v>16490000</v>
      </c>
      <c r="H198" s="1">
        <v>14500000</v>
      </c>
    </row>
    <row r="199" spans="1:8" ht="13.5" customHeight="1" x14ac:dyDescent="0.3">
      <c r="A199" s="1" t="s">
        <v>30</v>
      </c>
      <c r="B199" s="1" t="s">
        <v>41</v>
      </c>
      <c r="C199" s="1" t="s">
        <v>42</v>
      </c>
      <c r="D199" s="1">
        <v>2023</v>
      </c>
      <c r="E199" s="1" t="str">
        <f t="shared" si="0"/>
        <v>TIGGO 7 PROTIGGO 7 GLX CVT PRO 1.5 AUT2023</v>
      </c>
      <c r="F199" s="1" t="s">
        <v>459</v>
      </c>
      <c r="G199" s="1">
        <v>12990000</v>
      </c>
      <c r="H199" s="1">
        <v>10700000</v>
      </c>
    </row>
    <row r="200" spans="1:8" ht="13.5" customHeight="1" x14ac:dyDescent="0.3">
      <c r="A200" s="1" t="s">
        <v>30</v>
      </c>
      <c r="B200" s="1" t="s">
        <v>41</v>
      </c>
      <c r="C200" s="1" t="s">
        <v>42</v>
      </c>
      <c r="D200" s="1">
        <v>2023</v>
      </c>
      <c r="E200" s="1" t="str">
        <f t="shared" si="0"/>
        <v>TIGGO 7 PROTIGGO 7 GLX CVT PRO 1.5 AUT2023</v>
      </c>
      <c r="F200" s="1" t="s">
        <v>389</v>
      </c>
      <c r="G200" s="1">
        <v>12290000</v>
      </c>
      <c r="H200" s="1">
        <v>11000000</v>
      </c>
    </row>
    <row r="201" spans="1:8" ht="13.5" customHeight="1" x14ac:dyDescent="0.3">
      <c r="A201" s="1" t="s">
        <v>30</v>
      </c>
      <c r="B201" s="1" t="s">
        <v>41</v>
      </c>
      <c r="C201" s="1" t="s">
        <v>42</v>
      </c>
      <c r="D201" s="1">
        <v>2023</v>
      </c>
      <c r="E201" s="1" t="str">
        <f t="shared" si="0"/>
        <v>TIGGO 7 PROTIGGO 7 GLX CVT PRO 1.5 AUT2023</v>
      </c>
      <c r="F201" s="1" t="s">
        <v>1885</v>
      </c>
      <c r="G201" s="1">
        <v>13500000</v>
      </c>
      <c r="H201" s="1">
        <v>12500000</v>
      </c>
    </row>
    <row r="202" spans="1:8" ht="13.5" customHeight="1" x14ac:dyDescent="0.3">
      <c r="A202" s="1" t="s">
        <v>30</v>
      </c>
      <c r="B202" s="1" t="s">
        <v>41</v>
      </c>
      <c r="C202" s="1" t="s">
        <v>42</v>
      </c>
      <c r="D202" s="1">
        <v>2023</v>
      </c>
      <c r="E202" s="1" t="str">
        <f t="shared" si="0"/>
        <v>TIGGO 7 PROTIGGO 7 GLX CVT PRO 1.5 AUT2023</v>
      </c>
      <c r="F202" s="1" t="s">
        <v>1645</v>
      </c>
      <c r="G202" s="1">
        <v>13590000</v>
      </c>
      <c r="H202" s="1">
        <v>11500000</v>
      </c>
    </row>
    <row r="203" spans="1:8" ht="13.5" customHeight="1" x14ac:dyDescent="0.3">
      <c r="A203" s="1" t="s">
        <v>30</v>
      </c>
      <c r="B203" s="1" t="s">
        <v>41</v>
      </c>
      <c r="C203" s="1" t="s">
        <v>42</v>
      </c>
      <c r="D203" s="1">
        <v>2024</v>
      </c>
      <c r="E203" s="1" t="str">
        <f t="shared" si="0"/>
        <v>TIGGO 7 PROTIGGO 7 GLX CVT PRO 1.5 AUT2024</v>
      </c>
      <c r="F203" s="1" t="s">
        <v>570</v>
      </c>
      <c r="G203" s="1">
        <v>12500000</v>
      </c>
      <c r="H203" s="1">
        <v>12000000</v>
      </c>
    </row>
    <row r="204" spans="1:8" ht="13.5" customHeight="1" x14ac:dyDescent="0.3">
      <c r="A204" s="1" t="s">
        <v>30</v>
      </c>
      <c r="B204" s="1" t="s">
        <v>45</v>
      </c>
      <c r="C204" s="1" t="s">
        <v>46</v>
      </c>
      <c r="D204" s="1">
        <v>2021</v>
      </c>
      <c r="E204" s="1" t="str">
        <f t="shared" si="0"/>
        <v>TIGGO 8TIGGO 8 1.52021</v>
      </c>
      <c r="F204" s="1" t="s">
        <v>664</v>
      </c>
      <c r="G204" s="1">
        <v>20880000</v>
      </c>
      <c r="H204" s="1">
        <v>18790000</v>
      </c>
    </row>
    <row r="205" spans="1:8" ht="13.5" customHeight="1" x14ac:dyDescent="0.3">
      <c r="A205" s="1" t="s">
        <v>30</v>
      </c>
      <c r="B205" s="1" t="s">
        <v>45</v>
      </c>
      <c r="C205" s="1" t="s">
        <v>46</v>
      </c>
      <c r="D205" s="1">
        <v>2021</v>
      </c>
      <c r="E205" s="1" t="str">
        <f t="shared" si="0"/>
        <v>TIGGO 8TIGGO 8 1.52021</v>
      </c>
      <c r="F205" s="1" t="s">
        <v>1445</v>
      </c>
      <c r="G205" s="1">
        <v>11990000</v>
      </c>
      <c r="H205" s="1">
        <v>9300000</v>
      </c>
    </row>
    <row r="206" spans="1:8" ht="13.5" customHeight="1" x14ac:dyDescent="0.3">
      <c r="A206" s="1" t="s">
        <v>30</v>
      </c>
      <c r="B206" s="1" t="s">
        <v>45</v>
      </c>
      <c r="C206" s="1" t="s">
        <v>46</v>
      </c>
      <c r="D206" s="1">
        <v>2021</v>
      </c>
      <c r="E206" s="1" t="str">
        <f t="shared" si="0"/>
        <v>TIGGO 8TIGGO 8 1.52021</v>
      </c>
      <c r="F206" s="1" t="s">
        <v>403</v>
      </c>
      <c r="G206" s="1">
        <v>11290000</v>
      </c>
      <c r="H206" s="1">
        <v>9000000</v>
      </c>
    </row>
    <row r="207" spans="1:8" ht="13.5" customHeight="1" x14ac:dyDescent="0.3">
      <c r="A207" s="1" t="s">
        <v>30</v>
      </c>
      <c r="B207" s="1" t="s">
        <v>45</v>
      </c>
      <c r="C207" s="1" t="s">
        <v>46</v>
      </c>
      <c r="D207" s="1">
        <v>2021</v>
      </c>
      <c r="E207" s="1" t="str">
        <f t="shared" si="0"/>
        <v>TIGGO 8TIGGO 8 1.52021</v>
      </c>
      <c r="F207" s="1" t="s">
        <v>1743</v>
      </c>
      <c r="G207" s="1">
        <v>11690000</v>
      </c>
      <c r="H207" s="1">
        <v>9900000</v>
      </c>
    </row>
    <row r="208" spans="1:8" ht="13.5" customHeight="1" x14ac:dyDescent="0.3">
      <c r="A208" s="1" t="s">
        <v>30</v>
      </c>
      <c r="B208" s="1" t="s">
        <v>45</v>
      </c>
      <c r="C208" s="1" t="s">
        <v>46</v>
      </c>
      <c r="D208" s="1">
        <v>2022</v>
      </c>
      <c r="E208" s="1" t="str">
        <f t="shared" si="0"/>
        <v>TIGGO 8TIGGO 8 1.52022</v>
      </c>
      <c r="F208" s="1" t="s">
        <v>1836</v>
      </c>
      <c r="G208" s="1">
        <v>11690000</v>
      </c>
      <c r="H208" s="1">
        <v>9415966</v>
      </c>
    </row>
    <row r="209" spans="1:8" ht="13.5" customHeight="1" x14ac:dyDescent="0.3">
      <c r="A209" s="1" t="s">
        <v>30</v>
      </c>
      <c r="B209" s="1" t="s">
        <v>45</v>
      </c>
      <c r="C209" s="1" t="s">
        <v>46</v>
      </c>
      <c r="D209" s="1">
        <v>2022</v>
      </c>
      <c r="E209" s="1" t="str">
        <f t="shared" si="0"/>
        <v>TIGGO 8TIGGO 8 1.52022</v>
      </c>
      <c r="F209" s="1" t="s">
        <v>1508</v>
      </c>
      <c r="G209" s="1">
        <v>12090000</v>
      </c>
      <c r="H209" s="1">
        <v>10200000</v>
      </c>
    </row>
    <row r="210" spans="1:8" ht="13.5" customHeight="1" x14ac:dyDescent="0.3">
      <c r="A210" s="1" t="s">
        <v>30</v>
      </c>
      <c r="B210" s="1" t="s">
        <v>45</v>
      </c>
      <c r="C210" s="1" t="s">
        <v>46</v>
      </c>
      <c r="D210" s="1">
        <v>2022</v>
      </c>
      <c r="E210" s="1" t="str">
        <f t="shared" si="0"/>
        <v>TIGGO 8TIGGO 8 1.52022</v>
      </c>
      <c r="F210" s="1" t="s">
        <v>1711</v>
      </c>
      <c r="G210" s="1">
        <v>11990000</v>
      </c>
      <c r="H210" s="1">
        <v>9700000</v>
      </c>
    </row>
    <row r="211" spans="1:8" ht="13.5" customHeight="1" x14ac:dyDescent="0.3">
      <c r="A211" s="1" t="s">
        <v>30</v>
      </c>
      <c r="B211" s="1" t="s">
        <v>45</v>
      </c>
      <c r="C211" s="1" t="s">
        <v>46</v>
      </c>
      <c r="D211" s="1">
        <v>2022</v>
      </c>
      <c r="E211" s="1" t="str">
        <f t="shared" si="0"/>
        <v>TIGGO 8TIGGO 8 1.52022</v>
      </c>
      <c r="F211" s="1" t="s">
        <v>1193</v>
      </c>
      <c r="G211" s="1">
        <v>11990000</v>
      </c>
      <c r="H211" s="1">
        <v>9000000</v>
      </c>
    </row>
    <row r="212" spans="1:8" ht="13.5" customHeight="1" x14ac:dyDescent="0.3">
      <c r="A212" s="1" t="s">
        <v>30</v>
      </c>
      <c r="B212" s="1" t="s">
        <v>45</v>
      </c>
      <c r="C212" s="1" t="s">
        <v>46</v>
      </c>
      <c r="D212" s="1">
        <v>2023</v>
      </c>
      <c r="E212" s="1" t="str">
        <f t="shared" si="0"/>
        <v>TIGGO 8TIGGO 8 1.52023</v>
      </c>
      <c r="F212" s="1" t="s">
        <v>810</v>
      </c>
      <c r="G212" s="1">
        <v>24640000</v>
      </c>
      <c r="H212" s="1">
        <v>21000000</v>
      </c>
    </row>
    <row r="213" spans="1:8" ht="13.5" customHeight="1" x14ac:dyDescent="0.3">
      <c r="A213" s="1" t="s">
        <v>30</v>
      </c>
      <c r="B213" s="1" t="s">
        <v>45</v>
      </c>
      <c r="C213" s="1" t="s">
        <v>46</v>
      </c>
      <c r="D213" s="1">
        <v>2024</v>
      </c>
      <c r="E213" s="1" t="str">
        <f t="shared" si="0"/>
        <v>TIGGO 8TIGGO 8 1.52024</v>
      </c>
      <c r="F213" s="1" t="s">
        <v>502</v>
      </c>
      <c r="G213" s="1">
        <v>13690000</v>
      </c>
      <c r="H213" s="1">
        <v>11500000</v>
      </c>
    </row>
    <row r="214" spans="1:8" ht="13.5" customHeight="1" x14ac:dyDescent="0.3">
      <c r="A214" s="1" t="s">
        <v>30</v>
      </c>
      <c r="B214" s="1" t="s">
        <v>45</v>
      </c>
      <c r="C214" s="1" t="s">
        <v>4460</v>
      </c>
      <c r="D214" s="1">
        <v>2021</v>
      </c>
      <c r="E214" s="1" t="str">
        <f t="shared" si="0"/>
        <v>TIGGO 8TIGGO 8 1.5 AUT2021</v>
      </c>
      <c r="F214" s="1" t="s">
        <v>1762</v>
      </c>
      <c r="G214" s="1">
        <v>12990000</v>
      </c>
      <c r="H214" s="1">
        <v>11000000</v>
      </c>
    </row>
    <row r="215" spans="1:8" ht="13.5" customHeight="1" x14ac:dyDescent="0.3">
      <c r="A215" s="1" t="s">
        <v>30</v>
      </c>
      <c r="B215" s="1" t="s">
        <v>45</v>
      </c>
      <c r="C215" s="1" t="s">
        <v>4460</v>
      </c>
      <c r="D215" s="1">
        <v>2021</v>
      </c>
      <c r="E215" s="1" t="str">
        <f t="shared" si="0"/>
        <v>TIGGO 8TIGGO 8 1.5 AUT2021</v>
      </c>
      <c r="F215" s="1" t="s">
        <v>992</v>
      </c>
      <c r="G215" s="1">
        <v>10990000</v>
      </c>
      <c r="H215" s="1">
        <v>9300000</v>
      </c>
    </row>
    <row r="216" spans="1:8" ht="13.5" customHeight="1" x14ac:dyDescent="0.3">
      <c r="A216" s="1" t="s">
        <v>30</v>
      </c>
      <c r="B216" s="1" t="s">
        <v>45</v>
      </c>
      <c r="C216" s="1" t="s">
        <v>4460</v>
      </c>
      <c r="D216" s="1">
        <v>2021</v>
      </c>
      <c r="E216" s="1" t="str">
        <f t="shared" si="0"/>
        <v>TIGGO 8TIGGO 8 1.5 AUT2021</v>
      </c>
      <c r="F216" s="1" t="s">
        <v>525</v>
      </c>
      <c r="G216" s="1">
        <v>11690000</v>
      </c>
      <c r="H216" s="1">
        <v>9000000</v>
      </c>
    </row>
    <row r="217" spans="1:8" ht="13.5" customHeight="1" x14ac:dyDescent="0.3">
      <c r="A217" s="1" t="s">
        <v>30</v>
      </c>
      <c r="B217" s="1" t="s">
        <v>45</v>
      </c>
      <c r="C217" s="1" t="s">
        <v>4460</v>
      </c>
      <c r="D217" s="1">
        <v>2021</v>
      </c>
      <c r="E217" s="1" t="str">
        <f t="shared" si="0"/>
        <v>TIGGO 8TIGGO 8 1.5 AUT2021</v>
      </c>
      <c r="F217" s="1" t="s">
        <v>902</v>
      </c>
      <c r="G217" s="1">
        <v>12290000</v>
      </c>
      <c r="H217" s="1">
        <v>9500000</v>
      </c>
    </row>
    <row r="218" spans="1:8" ht="13.5" customHeight="1" x14ac:dyDescent="0.3">
      <c r="A218" s="1" t="s">
        <v>30</v>
      </c>
      <c r="B218" s="1" t="s">
        <v>45</v>
      </c>
      <c r="C218" s="1" t="s">
        <v>4460</v>
      </c>
      <c r="D218" s="1">
        <v>2021</v>
      </c>
      <c r="E218" s="1" t="str">
        <f t="shared" si="0"/>
        <v>TIGGO 8TIGGO 8 1.5 AUT2021</v>
      </c>
      <c r="F218" s="1" t="s">
        <v>446</v>
      </c>
      <c r="G218" s="1">
        <v>11990000</v>
      </c>
      <c r="H218" s="1">
        <v>9600000</v>
      </c>
    </row>
    <row r="219" spans="1:8" ht="13.5" customHeight="1" x14ac:dyDescent="0.3">
      <c r="A219" s="1" t="s">
        <v>30</v>
      </c>
      <c r="B219" s="1" t="s">
        <v>45</v>
      </c>
      <c r="C219" s="1" t="s">
        <v>4460</v>
      </c>
      <c r="D219" s="1">
        <v>2021</v>
      </c>
      <c r="E219" s="1" t="str">
        <f t="shared" si="0"/>
        <v>TIGGO 8TIGGO 8 1.5 AUT2021</v>
      </c>
      <c r="F219" s="1" t="s">
        <v>1369</v>
      </c>
      <c r="G219" s="1">
        <v>12490000</v>
      </c>
      <c r="H219" s="1">
        <v>10500000</v>
      </c>
    </row>
    <row r="220" spans="1:8" ht="13.5" customHeight="1" x14ac:dyDescent="0.3">
      <c r="A220" s="1" t="s">
        <v>30</v>
      </c>
      <c r="B220" s="1" t="s">
        <v>45</v>
      </c>
      <c r="C220" s="1" t="s">
        <v>4461</v>
      </c>
      <c r="D220" s="1">
        <v>2020</v>
      </c>
      <c r="E220" s="1" t="str">
        <f t="shared" si="0"/>
        <v>TIGGO 8TIGGO 8 GLS 1.52020</v>
      </c>
      <c r="F220" s="1" t="s">
        <v>1548</v>
      </c>
      <c r="G220" s="1">
        <v>10690000</v>
      </c>
      <c r="H220" s="1">
        <v>9500000</v>
      </c>
    </row>
    <row r="221" spans="1:8" ht="13.5" customHeight="1" x14ac:dyDescent="0.3">
      <c r="A221" s="1" t="s">
        <v>30</v>
      </c>
      <c r="B221" s="1" t="s">
        <v>2902</v>
      </c>
      <c r="C221" s="1" t="s">
        <v>4462</v>
      </c>
      <c r="D221" s="1">
        <v>2022</v>
      </c>
      <c r="E221" s="1" t="str">
        <f t="shared" si="0"/>
        <v>TIGGO 8 PROTIGGO 8 PRO GLX DCT 1.6 AUT2022</v>
      </c>
      <c r="F221" s="1" t="s">
        <v>1137</v>
      </c>
      <c r="G221" s="1">
        <v>13990000</v>
      </c>
      <c r="H221" s="1">
        <v>12000000</v>
      </c>
    </row>
    <row r="222" spans="1:8" ht="13.5" customHeight="1" x14ac:dyDescent="0.3">
      <c r="A222" s="1" t="s">
        <v>30</v>
      </c>
      <c r="B222" s="1" t="s">
        <v>2902</v>
      </c>
      <c r="C222" s="1" t="s">
        <v>4462</v>
      </c>
      <c r="D222" s="1">
        <v>2023</v>
      </c>
      <c r="E222" s="1" t="str">
        <f t="shared" si="0"/>
        <v>TIGGO 8 PROTIGGO 8 PRO GLX DCT 1.6 AUT2023</v>
      </c>
      <c r="F222" s="1" t="s">
        <v>572</v>
      </c>
      <c r="G222" s="1">
        <v>13690000</v>
      </c>
      <c r="H222" s="1">
        <v>12000000</v>
      </c>
    </row>
    <row r="223" spans="1:8" ht="13.5" customHeight="1" x14ac:dyDescent="0.3">
      <c r="A223" s="1" t="s">
        <v>30</v>
      </c>
      <c r="B223" s="1" t="s">
        <v>2902</v>
      </c>
      <c r="C223" s="1" t="s">
        <v>4462</v>
      </c>
      <c r="D223" s="1">
        <v>2023</v>
      </c>
      <c r="E223" s="1" t="str">
        <f t="shared" si="0"/>
        <v>TIGGO 8 PROTIGGO 8 PRO GLX DCT 1.6 AUT2023</v>
      </c>
      <c r="F223" s="1" t="s">
        <v>1187</v>
      </c>
      <c r="G223" s="1">
        <v>15790000</v>
      </c>
      <c r="H223" s="1">
        <v>16500000</v>
      </c>
    </row>
    <row r="224" spans="1:8" ht="13.5" customHeight="1" x14ac:dyDescent="0.3">
      <c r="A224" s="1" t="s">
        <v>30</v>
      </c>
      <c r="B224" s="1" t="s">
        <v>2902</v>
      </c>
      <c r="C224" s="1" t="s">
        <v>4462</v>
      </c>
      <c r="D224" s="1">
        <v>2023</v>
      </c>
      <c r="E224" s="1" t="str">
        <f t="shared" si="0"/>
        <v>TIGGO 8 PROTIGGO 8 PRO GLX DCT 1.6 AUT2023</v>
      </c>
      <c r="F224" s="1" t="s">
        <v>504</v>
      </c>
      <c r="G224" s="1">
        <v>13890000</v>
      </c>
      <c r="H224" s="1">
        <v>11800000</v>
      </c>
    </row>
    <row r="225" spans="1:8" ht="13.5" customHeight="1" x14ac:dyDescent="0.3">
      <c r="A225" s="1" t="s">
        <v>30</v>
      </c>
      <c r="B225" s="1" t="s">
        <v>2902</v>
      </c>
      <c r="C225" s="1" t="s">
        <v>4463</v>
      </c>
      <c r="D225" s="1">
        <v>2023</v>
      </c>
      <c r="E225" s="1" t="str">
        <f t="shared" si="0"/>
        <v>TIGGO 8 PROTIGGO 8 PRO MAX 4X4 2.0 AUT2023</v>
      </c>
      <c r="F225" s="1" t="s">
        <v>884</v>
      </c>
      <c r="G225" s="1">
        <v>12390000</v>
      </c>
      <c r="H225" s="1">
        <v>10750000</v>
      </c>
    </row>
    <row r="226" spans="1:8" ht="13.5" customHeight="1" x14ac:dyDescent="0.3">
      <c r="A226" s="1" t="s">
        <v>48</v>
      </c>
      <c r="B226" s="1" t="s">
        <v>49</v>
      </c>
      <c r="C226" s="1" t="s">
        <v>4464</v>
      </c>
      <c r="D226" s="1">
        <v>2021</v>
      </c>
      <c r="E226" s="1" t="str">
        <f t="shared" si="0"/>
        <v>CAPTIVACAPTIVA 1.52021</v>
      </c>
      <c r="F226" s="1" t="s">
        <v>1558</v>
      </c>
      <c r="G226" s="1">
        <v>29980000</v>
      </c>
      <c r="H226" s="1">
        <v>25000000</v>
      </c>
    </row>
    <row r="227" spans="1:8" ht="13.5" customHeight="1" x14ac:dyDescent="0.3">
      <c r="A227" s="1" t="s">
        <v>48</v>
      </c>
      <c r="B227" s="1" t="s">
        <v>49</v>
      </c>
      <c r="C227" s="1" t="s">
        <v>4465</v>
      </c>
      <c r="D227" s="1">
        <v>2022</v>
      </c>
      <c r="E227" s="1" t="str">
        <f t="shared" si="0"/>
        <v>CAPTIVACAPTIVA 1.5 AT2022</v>
      </c>
      <c r="F227" s="1" t="s">
        <v>722</v>
      </c>
      <c r="G227" s="1">
        <v>12990000</v>
      </c>
      <c r="H227" s="1">
        <v>10500000</v>
      </c>
    </row>
    <row r="228" spans="1:8" ht="13.5" customHeight="1" x14ac:dyDescent="0.3">
      <c r="A228" s="1" t="s">
        <v>48</v>
      </c>
      <c r="B228" s="1" t="s">
        <v>49</v>
      </c>
      <c r="C228" s="1" t="s">
        <v>4465</v>
      </c>
      <c r="D228" s="1">
        <v>2022</v>
      </c>
      <c r="E228" s="1" t="str">
        <f t="shared" si="0"/>
        <v>CAPTIVACAPTIVA 1.5 AT2022</v>
      </c>
      <c r="F228" s="1" t="s">
        <v>1838</v>
      </c>
      <c r="G228" s="1">
        <v>14390000</v>
      </c>
      <c r="H228" s="1">
        <v>11800000</v>
      </c>
    </row>
    <row r="229" spans="1:8" ht="13.5" customHeight="1" x14ac:dyDescent="0.3">
      <c r="A229" s="1" t="s">
        <v>48</v>
      </c>
      <c r="B229" s="1" t="s">
        <v>49</v>
      </c>
      <c r="C229" s="1" t="s">
        <v>4465</v>
      </c>
      <c r="D229" s="1">
        <v>2022</v>
      </c>
      <c r="E229" s="1" t="str">
        <f t="shared" si="0"/>
        <v>CAPTIVACAPTIVA 1.5 AT2022</v>
      </c>
      <c r="F229" s="1" t="s">
        <v>371</v>
      </c>
      <c r="G229" s="1">
        <v>13490000</v>
      </c>
      <c r="H229" s="1">
        <v>11000000</v>
      </c>
    </row>
    <row r="230" spans="1:8" ht="13.5" customHeight="1" x14ac:dyDescent="0.3">
      <c r="A230" s="1" t="s">
        <v>48</v>
      </c>
      <c r="B230" s="1" t="s">
        <v>49</v>
      </c>
      <c r="C230" s="1" t="s">
        <v>4466</v>
      </c>
      <c r="D230" s="1">
        <v>2022</v>
      </c>
      <c r="E230" s="1" t="str">
        <f t="shared" si="0"/>
        <v>CAPTIVACAPTIVA 1.5 AUT2022</v>
      </c>
      <c r="F230" s="1" t="s">
        <v>1466</v>
      </c>
      <c r="G230" s="1">
        <v>15990000</v>
      </c>
      <c r="H230" s="1">
        <v>11900000</v>
      </c>
    </row>
    <row r="231" spans="1:8" ht="13.5" customHeight="1" x14ac:dyDescent="0.3">
      <c r="A231" s="1" t="s">
        <v>48</v>
      </c>
      <c r="B231" s="1" t="s">
        <v>49</v>
      </c>
      <c r="C231" s="1" t="s">
        <v>50</v>
      </c>
      <c r="D231" s="1">
        <v>2017</v>
      </c>
      <c r="E231" s="1" t="str">
        <f t="shared" si="0"/>
        <v>CAPTIVACAPTIVA LS 2.4 AT2017</v>
      </c>
      <c r="F231" s="1" t="s">
        <v>51</v>
      </c>
      <c r="G231" s="1">
        <v>9590000</v>
      </c>
      <c r="H231" s="1">
        <v>7300000</v>
      </c>
    </row>
    <row r="232" spans="1:8" ht="13.5" customHeight="1" x14ac:dyDescent="0.3">
      <c r="A232" s="1" t="s">
        <v>48</v>
      </c>
      <c r="B232" s="1" t="s">
        <v>49</v>
      </c>
      <c r="C232" s="1" t="s">
        <v>50</v>
      </c>
      <c r="D232" s="1">
        <v>2018</v>
      </c>
      <c r="E232" s="1" t="str">
        <f t="shared" si="0"/>
        <v>CAPTIVACAPTIVA LS 2.4 AT2018</v>
      </c>
      <c r="F232" s="1" t="s">
        <v>819</v>
      </c>
      <c r="G232" s="1">
        <v>9990000</v>
      </c>
      <c r="H232" s="1">
        <v>8150000</v>
      </c>
    </row>
    <row r="233" spans="1:8" ht="13.5" customHeight="1" x14ac:dyDescent="0.3">
      <c r="A233" s="1" t="s">
        <v>48</v>
      </c>
      <c r="B233" s="1" t="s">
        <v>49</v>
      </c>
      <c r="C233" s="1" t="s">
        <v>4467</v>
      </c>
      <c r="D233" s="1">
        <v>2021</v>
      </c>
      <c r="E233" s="1" t="str">
        <f t="shared" si="0"/>
        <v>CAPTIVACAPTIVA LT 1.5 AUT2021</v>
      </c>
      <c r="F233" s="1" t="s">
        <v>427</v>
      </c>
      <c r="G233" s="1">
        <v>11990000</v>
      </c>
      <c r="H233" s="1">
        <v>9400000</v>
      </c>
    </row>
    <row r="234" spans="1:8" ht="13.5" customHeight="1" x14ac:dyDescent="0.3">
      <c r="A234" s="1" t="s">
        <v>48</v>
      </c>
      <c r="B234" s="1" t="s">
        <v>49</v>
      </c>
      <c r="C234" s="1" t="s">
        <v>4468</v>
      </c>
      <c r="D234" s="1">
        <v>2022</v>
      </c>
      <c r="E234" s="1" t="str">
        <f t="shared" si="0"/>
        <v>CAPTIVACAPTIVA MT6 1.52022</v>
      </c>
      <c r="F234" s="1" t="s">
        <v>1924</v>
      </c>
      <c r="G234" s="1">
        <v>14690000</v>
      </c>
      <c r="H234" s="1">
        <v>12000000</v>
      </c>
    </row>
    <row r="235" spans="1:8" ht="13.5" customHeight="1" x14ac:dyDescent="0.3">
      <c r="A235" s="1" t="s">
        <v>48</v>
      </c>
      <c r="B235" s="1" t="s">
        <v>49</v>
      </c>
      <c r="C235" s="1" t="s">
        <v>4468</v>
      </c>
      <c r="D235" s="1">
        <v>2024</v>
      </c>
      <c r="E235" s="1" t="str">
        <f t="shared" si="0"/>
        <v>CAPTIVACAPTIVA MT6 1.52024</v>
      </c>
      <c r="F235" s="1" t="s">
        <v>929</v>
      </c>
      <c r="G235" s="1">
        <v>16990000</v>
      </c>
      <c r="H235" s="1">
        <v>14100000</v>
      </c>
    </row>
    <row r="236" spans="1:8" ht="13.5" customHeight="1" x14ac:dyDescent="0.3">
      <c r="A236" s="1" t="s">
        <v>48</v>
      </c>
      <c r="B236" s="1" t="s">
        <v>49</v>
      </c>
      <c r="C236" s="1" t="s">
        <v>4469</v>
      </c>
      <c r="D236" s="1">
        <v>2022</v>
      </c>
      <c r="E236" s="1" t="str">
        <f t="shared" si="0"/>
        <v>CAPTIVACAPTIVA MT6 4X2 1.52022</v>
      </c>
      <c r="F236" s="1" t="s">
        <v>422</v>
      </c>
      <c r="G236" s="1">
        <v>12290000</v>
      </c>
      <c r="H236" s="1">
        <v>9000000</v>
      </c>
    </row>
    <row r="237" spans="1:8" ht="13.5" customHeight="1" x14ac:dyDescent="0.3">
      <c r="A237" s="1" t="s">
        <v>48</v>
      </c>
      <c r="B237" s="1" t="s">
        <v>49</v>
      </c>
      <c r="C237" s="1" t="s">
        <v>4470</v>
      </c>
      <c r="D237" s="1">
        <v>2020</v>
      </c>
      <c r="E237" s="1" t="str">
        <f t="shared" si="0"/>
        <v>CAPTIVACAPTIVA OTTO 1.52020</v>
      </c>
      <c r="F237" s="1" t="s">
        <v>2064</v>
      </c>
      <c r="G237" s="1">
        <v>14990000</v>
      </c>
      <c r="H237" s="1">
        <v>11000000</v>
      </c>
    </row>
    <row r="238" spans="1:8" ht="13.5" customHeight="1" x14ac:dyDescent="0.3">
      <c r="A238" s="1" t="s">
        <v>48</v>
      </c>
      <c r="B238" s="1" t="s">
        <v>49</v>
      </c>
      <c r="C238" s="1" t="s">
        <v>4471</v>
      </c>
      <c r="D238" s="1">
        <v>2019</v>
      </c>
      <c r="E238" s="1" t="str">
        <f t="shared" si="0"/>
        <v>CAPTIVACAPTIVA PREMIER 1.52019</v>
      </c>
      <c r="F238" s="1" t="s">
        <v>1489</v>
      </c>
      <c r="G238" s="1">
        <v>11990000</v>
      </c>
      <c r="H238" s="1">
        <v>9700000</v>
      </c>
    </row>
    <row r="239" spans="1:8" ht="13.5" customHeight="1" x14ac:dyDescent="0.3">
      <c r="A239" s="1" t="s">
        <v>48</v>
      </c>
      <c r="B239" s="1" t="s">
        <v>49</v>
      </c>
      <c r="C239" s="1" t="s">
        <v>4471</v>
      </c>
      <c r="D239" s="1">
        <v>2019</v>
      </c>
      <c r="E239" s="1" t="str">
        <f t="shared" si="0"/>
        <v>CAPTIVACAPTIVA PREMIER 1.52019</v>
      </c>
      <c r="F239" s="1" t="s">
        <v>2031</v>
      </c>
      <c r="G239" s="1">
        <v>11990000</v>
      </c>
      <c r="H239" s="1">
        <v>9700000</v>
      </c>
    </row>
    <row r="240" spans="1:8" ht="13.5" customHeight="1" x14ac:dyDescent="0.3">
      <c r="A240" s="1" t="s">
        <v>48</v>
      </c>
      <c r="B240" s="1" t="s">
        <v>3315</v>
      </c>
      <c r="C240" s="1" t="s">
        <v>4472</v>
      </c>
      <c r="D240" s="1">
        <v>2020</v>
      </c>
      <c r="E240" s="1" t="str">
        <f t="shared" si="0"/>
        <v>COLORADOCOLORADO 4WD 2.8 AUT2020</v>
      </c>
      <c r="F240" s="1" t="s">
        <v>2170</v>
      </c>
      <c r="G240" s="1">
        <v>26390000</v>
      </c>
      <c r="H240" s="1">
        <v>22000000</v>
      </c>
    </row>
    <row r="241" spans="1:8" ht="13.5" customHeight="1" x14ac:dyDescent="0.3">
      <c r="A241" s="1" t="s">
        <v>48</v>
      </c>
      <c r="B241" s="1" t="s">
        <v>3315</v>
      </c>
      <c r="C241" s="1" t="s">
        <v>4473</v>
      </c>
      <c r="D241" s="1">
        <v>2022</v>
      </c>
      <c r="E241" s="1" t="str">
        <f t="shared" si="0"/>
        <v>COLORADOCOLORADO DCAB 4X4 2.82022</v>
      </c>
      <c r="F241" s="1" t="s">
        <v>1742</v>
      </c>
      <c r="G241" s="1">
        <v>21585120</v>
      </c>
      <c r="H241" s="1">
        <v>18000000</v>
      </c>
    </row>
    <row r="242" spans="1:8" ht="13.5" customHeight="1" x14ac:dyDescent="0.3">
      <c r="A242" s="1" t="s">
        <v>48</v>
      </c>
      <c r="B242" s="1" t="s">
        <v>3315</v>
      </c>
      <c r="C242" s="1" t="s">
        <v>4474</v>
      </c>
      <c r="D242" s="1">
        <v>2022</v>
      </c>
      <c r="E242" s="1" t="str">
        <f t="shared" si="0"/>
        <v>COLORADOCOLORADO DCAB 4X4 2.8 AT2022</v>
      </c>
      <c r="F242" s="1" t="s">
        <v>1863</v>
      </c>
      <c r="G242" s="1">
        <v>26990000</v>
      </c>
      <c r="H242" s="1">
        <v>22000000</v>
      </c>
    </row>
    <row r="243" spans="1:8" ht="13.5" customHeight="1" x14ac:dyDescent="0.3">
      <c r="A243" s="1" t="s">
        <v>48</v>
      </c>
      <c r="B243" s="1" t="s">
        <v>3315</v>
      </c>
      <c r="C243" s="1" t="s">
        <v>4474</v>
      </c>
      <c r="D243" s="1">
        <v>2023</v>
      </c>
      <c r="E243" s="1" t="str">
        <f t="shared" si="0"/>
        <v>COLORADOCOLORADO DCAB 4X4 2.8 AT2023</v>
      </c>
      <c r="F243" s="1" t="s">
        <v>1426</v>
      </c>
      <c r="G243" s="1">
        <v>19990000</v>
      </c>
      <c r="H243" s="1">
        <v>23800000</v>
      </c>
    </row>
    <row r="244" spans="1:8" ht="13.5" customHeight="1" x14ac:dyDescent="0.3">
      <c r="A244" s="1" t="s">
        <v>48</v>
      </c>
      <c r="B244" s="1" t="s">
        <v>3315</v>
      </c>
      <c r="C244" s="1" t="s">
        <v>4475</v>
      </c>
      <c r="D244" s="1">
        <v>2022</v>
      </c>
      <c r="E244" s="1" t="str">
        <f t="shared" si="0"/>
        <v>COLORADOCOLORADO II LS 2.82022</v>
      </c>
      <c r="F244" s="1" t="s">
        <v>828</v>
      </c>
      <c r="G244" s="1">
        <v>20290000</v>
      </c>
      <c r="H244" s="1">
        <v>17000000</v>
      </c>
    </row>
    <row r="245" spans="1:8" ht="13.5" customHeight="1" x14ac:dyDescent="0.3">
      <c r="A245" s="1" t="s">
        <v>48</v>
      </c>
      <c r="B245" s="1" t="s">
        <v>4476</v>
      </c>
      <c r="C245" s="1" t="s">
        <v>4477</v>
      </c>
      <c r="D245" s="1">
        <v>2020</v>
      </c>
      <c r="E245" s="1" t="str">
        <f t="shared" si="0"/>
        <v>EQUINOXEQUINOX FWD 1.5 AUT2020</v>
      </c>
      <c r="F245" s="1" t="s">
        <v>1563</v>
      </c>
      <c r="G245" s="1">
        <v>11990000</v>
      </c>
      <c r="H245" s="1">
        <v>10000000</v>
      </c>
    </row>
    <row r="246" spans="1:8" ht="13.5" customHeight="1" x14ac:dyDescent="0.3">
      <c r="A246" s="1" t="s">
        <v>48</v>
      </c>
      <c r="B246" s="1" t="s">
        <v>3176</v>
      </c>
      <c r="C246" s="1" t="s">
        <v>4478</v>
      </c>
      <c r="D246" s="1">
        <v>2021</v>
      </c>
      <c r="E246" s="1" t="str">
        <f t="shared" si="0"/>
        <v>GROOVEGROOVE 1.52021</v>
      </c>
      <c r="F246" s="1" t="s">
        <v>951</v>
      </c>
      <c r="G246" s="1">
        <v>8490000</v>
      </c>
      <c r="H246" s="1">
        <v>6700000</v>
      </c>
    </row>
    <row r="247" spans="1:8" ht="13.5" customHeight="1" x14ac:dyDescent="0.3">
      <c r="A247" s="1" t="s">
        <v>48</v>
      </c>
      <c r="B247" s="1" t="s">
        <v>3176</v>
      </c>
      <c r="C247" s="1" t="s">
        <v>4478</v>
      </c>
      <c r="D247" s="1">
        <v>2021</v>
      </c>
      <c r="E247" s="1" t="str">
        <f t="shared" si="0"/>
        <v>GROOVEGROOVE 1.52021</v>
      </c>
      <c r="F247" s="1" t="s">
        <v>2257</v>
      </c>
      <c r="G247" s="1">
        <v>11990000</v>
      </c>
      <c r="H247" s="1">
        <v>10000000</v>
      </c>
    </row>
    <row r="248" spans="1:8" ht="13.5" customHeight="1" x14ac:dyDescent="0.3">
      <c r="A248" s="1" t="s">
        <v>48</v>
      </c>
      <c r="B248" s="1" t="s">
        <v>3176</v>
      </c>
      <c r="C248" s="1" t="s">
        <v>4478</v>
      </c>
      <c r="D248" s="1">
        <v>2021</v>
      </c>
      <c r="E248" s="1" t="str">
        <f t="shared" si="0"/>
        <v>GROOVEGROOVE 1.52021</v>
      </c>
      <c r="F248" s="1" t="s">
        <v>1503</v>
      </c>
      <c r="G248" s="1">
        <v>10090000</v>
      </c>
      <c r="H248" s="1">
        <v>8500000</v>
      </c>
    </row>
    <row r="249" spans="1:8" ht="13.5" customHeight="1" x14ac:dyDescent="0.3">
      <c r="A249" s="1" t="s">
        <v>48</v>
      </c>
      <c r="B249" s="1" t="s">
        <v>3176</v>
      </c>
      <c r="C249" s="1" t="s">
        <v>4478</v>
      </c>
      <c r="D249" s="1">
        <v>2021</v>
      </c>
      <c r="E249" s="1" t="str">
        <f t="shared" si="0"/>
        <v>GROOVEGROOVE 1.52021</v>
      </c>
      <c r="F249" s="1" t="s">
        <v>1354</v>
      </c>
      <c r="G249" s="1">
        <v>10690000</v>
      </c>
      <c r="H249" s="1">
        <v>8000000</v>
      </c>
    </row>
    <row r="250" spans="1:8" ht="13.5" customHeight="1" x14ac:dyDescent="0.3">
      <c r="A250" s="1" t="s">
        <v>48</v>
      </c>
      <c r="B250" s="1" t="s">
        <v>3176</v>
      </c>
      <c r="C250" s="1" t="s">
        <v>4478</v>
      </c>
      <c r="D250" s="1">
        <v>2021</v>
      </c>
      <c r="E250" s="1" t="str">
        <f t="shared" si="0"/>
        <v>GROOVEGROOVE 1.52021</v>
      </c>
      <c r="F250" s="1" t="s">
        <v>669</v>
      </c>
      <c r="G250" s="1">
        <v>9290000</v>
      </c>
      <c r="H250" s="1">
        <v>7300000</v>
      </c>
    </row>
    <row r="251" spans="1:8" ht="13.5" customHeight="1" x14ac:dyDescent="0.3">
      <c r="A251" s="1" t="s">
        <v>48</v>
      </c>
      <c r="B251" s="1" t="s">
        <v>3176</v>
      </c>
      <c r="C251" s="1" t="s">
        <v>4478</v>
      </c>
      <c r="D251" s="1">
        <v>2022</v>
      </c>
      <c r="E251" s="1" t="str">
        <f t="shared" si="0"/>
        <v>GROOVEGROOVE 1.52022</v>
      </c>
      <c r="F251" s="1" t="s">
        <v>925</v>
      </c>
      <c r="G251" s="1">
        <v>8990000</v>
      </c>
      <c r="H251" s="1">
        <v>7500000</v>
      </c>
    </row>
    <row r="252" spans="1:8" ht="13.5" customHeight="1" x14ac:dyDescent="0.3">
      <c r="A252" s="1" t="s">
        <v>48</v>
      </c>
      <c r="B252" s="1" t="s">
        <v>3176</v>
      </c>
      <c r="C252" s="1" t="s">
        <v>4478</v>
      </c>
      <c r="D252" s="1">
        <v>2022</v>
      </c>
      <c r="E252" s="1" t="str">
        <f t="shared" si="0"/>
        <v>GROOVEGROOVE 1.52022</v>
      </c>
      <c r="F252" s="1" t="s">
        <v>1025</v>
      </c>
      <c r="G252" s="1">
        <v>9690000</v>
      </c>
      <c r="H252" s="1">
        <v>8000000</v>
      </c>
    </row>
    <row r="253" spans="1:8" ht="13.5" customHeight="1" x14ac:dyDescent="0.3">
      <c r="A253" s="1" t="s">
        <v>48</v>
      </c>
      <c r="B253" s="1" t="s">
        <v>3176</v>
      </c>
      <c r="C253" s="1" t="s">
        <v>4478</v>
      </c>
      <c r="D253" s="1">
        <v>2023</v>
      </c>
      <c r="E253" s="1" t="str">
        <f t="shared" si="0"/>
        <v>GROOVEGROOVE 1.52023</v>
      </c>
      <c r="F253" s="1" t="s">
        <v>659</v>
      </c>
      <c r="G253" s="1">
        <v>10690000</v>
      </c>
      <c r="H253" s="1">
        <v>8800000</v>
      </c>
    </row>
    <row r="254" spans="1:8" ht="13.5" customHeight="1" x14ac:dyDescent="0.3">
      <c r="A254" s="1" t="s">
        <v>48</v>
      </c>
      <c r="B254" s="1" t="s">
        <v>3176</v>
      </c>
      <c r="C254" s="1" t="s">
        <v>4478</v>
      </c>
      <c r="D254" s="1">
        <v>2023</v>
      </c>
      <c r="E254" s="1" t="str">
        <f t="shared" si="0"/>
        <v>GROOVEGROOVE 1.52023</v>
      </c>
      <c r="F254" s="1" t="s">
        <v>1631</v>
      </c>
      <c r="G254" s="1">
        <v>11690000</v>
      </c>
      <c r="H254" s="1">
        <v>9478403</v>
      </c>
    </row>
    <row r="255" spans="1:8" ht="13.5" customHeight="1" x14ac:dyDescent="0.3">
      <c r="A255" s="1" t="s">
        <v>48</v>
      </c>
      <c r="B255" s="1" t="s">
        <v>3176</v>
      </c>
      <c r="C255" s="1" t="s">
        <v>4478</v>
      </c>
      <c r="D255" s="1">
        <v>2023</v>
      </c>
      <c r="E255" s="1" t="str">
        <f t="shared" si="0"/>
        <v>GROOVEGROOVE 1.52023</v>
      </c>
      <c r="F255" s="1" t="s">
        <v>441</v>
      </c>
      <c r="G255" s="1">
        <v>10990000</v>
      </c>
      <c r="H255" s="1">
        <v>8500000</v>
      </c>
    </row>
    <row r="256" spans="1:8" ht="13.5" customHeight="1" x14ac:dyDescent="0.3">
      <c r="A256" s="1" t="s">
        <v>48</v>
      </c>
      <c r="B256" s="1" t="s">
        <v>3176</v>
      </c>
      <c r="C256" s="1" t="s">
        <v>4478</v>
      </c>
      <c r="D256" s="1">
        <v>2023</v>
      </c>
      <c r="E256" s="1" t="str">
        <f t="shared" si="0"/>
        <v>GROOVEGROOVE 1.52023</v>
      </c>
      <c r="F256" s="1" t="s">
        <v>807</v>
      </c>
      <c r="G256" s="1">
        <v>10390000</v>
      </c>
      <c r="H256" s="1">
        <v>8620000</v>
      </c>
    </row>
    <row r="257" spans="1:8" ht="13.5" customHeight="1" x14ac:dyDescent="0.3">
      <c r="A257" s="1" t="s">
        <v>48</v>
      </c>
      <c r="B257" s="1" t="s">
        <v>3176</v>
      </c>
      <c r="C257" s="1" t="s">
        <v>4479</v>
      </c>
      <c r="D257" s="1">
        <v>2025</v>
      </c>
      <c r="E257" s="1" t="str">
        <f t="shared" si="0"/>
        <v>GROOVEGROOVE LTZ 1.52025</v>
      </c>
      <c r="F257" s="1" t="s">
        <v>630</v>
      </c>
      <c r="G257" s="1">
        <v>11190000</v>
      </c>
      <c r="H257" s="1">
        <v>9300000</v>
      </c>
    </row>
    <row r="258" spans="1:8" ht="13.5" customHeight="1" x14ac:dyDescent="0.3">
      <c r="A258" s="1" t="s">
        <v>48</v>
      </c>
      <c r="B258" s="1" t="s">
        <v>2952</v>
      </c>
      <c r="C258" s="1" t="s">
        <v>4480</v>
      </c>
      <c r="D258" s="1">
        <v>2020</v>
      </c>
      <c r="E258" s="1" t="str">
        <f t="shared" ref="E258:E512" si="1">CONCATENATE(B258,C258,D258)</f>
        <v>ONIXONIX HB 1.42020</v>
      </c>
      <c r="F258" s="1" t="s">
        <v>1310</v>
      </c>
      <c r="G258" s="1">
        <v>7290000</v>
      </c>
      <c r="H258" s="1">
        <v>6000000</v>
      </c>
    </row>
    <row r="259" spans="1:8" ht="13.5" customHeight="1" x14ac:dyDescent="0.3">
      <c r="A259" s="1" t="s">
        <v>48</v>
      </c>
      <c r="B259" s="1" t="s">
        <v>2952</v>
      </c>
      <c r="C259" s="1" t="s">
        <v>4481</v>
      </c>
      <c r="D259" s="1">
        <v>2023</v>
      </c>
      <c r="E259" s="1" t="str">
        <f t="shared" si="1"/>
        <v>ONIXONIX HB PREMIER 1.0 AUT2023</v>
      </c>
      <c r="F259" s="1" t="s">
        <v>1122</v>
      </c>
      <c r="G259" s="1">
        <v>12390000</v>
      </c>
      <c r="H259" s="1">
        <v>10350000</v>
      </c>
    </row>
    <row r="260" spans="1:8" ht="13.5" customHeight="1" x14ac:dyDescent="0.3">
      <c r="A260" s="1" t="s">
        <v>48</v>
      </c>
      <c r="B260" s="1" t="s">
        <v>2952</v>
      </c>
      <c r="C260" s="1" t="s">
        <v>4482</v>
      </c>
      <c r="D260" s="1">
        <v>2023</v>
      </c>
      <c r="E260" s="1" t="str">
        <f t="shared" si="1"/>
        <v>ONIXONIX HB RS 1.0T2023</v>
      </c>
      <c r="F260" s="1" t="s">
        <v>1830</v>
      </c>
      <c r="G260" s="1">
        <v>12090620</v>
      </c>
      <c r="H260" s="1">
        <v>10000000</v>
      </c>
    </row>
    <row r="261" spans="1:8" ht="13.5" customHeight="1" x14ac:dyDescent="0.3">
      <c r="A261" s="1" t="s">
        <v>48</v>
      </c>
      <c r="B261" s="1" t="s">
        <v>2952</v>
      </c>
      <c r="C261" s="1" t="s">
        <v>4482</v>
      </c>
      <c r="D261" s="1">
        <v>2023</v>
      </c>
      <c r="E261" s="1" t="str">
        <f t="shared" si="1"/>
        <v>ONIXONIX HB RS 1.0T2023</v>
      </c>
      <c r="F261" s="1" t="s">
        <v>534</v>
      </c>
      <c r="G261" s="1">
        <v>9690000</v>
      </c>
      <c r="H261" s="1">
        <v>8000000</v>
      </c>
    </row>
    <row r="262" spans="1:8" ht="13.5" customHeight="1" x14ac:dyDescent="0.3">
      <c r="A262" s="1" t="s">
        <v>48</v>
      </c>
      <c r="B262" s="1" t="s">
        <v>2952</v>
      </c>
      <c r="C262" s="1" t="s">
        <v>4483</v>
      </c>
      <c r="D262" s="1">
        <v>2019</v>
      </c>
      <c r="E262" s="1" t="str">
        <f t="shared" si="1"/>
        <v>ONIXONIX LTZ 1.42019</v>
      </c>
      <c r="F262" s="1" t="s">
        <v>1549</v>
      </c>
      <c r="G262" s="1">
        <v>7990000</v>
      </c>
      <c r="H262" s="1">
        <v>5500000</v>
      </c>
    </row>
    <row r="263" spans="1:8" ht="13.5" customHeight="1" x14ac:dyDescent="0.3">
      <c r="A263" s="1" t="s">
        <v>48</v>
      </c>
      <c r="B263" s="1" t="s">
        <v>2952</v>
      </c>
      <c r="C263" s="1" t="s">
        <v>4484</v>
      </c>
      <c r="D263" s="1">
        <v>2021</v>
      </c>
      <c r="E263" s="1" t="str">
        <f t="shared" si="1"/>
        <v>ONIXONIX NB LT 1.0T2021</v>
      </c>
      <c r="F263" s="1" t="s">
        <v>1363</v>
      </c>
      <c r="G263" s="1">
        <v>7657120</v>
      </c>
      <c r="H263" s="1">
        <v>5900000</v>
      </c>
    </row>
    <row r="264" spans="1:8" ht="13.5" customHeight="1" x14ac:dyDescent="0.3">
      <c r="A264" s="1" t="s">
        <v>48</v>
      </c>
      <c r="B264" s="1" t="s">
        <v>2952</v>
      </c>
      <c r="C264" s="1" t="s">
        <v>4485</v>
      </c>
      <c r="D264" s="1">
        <v>2022</v>
      </c>
      <c r="E264" s="1" t="str">
        <f t="shared" si="1"/>
        <v>ONIXONIX NB PREMIER 1.0T AUT2022</v>
      </c>
      <c r="F264" s="1" t="s">
        <v>2117</v>
      </c>
      <c r="G264" s="1">
        <v>11490000</v>
      </c>
      <c r="H264" s="1">
        <v>10300000</v>
      </c>
    </row>
    <row r="265" spans="1:8" ht="13.5" customHeight="1" x14ac:dyDescent="0.3">
      <c r="A265" s="1" t="s">
        <v>48</v>
      </c>
      <c r="B265" s="1" t="s">
        <v>4486</v>
      </c>
      <c r="C265" s="1" t="s">
        <v>4487</v>
      </c>
      <c r="D265" s="1">
        <v>2015</v>
      </c>
      <c r="E265" s="1" t="str">
        <f t="shared" si="1"/>
        <v>ORLANDOORLANDO LS 2.02015</v>
      </c>
      <c r="F265" s="1" t="s">
        <v>4488</v>
      </c>
      <c r="G265" s="1">
        <v>6490000</v>
      </c>
      <c r="H265" s="1">
        <v>11372100</v>
      </c>
    </row>
    <row r="266" spans="1:8" ht="13.5" customHeight="1" x14ac:dyDescent="0.3">
      <c r="A266" s="1" t="s">
        <v>48</v>
      </c>
      <c r="B266" s="1" t="s">
        <v>3473</v>
      </c>
      <c r="C266" s="1" t="s">
        <v>4489</v>
      </c>
      <c r="D266" s="1">
        <v>2020</v>
      </c>
      <c r="E266" s="1" t="str">
        <f t="shared" si="1"/>
        <v>PRISMAPRISMA 1.42020</v>
      </c>
      <c r="F266" s="1" t="s">
        <v>1641</v>
      </c>
      <c r="G266" s="1">
        <v>7190000</v>
      </c>
      <c r="H266" s="1">
        <v>6100000</v>
      </c>
    </row>
    <row r="267" spans="1:8" ht="13.5" customHeight="1" x14ac:dyDescent="0.3">
      <c r="A267" s="1" t="s">
        <v>48</v>
      </c>
      <c r="B267" s="1" t="s">
        <v>3473</v>
      </c>
      <c r="C267" s="1" t="s">
        <v>4490</v>
      </c>
      <c r="D267" s="1">
        <v>2018</v>
      </c>
      <c r="E267" s="1" t="str">
        <f t="shared" si="1"/>
        <v>PRISMAPRISMA LTZ 1.42018</v>
      </c>
      <c r="F267" s="1" t="s">
        <v>2239</v>
      </c>
      <c r="G267" s="1">
        <v>6990000</v>
      </c>
      <c r="H267" s="1">
        <v>5750000</v>
      </c>
    </row>
    <row r="268" spans="1:8" ht="13.5" customHeight="1" x14ac:dyDescent="0.3">
      <c r="A268" s="1" t="s">
        <v>48</v>
      </c>
      <c r="B268" s="1" t="s">
        <v>3473</v>
      </c>
      <c r="C268" s="1" t="s">
        <v>4490</v>
      </c>
      <c r="D268" s="1">
        <v>2018</v>
      </c>
      <c r="E268" s="1" t="str">
        <f t="shared" si="1"/>
        <v>PRISMAPRISMA LTZ 1.42018</v>
      </c>
      <c r="F268" s="1" t="s">
        <v>2125</v>
      </c>
      <c r="G268" s="1">
        <v>6690000</v>
      </c>
      <c r="H268" s="1">
        <v>4400000</v>
      </c>
    </row>
    <row r="269" spans="1:8" ht="13.5" customHeight="1" x14ac:dyDescent="0.3">
      <c r="A269" s="1" t="s">
        <v>48</v>
      </c>
      <c r="B269" s="1" t="s">
        <v>3234</v>
      </c>
      <c r="C269" s="1" t="s">
        <v>4491</v>
      </c>
      <c r="D269" s="1">
        <v>2018</v>
      </c>
      <c r="E269" s="1" t="str">
        <f t="shared" si="1"/>
        <v>SAILSAIL 1.52018</v>
      </c>
      <c r="F269" s="1" t="s">
        <v>1710</v>
      </c>
      <c r="G269" s="1">
        <v>5990000</v>
      </c>
      <c r="H269" s="1">
        <v>4900000</v>
      </c>
    </row>
    <row r="270" spans="1:8" ht="13.5" customHeight="1" x14ac:dyDescent="0.3">
      <c r="A270" s="1" t="s">
        <v>48</v>
      </c>
      <c r="B270" s="1" t="s">
        <v>3234</v>
      </c>
      <c r="C270" s="1" t="s">
        <v>4491</v>
      </c>
      <c r="D270" s="1">
        <v>2021</v>
      </c>
      <c r="E270" s="1" t="str">
        <f t="shared" si="1"/>
        <v>SAILSAIL 1.52021</v>
      </c>
      <c r="F270" s="1" t="s">
        <v>991</v>
      </c>
      <c r="G270" s="1">
        <v>6390000</v>
      </c>
      <c r="H270" s="1">
        <v>4500000</v>
      </c>
    </row>
    <row r="271" spans="1:8" ht="13.5" customHeight="1" x14ac:dyDescent="0.3">
      <c r="A271" s="1" t="s">
        <v>48</v>
      </c>
      <c r="B271" s="1" t="s">
        <v>3234</v>
      </c>
      <c r="C271" s="1" t="s">
        <v>4491</v>
      </c>
      <c r="D271" s="1">
        <v>2021</v>
      </c>
      <c r="E271" s="1" t="str">
        <f t="shared" si="1"/>
        <v>SAILSAIL 1.52021</v>
      </c>
      <c r="F271" s="1" t="s">
        <v>2198</v>
      </c>
      <c r="G271" s="1">
        <v>8990000</v>
      </c>
      <c r="H271" s="1">
        <v>7100000</v>
      </c>
    </row>
    <row r="272" spans="1:8" ht="13.5" customHeight="1" x14ac:dyDescent="0.3">
      <c r="A272" s="1" t="s">
        <v>48</v>
      </c>
      <c r="B272" s="1" t="s">
        <v>3234</v>
      </c>
      <c r="C272" s="1" t="s">
        <v>4491</v>
      </c>
      <c r="D272" s="1">
        <v>2021</v>
      </c>
      <c r="E272" s="1" t="str">
        <f t="shared" si="1"/>
        <v>SAILSAIL 1.52021</v>
      </c>
      <c r="F272" s="1" t="s">
        <v>2582</v>
      </c>
      <c r="G272" s="1">
        <v>9990000</v>
      </c>
      <c r="H272" s="1">
        <v>8500000</v>
      </c>
    </row>
    <row r="273" spans="1:8" ht="13.5" customHeight="1" x14ac:dyDescent="0.3">
      <c r="A273" s="1" t="s">
        <v>48</v>
      </c>
      <c r="B273" s="1" t="s">
        <v>3234</v>
      </c>
      <c r="C273" s="1" t="s">
        <v>4491</v>
      </c>
      <c r="D273" s="1">
        <v>2022</v>
      </c>
      <c r="E273" s="1" t="str">
        <f t="shared" si="1"/>
        <v>SAILSAIL 1.52022</v>
      </c>
      <c r="F273" s="1" t="s">
        <v>1327</v>
      </c>
      <c r="G273" s="1">
        <v>8390000</v>
      </c>
      <c r="H273" s="1">
        <v>7000000</v>
      </c>
    </row>
    <row r="274" spans="1:8" ht="13.5" customHeight="1" x14ac:dyDescent="0.3">
      <c r="A274" s="1" t="s">
        <v>48</v>
      </c>
      <c r="B274" s="1" t="s">
        <v>3234</v>
      </c>
      <c r="C274" s="1" t="s">
        <v>4491</v>
      </c>
      <c r="D274" s="1">
        <v>2023</v>
      </c>
      <c r="E274" s="1" t="str">
        <f t="shared" si="1"/>
        <v>SAILSAIL 1.52023</v>
      </c>
      <c r="F274" s="1" t="s">
        <v>814</v>
      </c>
      <c r="G274" s="1">
        <v>7890000</v>
      </c>
      <c r="H274" s="1">
        <v>6500000</v>
      </c>
    </row>
    <row r="275" spans="1:8" ht="13.5" customHeight="1" x14ac:dyDescent="0.3">
      <c r="A275" s="1" t="s">
        <v>48</v>
      </c>
      <c r="B275" s="1" t="s">
        <v>3234</v>
      </c>
      <c r="C275" s="1" t="s">
        <v>4491</v>
      </c>
      <c r="D275" s="1">
        <v>2023</v>
      </c>
      <c r="E275" s="1" t="str">
        <f t="shared" si="1"/>
        <v>SAILSAIL 1.52023</v>
      </c>
      <c r="F275" s="1" t="s">
        <v>749</v>
      </c>
      <c r="G275" s="1">
        <v>8790000</v>
      </c>
      <c r="H275" s="1">
        <v>7300000</v>
      </c>
    </row>
    <row r="276" spans="1:8" ht="13.5" customHeight="1" x14ac:dyDescent="0.3">
      <c r="A276" s="1" t="s">
        <v>48</v>
      </c>
      <c r="B276" s="1" t="s">
        <v>3234</v>
      </c>
      <c r="C276" s="1" t="s">
        <v>4492</v>
      </c>
      <c r="D276" s="1">
        <v>2024</v>
      </c>
      <c r="E276" s="1" t="str">
        <f t="shared" si="1"/>
        <v>SAILSAIL HB 1.5 AUT2024</v>
      </c>
      <c r="F276" s="1" t="s">
        <v>699</v>
      </c>
      <c r="G276" s="1">
        <v>10690000</v>
      </c>
      <c r="H276" s="1">
        <v>8750000</v>
      </c>
    </row>
    <row r="277" spans="1:8" ht="13.5" customHeight="1" x14ac:dyDescent="0.3">
      <c r="A277" s="1" t="s">
        <v>48</v>
      </c>
      <c r="B277" s="1" t="s">
        <v>3234</v>
      </c>
      <c r="C277" s="1" t="s">
        <v>4492</v>
      </c>
      <c r="D277" s="1">
        <v>2025</v>
      </c>
      <c r="E277" s="1" t="str">
        <f t="shared" si="1"/>
        <v>SAILSAIL HB 1.5 AUT2025</v>
      </c>
      <c r="F277" s="1" t="s">
        <v>583</v>
      </c>
      <c r="G277" s="1">
        <v>11890000</v>
      </c>
      <c r="H277" s="1">
        <v>10000000</v>
      </c>
    </row>
    <row r="278" spans="1:8" ht="13.5" customHeight="1" x14ac:dyDescent="0.3">
      <c r="A278" s="1" t="s">
        <v>48</v>
      </c>
      <c r="B278" s="1" t="s">
        <v>3234</v>
      </c>
      <c r="C278" s="1" t="s">
        <v>4493</v>
      </c>
      <c r="D278" s="1">
        <v>2024</v>
      </c>
      <c r="E278" s="1" t="str">
        <f t="shared" si="1"/>
        <v>SAILSAIL NB CVT 1.52024</v>
      </c>
      <c r="F278" s="1" t="s">
        <v>496</v>
      </c>
      <c r="G278" s="1">
        <v>10890000</v>
      </c>
      <c r="H278" s="1">
        <v>10000000</v>
      </c>
    </row>
    <row r="279" spans="1:8" ht="13.5" customHeight="1" x14ac:dyDescent="0.3">
      <c r="A279" s="1" t="s">
        <v>48</v>
      </c>
      <c r="B279" s="1" t="s">
        <v>52</v>
      </c>
      <c r="C279" s="1" t="s">
        <v>4494</v>
      </c>
      <c r="D279" s="1">
        <v>2022</v>
      </c>
      <c r="E279" s="1" t="str">
        <f t="shared" si="1"/>
        <v>SILVERADOSILVERADO CC DCAB 4X4 5.3 AUT2022</v>
      </c>
      <c r="F279" s="1" t="s">
        <v>450</v>
      </c>
      <c r="G279" s="1">
        <v>33390000</v>
      </c>
      <c r="H279" s="1">
        <v>27600000</v>
      </c>
    </row>
    <row r="280" spans="1:8" ht="13.5" customHeight="1" x14ac:dyDescent="0.3">
      <c r="A280" s="1" t="s">
        <v>48</v>
      </c>
      <c r="B280" s="1" t="s">
        <v>52</v>
      </c>
      <c r="C280" s="1" t="s">
        <v>53</v>
      </c>
      <c r="D280" s="1">
        <v>2022</v>
      </c>
      <c r="E280" s="1" t="str">
        <f t="shared" si="1"/>
        <v>SILVERADOSILVERADO CC LTZ 4X4 3.0 AUT2022</v>
      </c>
      <c r="F280" s="1" t="s">
        <v>1933</v>
      </c>
      <c r="G280" s="1">
        <v>49890000</v>
      </c>
      <c r="H280" s="1">
        <v>43000000</v>
      </c>
    </row>
    <row r="281" spans="1:8" ht="13.5" customHeight="1" x14ac:dyDescent="0.3">
      <c r="A281" s="1" t="s">
        <v>48</v>
      </c>
      <c r="B281" s="1" t="s">
        <v>52</v>
      </c>
      <c r="C281" s="1" t="s">
        <v>53</v>
      </c>
      <c r="D281" s="1">
        <v>2023</v>
      </c>
      <c r="E281" s="1" t="str">
        <f t="shared" si="1"/>
        <v>SILVERADOSILVERADO CC LTZ 4X4 3.0 AUT2023</v>
      </c>
      <c r="F281" s="1" t="s">
        <v>54</v>
      </c>
      <c r="G281" s="1">
        <v>107490000</v>
      </c>
      <c r="H281" s="1">
        <v>98000000</v>
      </c>
    </row>
    <row r="282" spans="1:8" ht="13.5" customHeight="1" x14ac:dyDescent="0.3">
      <c r="A282" s="1" t="s">
        <v>48</v>
      </c>
      <c r="B282" s="1" t="s">
        <v>52</v>
      </c>
      <c r="C282" s="1" t="s">
        <v>4495</v>
      </c>
      <c r="D282" s="1">
        <v>2017</v>
      </c>
      <c r="E282" s="1" t="str">
        <f t="shared" si="1"/>
        <v>SILVERADOSILVERADO DCAB LT 4WD 5.3 AUT2017</v>
      </c>
      <c r="F282" s="1" t="s">
        <v>1977</v>
      </c>
      <c r="G282" s="1">
        <v>18500000</v>
      </c>
      <c r="H282" s="1">
        <v>18100000</v>
      </c>
    </row>
    <row r="283" spans="1:8" ht="13.5" customHeight="1" x14ac:dyDescent="0.3">
      <c r="A283" s="1" t="s">
        <v>48</v>
      </c>
      <c r="B283" s="1" t="s">
        <v>52</v>
      </c>
      <c r="C283" s="1" t="s">
        <v>4496</v>
      </c>
      <c r="D283" s="1">
        <v>2020</v>
      </c>
      <c r="E283" s="1" t="str">
        <f t="shared" si="1"/>
        <v>SILVERADOSILVERADO LT 4X4 5.3 AUT2020</v>
      </c>
      <c r="F283" s="1" t="s">
        <v>1992</v>
      </c>
      <c r="G283" s="1">
        <v>32990000</v>
      </c>
      <c r="H283" s="1">
        <v>27000000</v>
      </c>
    </row>
    <row r="284" spans="1:8" ht="13.5" customHeight="1" x14ac:dyDescent="0.3">
      <c r="A284" s="1" t="s">
        <v>48</v>
      </c>
      <c r="B284" s="1" t="s">
        <v>52</v>
      </c>
      <c r="C284" s="1" t="s">
        <v>4497</v>
      </c>
      <c r="D284" s="1">
        <v>2019</v>
      </c>
      <c r="E284" s="1" t="str">
        <f t="shared" si="1"/>
        <v>SILVERADOSILVERADO LTZ 4WD 5.32019</v>
      </c>
      <c r="F284" s="1" t="s">
        <v>2634</v>
      </c>
      <c r="G284" s="1">
        <v>31990000</v>
      </c>
      <c r="H284" s="1">
        <v>31000000</v>
      </c>
    </row>
    <row r="285" spans="1:8" ht="13.5" customHeight="1" x14ac:dyDescent="0.3">
      <c r="A285" s="1" t="s">
        <v>48</v>
      </c>
      <c r="B285" s="1" t="s">
        <v>52</v>
      </c>
      <c r="C285" s="1" t="s">
        <v>4498</v>
      </c>
      <c r="D285" s="1">
        <v>2018</v>
      </c>
      <c r="E285" s="1" t="str">
        <f t="shared" si="1"/>
        <v>SILVERADOSILVERADO LTZ 5.32018</v>
      </c>
      <c r="F285" s="1" t="s">
        <v>903</v>
      </c>
      <c r="G285" s="1">
        <v>21990000</v>
      </c>
      <c r="H285" s="1">
        <v>18000000</v>
      </c>
    </row>
    <row r="286" spans="1:8" ht="13.5" customHeight="1" x14ac:dyDescent="0.3">
      <c r="A286" s="1" t="s">
        <v>48</v>
      </c>
      <c r="B286" s="1" t="s">
        <v>4499</v>
      </c>
      <c r="C286" s="1" t="s">
        <v>4500</v>
      </c>
      <c r="D286" s="1">
        <v>2020</v>
      </c>
      <c r="E286" s="1" t="str">
        <f t="shared" si="1"/>
        <v>SPARKSPARK DOHC 1.22020</v>
      </c>
      <c r="F286" s="1" t="s">
        <v>1386</v>
      </c>
      <c r="G286" s="1">
        <v>5890000</v>
      </c>
      <c r="H286" s="1">
        <v>4500000</v>
      </c>
    </row>
    <row r="287" spans="1:8" ht="13.5" customHeight="1" x14ac:dyDescent="0.3">
      <c r="A287" s="1" t="s">
        <v>48</v>
      </c>
      <c r="B287" s="1" t="s">
        <v>4499</v>
      </c>
      <c r="C287" s="1" t="s">
        <v>4500</v>
      </c>
      <c r="D287" s="1">
        <v>2021</v>
      </c>
      <c r="E287" s="1" t="str">
        <f t="shared" si="1"/>
        <v>SPARKSPARK DOHC 1.22021</v>
      </c>
      <c r="F287" s="1" t="s">
        <v>2282</v>
      </c>
      <c r="G287" s="1">
        <v>7690000</v>
      </c>
      <c r="H287" s="1">
        <v>6500000</v>
      </c>
    </row>
    <row r="288" spans="1:8" ht="13.5" customHeight="1" x14ac:dyDescent="0.3">
      <c r="A288" s="1" t="s">
        <v>48</v>
      </c>
      <c r="B288" s="1" t="s">
        <v>4499</v>
      </c>
      <c r="C288" s="1" t="s">
        <v>4501</v>
      </c>
      <c r="D288" s="1">
        <v>2016</v>
      </c>
      <c r="E288" s="1" t="str">
        <f t="shared" si="1"/>
        <v>SPARKSPARK GT LT 1.22016</v>
      </c>
      <c r="F288" s="1" t="s">
        <v>463</v>
      </c>
      <c r="G288" s="1">
        <v>4815310</v>
      </c>
      <c r="H288" s="1">
        <v>2700000</v>
      </c>
    </row>
    <row r="289" spans="1:8" ht="13.5" customHeight="1" x14ac:dyDescent="0.3">
      <c r="A289" s="1" t="s">
        <v>48</v>
      </c>
      <c r="B289" s="1" t="s">
        <v>55</v>
      </c>
      <c r="C289" s="1" t="s">
        <v>56</v>
      </c>
      <c r="D289" s="1">
        <v>2021</v>
      </c>
      <c r="E289" s="1" t="str">
        <f t="shared" si="1"/>
        <v>SPINSPIN 1.82021</v>
      </c>
      <c r="F289" s="1" t="s">
        <v>656</v>
      </c>
      <c r="G289" s="1">
        <v>9182310</v>
      </c>
      <c r="H289" s="1">
        <v>7450000</v>
      </c>
    </row>
    <row r="290" spans="1:8" ht="13.5" customHeight="1" x14ac:dyDescent="0.3">
      <c r="A290" s="1" t="s">
        <v>48</v>
      </c>
      <c r="B290" s="1" t="s">
        <v>58</v>
      </c>
      <c r="C290" s="1" t="s">
        <v>4502</v>
      </c>
      <c r="D290" s="1">
        <v>2019</v>
      </c>
      <c r="E290" s="1" t="str">
        <f t="shared" si="1"/>
        <v>TAHOETAHOE LT 4WD 5.32019</v>
      </c>
      <c r="F290" s="1" t="s">
        <v>1146</v>
      </c>
      <c r="G290" s="1">
        <v>26990000</v>
      </c>
      <c r="H290" s="1">
        <v>23500000</v>
      </c>
    </row>
    <row r="291" spans="1:8" ht="13.5" customHeight="1" x14ac:dyDescent="0.3">
      <c r="A291" s="1" t="s">
        <v>48</v>
      </c>
      <c r="B291" s="1" t="s">
        <v>58</v>
      </c>
      <c r="C291" s="1" t="s">
        <v>4503</v>
      </c>
      <c r="D291" s="1">
        <v>2017</v>
      </c>
      <c r="E291" s="1" t="str">
        <f t="shared" si="1"/>
        <v>TAHOETAHOE LT SU 4WD 5.3 AUT2017</v>
      </c>
      <c r="F291" s="1" t="s">
        <v>1521</v>
      </c>
      <c r="G291" s="1">
        <v>23190000</v>
      </c>
      <c r="H291" s="1">
        <v>21700000</v>
      </c>
    </row>
    <row r="292" spans="1:8" ht="13.5" customHeight="1" x14ac:dyDescent="0.3">
      <c r="A292" s="1" t="s">
        <v>48</v>
      </c>
      <c r="B292" s="1" t="s">
        <v>61</v>
      </c>
      <c r="C292" s="1" t="s">
        <v>62</v>
      </c>
      <c r="D292" s="1">
        <v>2021</v>
      </c>
      <c r="E292" s="1" t="str">
        <f t="shared" si="1"/>
        <v>TRACKERTRACKER 1.2T2021</v>
      </c>
      <c r="F292" s="1" t="s">
        <v>2085</v>
      </c>
      <c r="G292" s="1">
        <v>11590000</v>
      </c>
      <c r="H292" s="1">
        <v>9900000</v>
      </c>
    </row>
    <row r="293" spans="1:8" ht="13.5" customHeight="1" x14ac:dyDescent="0.3">
      <c r="A293" s="1" t="s">
        <v>48</v>
      </c>
      <c r="B293" s="1" t="s">
        <v>61</v>
      </c>
      <c r="C293" s="1" t="s">
        <v>62</v>
      </c>
      <c r="D293" s="1">
        <v>2021</v>
      </c>
      <c r="E293" s="1" t="str">
        <f t="shared" si="1"/>
        <v>TRACKERTRACKER 1.2T2021</v>
      </c>
      <c r="F293" s="1" t="s">
        <v>1401</v>
      </c>
      <c r="G293" s="1">
        <v>11290000</v>
      </c>
      <c r="H293" s="1">
        <v>9500000</v>
      </c>
    </row>
    <row r="294" spans="1:8" ht="13.5" customHeight="1" x14ac:dyDescent="0.3">
      <c r="A294" s="1" t="s">
        <v>48</v>
      </c>
      <c r="B294" s="1" t="s">
        <v>61</v>
      </c>
      <c r="C294" s="1" t="s">
        <v>62</v>
      </c>
      <c r="D294" s="1">
        <v>2022</v>
      </c>
      <c r="E294" s="1" t="str">
        <f t="shared" si="1"/>
        <v>TRACKERTRACKER 1.2T2022</v>
      </c>
      <c r="F294" s="1" t="s">
        <v>465</v>
      </c>
      <c r="G294" s="1">
        <v>11490000</v>
      </c>
      <c r="H294" s="1">
        <v>8800000</v>
      </c>
    </row>
    <row r="295" spans="1:8" ht="13.5" customHeight="1" x14ac:dyDescent="0.3">
      <c r="A295" s="1" t="s">
        <v>48</v>
      </c>
      <c r="B295" s="1" t="s">
        <v>61</v>
      </c>
      <c r="C295" s="1" t="s">
        <v>62</v>
      </c>
      <c r="D295" s="1">
        <v>2022</v>
      </c>
      <c r="E295" s="1" t="str">
        <f t="shared" si="1"/>
        <v>TRACKERTRACKER 1.2T2022</v>
      </c>
      <c r="F295" s="1" t="s">
        <v>774</v>
      </c>
      <c r="G295" s="1">
        <v>10690000</v>
      </c>
      <c r="H295" s="1">
        <v>9000000</v>
      </c>
    </row>
    <row r="296" spans="1:8" ht="13.5" customHeight="1" x14ac:dyDescent="0.3">
      <c r="A296" s="1" t="s">
        <v>48</v>
      </c>
      <c r="B296" s="1" t="s">
        <v>61</v>
      </c>
      <c r="C296" s="1" t="s">
        <v>62</v>
      </c>
      <c r="D296" s="1">
        <v>2022</v>
      </c>
      <c r="E296" s="1" t="str">
        <f t="shared" si="1"/>
        <v>TRACKERTRACKER 1.2T2022</v>
      </c>
      <c r="F296" s="1" t="s">
        <v>857</v>
      </c>
      <c r="G296" s="1">
        <v>11290000</v>
      </c>
      <c r="H296" s="1">
        <v>8800000</v>
      </c>
    </row>
    <row r="297" spans="1:8" ht="13.5" customHeight="1" x14ac:dyDescent="0.3">
      <c r="A297" s="1" t="s">
        <v>48</v>
      </c>
      <c r="B297" s="1" t="s">
        <v>61</v>
      </c>
      <c r="C297" s="1" t="s">
        <v>62</v>
      </c>
      <c r="D297" s="1">
        <v>2022</v>
      </c>
      <c r="E297" s="1" t="str">
        <f t="shared" si="1"/>
        <v>TRACKERTRACKER 1.2T2022</v>
      </c>
      <c r="F297" s="1" t="s">
        <v>63</v>
      </c>
      <c r="G297" s="1">
        <v>11690000</v>
      </c>
      <c r="H297" s="1">
        <v>9300000</v>
      </c>
    </row>
    <row r="298" spans="1:8" ht="13.5" customHeight="1" x14ac:dyDescent="0.3">
      <c r="A298" s="1" t="s">
        <v>48</v>
      </c>
      <c r="B298" s="1" t="s">
        <v>61</v>
      </c>
      <c r="C298" s="1" t="s">
        <v>62</v>
      </c>
      <c r="D298" s="1">
        <v>2022</v>
      </c>
      <c r="E298" s="1" t="str">
        <f t="shared" si="1"/>
        <v>TRACKERTRACKER 1.2T2022</v>
      </c>
      <c r="F298" s="1" t="s">
        <v>1380</v>
      </c>
      <c r="G298" s="1">
        <v>11762810</v>
      </c>
      <c r="H298" s="1">
        <v>10000000</v>
      </c>
    </row>
    <row r="299" spans="1:8" ht="13.5" customHeight="1" x14ac:dyDescent="0.3">
      <c r="A299" s="1" t="s">
        <v>48</v>
      </c>
      <c r="B299" s="1" t="s">
        <v>61</v>
      </c>
      <c r="C299" s="1" t="s">
        <v>4504</v>
      </c>
      <c r="D299" s="1">
        <v>2021</v>
      </c>
      <c r="E299" s="1" t="str">
        <f t="shared" si="1"/>
        <v>TRACKERTRACKER 1.2T AUT2021</v>
      </c>
      <c r="F299" s="1" t="s">
        <v>1080</v>
      </c>
      <c r="G299" s="1">
        <v>12590000</v>
      </c>
      <c r="H299" s="1">
        <v>10200000</v>
      </c>
    </row>
    <row r="300" spans="1:8" ht="13.5" customHeight="1" x14ac:dyDescent="0.3">
      <c r="A300" s="1" t="s">
        <v>48</v>
      </c>
      <c r="B300" s="1" t="s">
        <v>61</v>
      </c>
      <c r="C300" s="1" t="s">
        <v>4504</v>
      </c>
      <c r="D300" s="1">
        <v>2022</v>
      </c>
      <c r="E300" s="1" t="str">
        <f t="shared" si="1"/>
        <v>TRACKERTRACKER 1.2T AUT2022</v>
      </c>
      <c r="F300" s="1" t="s">
        <v>412</v>
      </c>
      <c r="G300" s="1">
        <v>12790000</v>
      </c>
      <c r="H300" s="1">
        <v>10200000</v>
      </c>
    </row>
    <row r="301" spans="1:8" ht="13.5" customHeight="1" x14ac:dyDescent="0.3">
      <c r="A301" s="1" t="s">
        <v>48</v>
      </c>
      <c r="B301" s="1" t="s">
        <v>61</v>
      </c>
      <c r="C301" s="1" t="s">
        <v>4504</v>
      </c>
      <c r="D301" s="1">
        <v>2022</v>
      </c>
      <c r="E301" s="1" t="str">
        <f t="shared" si="1"/>
        <v>TRACKERTRACKER 1.2T AUT2022</v>
      </c>
      <c r="F301" s="1" t="s">
        <v>587</v>
      </c>
      <c r="G301" s="1">
        <v>12190000</v>
      </c>
      <c r="H301" s="1">
        <v>10200000</v>
      </c>
    </row>
    <row r="302" spans="1:8" ht="13.5" customHeight="1" x14ac:dyDescent="0.3">
      <c r="A302" s="1" t="s">
        <v>48</v>
      </c>
      <c r="B302" s="1" t="s">
        <v>61</v>
      </c>
      <c r="C302" s="1" t="s">
        <v>4505</v>
      </c>
      <c r="D302" s="1">
        <v>2019</v>
      </c>
      <c r="E302" s="1" t="str">
        <f t="shared" si="1"/>
        <v>TRACKERTRACKER 1.82019</v>
      </c>
      <c r="F302" s="1" t="s">
        <v>1345</v>
      </c>
      <c r="G302" s="1">
        <v>8647880</v>
      </c>
      <c r="H302" s="1">
        <v>6500000</v>
      </c>
    </row>
    <row r="303" spans="1:8" ht="13.5" customHeight="1" x14ac:dyDescent="0.3">
      <c r="A303" s="1" t="s">
        <v>48</v>
      </c>
      <c r="B303" s="1" t="s">
        <v>61</v>
      </c>
      <c r="C303" s="1" t="s">
        <v>4506</v>
      </c>
      <c r="D303" s="1">
        <v>2019</v>
      </c>
      <c r="E303" s="1" t="str">
        <f t="shared" si="1"/>
        <v>TRACKERTRACKER AWD 1.8 AUT2019</v>
      </c>
      <c r="F303" s="1" t="s">
        <v>1732</v>
      </c>
      <c r="G303" s="1">
        <v>10690000</v>
      </c>
      <c r="H303" s="1">
        <v>9000000</v>
      </c>
    </row>
    <row r="304" spans="1:8" ht="13.5" customHeight="1" x14ac:dyDescent="0.3">
      <c r="A304" s="1" t="s">
        <v>48</v>
      </c>
      <c r="B304" s="1" t="s">
        <v>61</v>
      </c>
      <c r="C304" s="1" t="s">
        <v>4507</v>
      </c>
      <c r="D304" s="1">
        <v>2020</v>
      </c>
      <c r="E304" s="1" t="str">
        <f t="shared" si="1"/>
        <v>TRACKERTRACKER II FWD 1,82020</v>
      </c>
      <c r="F304" s="1" t="s">
        <v>1614</v>
      </c>
      <c r="G304" s="1">
        <v>9590000</v>
      </c>
      <c r="H304" s="1">
        <v>8000000</v>
      </c>
    </row>
    <row r="305" spans="1:8" ht="13.5" customHeight="1" x14ac:dyDescent="0.3">
      <c r="A305" s="1" t="s">
        <v>48</v>
      </c>
      <c r="B305" s="1" t="s">
        <v>61</v>
      </c>
      <c r="C305" s="1" t="s">
        <v>4507</v>
      </c>
      <c r="D305" s="1">
        <v>2020</v>
      </c>
      <c r="E305" s="1" t="str">
        <f t="shared" si="1"/>
        <v>TRACKERTRACKER II FWD 1,82020</v>
      </c>
      <c r="F305" s="1" t="s">
        <v>1511</v>
      </c>
      <c r="G305" s="1">
        <v>9862620</v>
      </c>
      <c r="H305" s="1">
        <v>8500000</v>
      </c>
    </row>
    <row r="306" spans="1:8" ht="13.5" customHeight="1" x14ac:dyDescent="0.3">
      <c r="A306" s="1" t="s">
        <v>48</v>
      </c>
      <c r="B306" s="1" t="s">
        <v>61</v>
      </c>
      <c r="C306" s="1" t="s">
        <v>4508</v>
      </c>
      <c r="D306" s="1">
        <v>2020</v>
      </c>
      <c r="E306" s="1" t="str">
        <f t="shared" si="1"/>
        <v>TRACKERTRACKER II FWD 1.82020</v>
      </c>
      <c r="F306" s="1" t="s">
        <v>2249</v>
      </c>
      <c r="G306" s="1">
        <v>11290000</v>
      </c>
      <c r="H306" s="1">
        <v>9700000</v>
      </c>
    </row>
    <row r="307" spans="1:8" ht="13.5" customHeight="1" x14ac:dyDescent="0.3">
      <c r="A307" s="1" t="s">
        <v>48</v>
      </c>
      <c r="B307" s="1" t="s">
        <v>61</v>
      </c>
      <c r="C307" s="1" t="s">
        <v>4509</v>
      </c>
      <c r="D307" s="1">
        <v>2019</v>
      </c>
      <c r="E307" s="1" t="str">
        <f t="shared" si="1"/>
        <v>TRACKERTRACKER II LS 1.82019</v>
      </c>
      <c r="F307" s="1" t="s">
        <v>1409</v>
      </c>
      <c r="G307" s="1">
        <v>8490000</v>
      </c>
      <c r="H307" s="1">
        <v>7000000</v>
      </c>
    </row>
    <row r="308" spans="1:8" ht="13.5" customHeight="1" x14ac:dyDescent="0.3">
      <c r="A308" s="1" t="s">
        <v>48</v>
      </c>
      <c r="B308" s="1" t="s">
        <v>61</v>
      </c>
      <c r="C308" s="1" t="s">
        <v>4510</v>
      </c>
      <c r="D308" s="1">
        <v>2017</v>
      </c>
      <c r="E308" s="1" t="str">
        <f t="shared" si="1"/>
        <v>TRACKERTRACKER LS 1.82017</v>
      </c>
      <c r="F308" s="1" t="s">
        <v>2785</v>
      </c>
      <c r="G308" s="1">
        <v>6990000</v>
      </c>
      <c r="H308" s="1">
        <v>10500000</v>
      </c>
    </row>
    <row r="309" spans="1:8" ht="13.5" customHeight="1" x14ac:dyDescent="0.3">
      <c r="A309" s="1" t="s">
        <v>48</v>
      </c>
      <c r="B309" s="1" t="s">
        <v>61</v>
      </c>
      <c r="C309" s="1" t="s">
        <v>4511</v>
      </c>
      <c r="D309" s="1">
        <v>2018</v>
      </c>
      <c r="E309" s="1" t="str">
        <f t="shared" si="1"/>
        <v>TRACKERTRACKER LT 1.82018</v>
      </c>
      <c r="F309" s="1" t="s">
        <v>2156</v>
      </c>
      <c r="G309" s="1">
        <v>10390000</v>
      </c>
      <c r="H309" s="1">
        <v>8400000</v>
      </c>
    </row>
    <row r="310" spans="1:8" ht="13.5" customHeight="1" x14ac:dyDescent="0.3">
      <c r="A310" s="1" t="s">
        <v>48</v>
      </c>
      <c r="B310" s="1" t="s">
        <v>3344</v>
      </c>
      <c r="C310" s="1" t="s">
        <v>4512</v>
      </c>
      <c r="D310" s="1">
        <v>2021</v>
      </c>
      <c r="E310" s="1" t="str">
        <f t="shared" si="1"/>
        <v>TRAILBLAZERTRAILBLAZER 4X4 2.8 AUT2021</v>
      </c>
      <c r="F310" s="1" t="s">
        <v>2178</v>
      </c>
      <c r="G310" s="1">
        <v>19990000</v>
      </c>
      <c r="H310" s="1">
        <v>21500000</v>
      </c>
    </row>
    <row r="311" spans="1:8" ht="13.5" customHeight="1" x14ac:dyDescent="0.3">
      <c r="A311" s="1" t="s">
        <v>48</v>
      </c>
      <c r="B311" s="1" t="s">
        <v>3344</v>
      </c>
      <c r="C311" s="1" t="s">
        <v>4513</v>
      </c>
      <c r="D311" s="1">
        <v>2019</v>
      </c>
      <c r="E311" s="1" t="str">
        <f t="shared" si="1"/>
        <v>TRAILBLAZERTRAILBLAZER LTZ AWD 2.8 AUT2019</v>
      </c>
      <c r="F311" s="1" t="s">
        <v>676</v>
      </c>
      <c r="G311" s="1">
        <v>16190000</v>
      </c>
      <c r="H311" s="1">
        <v>13650000</v>
      </c>
    </row>
    <row r="312" spans="1:8" ht="13.5" customHeight="1" x14ac:dyDescent="0.3">
      <c r="A312" s="1" t="s">
        <v>48</v>
      </c>
      <c r="B312" s="1" t="s">
        <v>2967</v>
      </c>
      <c r="C312" s="1" t="s">
        <v>4514</v>
      </c>
      <c r="D312" s="1">
        <v>2023</v>
      </c>
      <c r="E312" s="1" t="str">
        <f t="shared" si="1"/>
        <v>TRAVERSENG TRAVERSE AWD 3.6 AUT2023</v>
      </c>
      <c r="F312" s="1" t="s">
        <v>994</v>
      </c>
      <c r="G312" s="1">
        <v>34990000</v>
      </c>
      <c r="H312" s="1">
        <v>30000000</v>
      </c>
    </row>
    <row r="313" spans="1:8" ht="13.5" customHeight="1" x14ac:dyDescent="0.3">
      <c r="A313" s="1" t="s">
        <v>48</v>
      </c>
      <c r="B313" s="1" t="s">
        <v>2967</v>
      </c>
      <c r="C313" s="1" t="s">
        <v>4515</v>
      </c>
      <c r="D313" s="1">
        <v>2022</v>
      </c>
      <c r="E313" s="1" t="str">
        <f t="shared" si="1"/>
        <v>TRAVERSENG TRAVERSE FWD 3.6 AUT2022</v>
      </c>
      <c r="F313" s="1" t="s">
        <v>511</v>
      </c>
      <c r="G313" s="1">
        <v>26990000</v>
      </c>
      <c r="H313" s="1">
        <v>24000000</v>
      </c>
    </row>
    <row r="314" spans="1:8" ht="13.5" customHeight="1" x14ac:dyDescent="0.3">
      <c r="A314" s="1" t="s">
        <v>48</v>
      </c>
      <c r="B314" s="1" t="s">
        <v>2967</v>
      </c>
      <c r="C314" s="1" t="s">
        <v>4515</v>
      </c>
      <c r="D314" s="1">
        <v>2022</v>
      </c>
      <c r="E314" s="1" t="str">
        <f t="shared" si="1"/>
        <v>TRAVERSENG TRAVERSE FWD 3.6 AUT2022</v>
      </c>
      <c r="F314" s="1" t="s">
        <v>1162</v>
      </c>
      <c r="G314" s="1">
        <v>28790000</v>
      </c>
      <c r="H314" s="1">
        <v>25800000</v>
      </c>
    </row>
    <row r="315" spans="1:8" ht="13.5" customHeight="1" x14ac:dyDescent="0.3">
      <c r="A315" s="1" t="s">
        <v>64</v>
      </c>
      <c r="B315" s="1" t="s">
        <v>3738</v>
      </c>
      <c r="C315" s="1" t="s">
        <v>4516</v>
      </c>
      <c r="D315" s="1">
        <v>2024</v>
      </c>
      <c r="E315" s="1" t="str">
        <f t="shared" si="1"/>
        <v>BERLINGOBERLINGO MULTISPACE BLUEHDI XL 1.52024</v>
      </c>
      <c r="F315" s="1" t="s">
        <v>1618</v>
      </c>
      <c r="G315" s="1">
        <v>17490000</v>
      </c>
      <c r="H315" s="1">
        <v>16500000</v>
      </c>
    </row>
    <row r="316" spans="1:8" ht="13.5" customHeight="1" x14ac:dyDescent="0.3">
      <c r="A316" s="1" t="s">
        <v>64</v>
      </c>
      <c r="B316" s="1" t="s">
        <v>65</v>
      </c>
      <c r="C316" s="1" t="s">
        <v>4517</v>
      </c>
      <c r="D316" s="1">
        <v>2017</v>
      </c>
      <c r="E316" s="1" t="str">
        <f t="shared" si="1"/>
        <v>C3C3 1.22017</v>
      </c>
      <c r="F316" s="1" t="s">
        <v>2400</v>
      </c>
      <c r="G316" s="1">
        <v>9290000</v>
      </c>
      <c r="H316" s="1">
        <v>8000000</v>
      </c>
    </row>
    <row r="317" spans="1:8" ht="13.5" customHeight="1" x14ac:dyDescent="0.3">
      <c r="A317" s="1" t="s">
        <v>64</v>
      </c>
      <c r="B317" s="1" t="s">
        <v>65</v>
      </c>
      <c r="C317" s="1" t="s">
        <v>4517</v>
      </c>
      <c r="D317" s="1">
        <v>2021</v>
      </c>
      <c r="E317" s="1" t="str">
        <f t="shared" si="1"/>
        <v>C3C3 1.22021</v>
      </c>
      <c r="F317" s="1" t="s">
        <v>627</v>
      </c>
      <c r="G317" s="1">
        <v>8190000</v>
      </c>
      <c r="H317" s="1">
        <v>7000000</v>
      </c>
    </row>
    <row r="318" spans="1:8" ht="13.5" customHeight="1" x14ac:dyDescent="0.3">
      <c r="A318" s="1" t="s">
        <v>64</v>
      </c>
      <c r="B318" s="1" t="s">
        <v>65</v>
      </c>
      <c r="C318" s="1" t="s">
        <v>66</v>
      </c>
      <c r="D318" s="1">
        <v>2019</v>
      </c>
      <c r="E318" s="1" t="str">
        <f t="shared" si="1"/>
        <v>C3C3 AIRCROSS 1.2 AUT2019</v>
      </c>
      <c r="F318" s="1" t="s">
        <v>68</v>
      </c>
      <c r="G318" s="1">
        <v>8300000</v>
      </c>
      <c r="H318" s="1">
        <v>6300000</v>
      </c>
    </row>
    <row r="319" spans="1:8" ht="13.5" customHeight="1" x14ac:dyDescent="0.3">
      <c r="A319" s="1" t="s">
        <v>64</v>
      </c>
      <c r="B319" s="1" t="s">
        <v>65</v>
      </c>
      <c r="C319" s="1" t="s">
        <v>4518</v>
      </c>
      <c r="D319" s="1">
        <v>2020</v>
      </c>
      <c r="E319" s="1" t="str">
        <f t="shared" si="1"/>
        <v>C3C3 AIRCROSS 1.52020</v>
      </c>
      <c r="F319" s="1" t="s">
        <v>2467</v>
      </c>
      <c r="G319" s="1">
        <v>14990000</v>
      </c>
      <c r="H319" s="1">
        <v>13000000</v>
      </c>
    </row>
    <row r="320" spans="1:8" ht="13.5" customHeight="1" x14ac:dyDescent="0.3">
      <c r="A320" s="1" t="s">
        <v>64</v>
      </c>
      <c r="B320" s="1" t="s">
        <v>65</v>
      </c>
      <c r="C320" s="1" t="s">
        <v>4519</v>
      </c>
      <c r="D320" s="1">
        <v>2020</v>
      </c>
      <c r="E320" s="1" t="str">
        <f t="shared" si="1"/>
        <v>C3C3 AIRCROSS HDI HB 1.52020</v>
      </c>
      <c r="F320" s="1" t="s">
        <v>2296</v>
      </c>
      <c r="G320" s="1">
        <v>14290000</v>
      </c>
      <c r="H320" s="1">
        <v>12000000</v>
      </c>
    </row>
    <row r="321" spans="1:8" ht="13.5" customHeight="1" x14ac:dyDescent="0.3">
      <c r="A321" s="1" t="s">
        <v>64</v>
      </c>
      <c r="B321" s="1" t="s">
        <v>65</v>
      </c>
      <c r="C321" s="1" t="s">
        <v>4519</v>
      </c>
      <c r="D321" s="1">
        <v>2021</v>
      </c>
      <c r="E321" s="1" t="str">
        <f t="shared" si="1"/>
        <v>C3C3 AIRCROSS HDI HB 1.52021</v>
      </c>
      <c r="F321" s="1" t="s">
        <v>1913</v>
      </c>
      <c r="G321" s="1">
        <v>12000000</v>
      </c>
      <c r="H321" s="1">
        <v>10000000</v>
      </c>
    </row>
    <row r="322" spans="1:8" ht="13.5" customHeight="1" x14ac:dyDescent="0.3">
      <c r="A322" s="1" t="s">
        <v>64</v>
      </c>
      <c r="B322" s="1" t="s">
        <v>65</v>
      </c>
      <c r="C322" s="1" t="s">
        <v>4520</v>
      </c>
      <c r="D322" s="1">
        <v>2020</v>
      </c>
      <c r="E322" s="1" t="str">
        <f t="shared" si="1"/>
        <v>C3C3 HDI 1.52020</v>
      </c>
      <c r="F322" s="1" t="s">
        <v>1447</v>
      </c>
      <c r="G322" s="1">
        <v>8500000</v>
      </c>
      <c r="H322" s="1">
        <v>7000000</v>
      </c>
    </row>
    <row r="323" spans="1:8" ht="13.5" customHeight="1" x14ac:dyDescent="0.3">
      <c r="A323" s="1" t="s">
        <v>64</v>
      </c>
      <c r="B323" s="1" t="s">
        <v>65</v>
      </c>
      <c r="C323" s="1" t="s">
        <v>4521</v>
      </c>
      <c r="D323" s="1">
        <v>2024</v>
      </c>
      <c r="E323" s="1" t="str">
        <f t="shared" si="1"/>
        <v>C3C3 PURETECH 4X2 1.22024</v>
      </c>
      <c r="F323" s="1" t="s">
        <v>773</v>
      </c>
      <c r="G323" s="1">
        <v>8415000</v>
      </c>
      <c r="H323" s="1">
        <v>7600000</v>
      </c>
    </row>
    <row r="324" spans="1:8" ht="13.5" customHeight="1" x14ac:dyDescent="0.3">
      <c r="A324" s="1" t="s">
        <v>64</v>
      </c>
      <c r="B324" s="1" t="s">
        <v>3266</v>
      </c>
      <c r="C324" s="1" t="s">
        <v>4522</v>
      </c>
      <c r="D324" s="1">
        <v>2022</v>
      </c>
      <c r="E324" s="1" t="str">
        <f t="shared" si="1"/>
        <v>C4C4 1.2 AT2022</v>
      </c>
      <c r="F324" s="1" t="s">
        <v>658</v>
      </c>
      <c r="G324" s="1">
        <v>14990000</v>
      </c>
      <c r="H324" s="1">
        <v>12500000</v>
      </c>
    </row>
    <row r="325" spans="1:8" ht="13.5" customHeight="1" x14ac:dyDescent="0.3">
      <c r="A325" s="1" t="s">
        <v>64</v>
      </c>
      <c r="B325" s="1" t="s">
        <v>3266</v>
      </c>
      <c r="C325" s="1" t="s">
        <v>4522</v>
      </c>
      <c r="D325" s="1">
        <v>2023</v>
      </c>
      <c r="E325" s="1" t="str">
        <f t="shared" si="1"/>
        <v>C4C4 1.2 AT2023</v>
      </c>
      <c r="F325" s="1" t="s">
        <v>455</v>
      </c>
      <c r="G325" s="1">
        <v>14790000</v>
      </c>
      <c r="H325" s="1">
        <v>12650000</v>
      </c>
    </row>
    <row r="326" spans="1:8" ht="13.5" customHeight="1" x14ac:dyDescent="0.3">
      <c r="A326" s="1" t="s">
        <v>64</v>
      </c>
      <c r="B326" s="1" t="s">
        <v>3266</v>
      </c>
      <c r="C326" s="1" t="s">
        <v>4522</v>
      </c>
      <c r="D326" s="1">
        <v>2025</v>
      </c>
      <c r="E326" s="1" t="str">
        <f t="shared" si="1"/>
        <v>C4C4 1.2 AT2025</v>
      </c>
      <c r="F326" s="1" t="s">
        <v>820</v>
      </c>
      <c r="G326" s="1">
        <v>18990000</v>
      </c>
      <c r="H326" s="1">
        <v>16500000</v>
      </c>
    </row>
    <row r="327" spans="1:8" ht="13.5" customHeight="1" x14ac:dyDescent="0.3">
      <c r="A327" s="1" t="s">
        <v>64</v>
      </c>
      <c r="B327" s="1" t="s">
        <v>3266</v>
      </c>
      <c r="C327" s="1" t="s">
        <v>4523</v>
      </c>
      <c r="D327" s="1">
        <v>2025</v>
      </c>
      <c r="E327" s="1" t="str">
        <f t="shared" si="1"/>
        <v>C4C4 1.5 AUT2025</v>
      </c>
      <c r="G327" s="1">
        <v>17990000</v>
      </c>
      <c r="H327" s="1">
        <v>0</v>
      </c>
    </row>
    <row r="328" spans="1:8" ht="13.5" customHeight="1" x14ac:dyDescent="0.3">
      <c r="A328" s="1" t="s">
        <v>64</v>
      </c>
      <c r="B328" s="1" t="s">
        <v>3266</v>
      </c>
      <c r="C328" s="1" t="s">
        <v>4523</v>
      </c>
      <c r="D328" s="1">
        <v>2025</v>
      </c>
      <c r="E328" s="1" t="str">
        <f t="shared" si="1"/>
        <v>C4C4 1.5 AUT2025</v>
      </c>
      <c r="F328" s="1" t="s">
        <v>437</v>
      </c>
      <c r="G328" s="1">
        <v>17990000</v>
      </c>
      <c r="H328" s="1">
        <v>14500000</v>
      </c>
    </row>
    <row r="329" spans="1:8" ht="13.5" customHeight="1" x14ac:dyDescent="0.3">
      <c r="A329" s="1" t="s">
        <v>64</v>
      </c>
      <c r="B329" s="1" t="s">
        <v>3266</v>
      </c>
      <c r="C329" s="1" t="s">
        <v>4524</v>
      </c>
      <c r="D329" s="1">
        <v>2010</v>
      </c>
      <c r="E329" s="1" t="str">
        <f t="shared" si="1"/>
        <v>C4C4 1.62010</v>
      </c>
      <c r="F329" s="1" t="s">
        <v>2804</v>
      </c>
      <c r="G329" s="1">
        <v>2000000</v>
      </c>
      <c r="H329" s="1">
        <v>3600000</v>
      </c>
    </row>
    <row r="330" spans="1:8" ht="13.5" customHeight="1" x14ac:dyDescent="0.3">
      <c r="A330" s="1" t="s">
        <v>64</v>
      </c>
      <c r="B330" s="1" t="s">
        <v>3266</v>
      </c>
      <c r="C330" s="1" t="s">
        <v>4525</v>
      </c>
      <c r="D330" s="1">
        <v>2016</v>
      </c>
      <c r="E330" s="1" t="str">
        <f t="shared" si="1"/>
        <v>C4C4 CACTUS HDI 1.62016</v>
      </c>
      <c r="F330" s="1" t="s">
        <v>2328</v>
      </c>
      <c r="G330" s="1">
        <v>9690000</v>
      </c>
      <c r="H330" s="1">
        <v>8000000</v>
      </c>
    </row>
    <row r="331" spans="1:8" ht="13.5" customHeight="1" x14ac:dyDescent="0.3">
      <c r="A331" s="1" t="s">
        <v>64</v>
      </c>
      <c r="B331" s="1" t="s">
        <v>3266</v>
      </c>
      <c r="C331" s="1" t="s">
        <v>4526</v>
      </c>
      <c r="D331" s="1">
        <v>2016</v>
      </c>
      <c r="E331" s="1" t="str">
        <f t="shared" si="1"/>
        <v>C4C4 HDI 1.62016</v>
      </c>
      <c r="F331" s="1" t="s">
        <v>2286</v>
      </c>
      <c r="G331" s="1">
        <v>8490000</v>
      </c>
      <c r="H331" s="1">
        <v>7000000</v>
      </c>
    </row>
    <row r="332" spans="1:8" ht="13.5" customHeight="1" x14ac:dyDescent="0.3">
      <c r="A332" s="1" t="s">
        <v>64</v>
      </c>
      <c r="B332" s="1" t="s">
        <v>69</v>
      </c>
      <c r="C332" s="1" t="s">
        <v>70</v>
      </c>
      <c r="D332" s="1">
        <v>2019</v>
      </c>
      <c r="E332" s="1" t="str">
        <f t="shared" si="1"/>
        <v>C5C5 AIRCROSS 1.5 AUT2019</v>
      </c>
      <c r="G332" s="1">
        <v>16490000</v>
      </c>
      <c r="H332" s="1">
        <v>0</v>
      </c>
    </row>
    <row r="333" spans="1:8" ht="13.5" customHeight="1" x14ac:dyDescent="0.3">
      <c r="A333" s="1" t="s">
        <v>64</v>
      </c>
      <c r="B333" s="1" t="s">
        <v>69</v>
      </c>
      <c r="C333" s="1" t="s">
        <v>70</v>
      </c>
      <c r="D333" s="1">
        <v>2019</v>
      </c>
      <c r="E333" s="1" t="str">
        <f t="shared" si="1"/>
        <v>C5C5 AIRCROSS 1.5 AUT2019</v>
      </c>
      <c r="F333" s="1" t="s">
        <v>2202</v>
      </c>
      <c r="G333" s="1">
        <v>27980000</v>
      </c>
      <c r="H333" s="1">
        <v>29800000</v>
      </c>
    </row>
    <row r="334" spans="1:8" ht="13.5" customHeight="1" x14ac:dyDescent="0.3">
      <c r="A334" s="1" t="s">
        <v>64</v>
      </c>
      <c r="B334" s="1" t="s">
        <v>69</v>
      </c>
      <c r="C334" s="1" t="s">
        <v>70</v>
      </c>
      <c r="D334" s="1">
        <v>2020</v>
      </c>
      <c r="E334" s="1" t="str">
        <f t="shared" si="1"/>
        <v>C5C5 AIRCROSS 1.5 AUT2020</v>
      </c>
      <c r="F334" s="1" t="s">
        <v>71</v>
      </c>
      <c r="G334" s="1">
        <v>14190000</v>
      </c>
      <c r="H334" s="1">
        <v>12000000</v>
      </c>
    </row>
    <row r="335" spans="1:8" ht="13.5" customHeight="1" x14ac:dyDescent="0.3">
      <c r="A335" s="1" t="s">
        <v>64</v>
      </c>
      <c r="B335" s="1" t="s">
        <v>69</v>
      </c>
      <c r="C335" s="1" t="s">
        <v>4527</v>
      </c>
      <c r="D335" s="1">
        <v>2020</v>
      </c>
      <c r="E335" s="1" t="str">
        <f t="shared" si="1"/>
        <v>C5C5 AIRCROSS BHDI 1.5 AUT2020</v>
      </c>
      <c r="F335" s="1" t="s">
        <v>2463</v>
      </c>
      <c r="G335" s="1">
        <v>21990000</v>
      </c>
      <c r="H335" s="1">
        <v>21330300</v>
      </c>
    </row>
    <row r="336" spans="1:8" ht="13.5" customHeight="1" x14ac:dyDescent="0.3">
      <c r="A336" s="1" t="s">
        <v>64</v>
      </c>
      <c r="B336" s="1" t="s">
        <v>69</v>
      </c>
      <c r="C336" s="1" t="s">
        <v>4528</v>
      </c>
      <c r="D336" s="1">
        <v>2022</v>
      </c>
      <c r="E336" s="1" t="str">
        <f t="shared" si="1"/>
        <v>C5C5 AIRCROSS BLUEHDI 1.5 AUT2022</v>
      </c>
      <c r="F336" s="1" t="s">
        <v>1230</v>
      </c>
      <c r="G336" s="1">
        <v>18090000</v>
      </c>
      <c r="H336" s="1">
        <v>15500000</v>
      </c>
    </row>
    <row r="337" spans="1:8" ht="13.5" customHeight="1" x14ac:dyDescent="0.3">
      <c r="A337" s="1" t="s">
        <v>64</v>
      </c>
      <c r="B337" s="1" t="s">
        <v>69</v>
      </c>
      <c r="C337" s="1" t="s">
        <v>4529</v>
      </c>
      <c r="D337" s="1">
        <v>2024</v>
      </c>
      <c r="E337" s="1" t="str">
        <f t="shared" si="1"/>
        <v>C5C5 AIRCROSS CVA8 STT 1.5 AUT2024</v>
      </c>
      <c r="F337" s="1" t="s">
        <v>513</v>
      </c>
      <c r="G337" s="1">
        <v>19150000</v>
      </c>
      <c r="H337" s="1">
        <v>16750000</v>
      </c>
    </row>
    <row r="338" spans="1:8" ht="13.5" customHeight="1" x14ac:dyDescent="0.3">
      <c r="A338" s="1" t="s">
        <v>64</v>
      </c>
      <c r="B338" s="1" t="s">
        <v>3562</v>
      </c>
      <c r="C338" s="1" t="s">
        <v>4530</v>
      </c>
      <c r="D338" s="1">
        <v>2018</v>
      </c>
      <c r="E338" s="1" t="str">
        <f t="shared" si="1"/>
        <v>C-ELYSEEC ELYSEE 1.22018</v>
      </c>
      <c r="F338" s="1" t="s">
        <v>476</v>
      </c>
      <c r="G338" s="1">
        <v>6100000</v>
      </c>
      <c r="H338" s="1">
        <v>4900000</v>
      </c>
    </row>
    <row r="339" spans="1:8" ht="13.5" customHeight="1" x14ac:dyDescent="0.3">
      <c r="A339" s="1" t="s">
        <v>64</v>
      </c>
      <c r="B339" s="1" t="s">
        <v>3562</v>
      </c>
      <c r="C339" s="1" t="s">
        <v>4531</v>
      </c>
      <c r="D339" s="1">
        <v>2017</v>
      </c>
      <c r="E339" s="1" t="str">
        <f t="shared" si="1"/>
        <v>C-ELYSEEC ELYSEE 1.62017</v>
      </c>
      <c r="F339" s="1" t="s">
        <v>1976</v>
      </c>
      <c r="G339" s="1">
        <v>5590000</v>
      </c>
      <c r="H339" s="1">
        <v>5000000</v>
      </c>
    </row>
    <row r="340" spans="1:8" ht="13.5" customHeight="1" x14ac:dyDescent="0.3">
      <c r="A340" s="1" t="s">
        <v>64</v>
      </c>
      <c r="B340" s="1" t="s">
        <v>4532</v>
      </c>
      <c r="C340" s="1" t="s">
        <v>4533</v>
      </c>
      <c r="D340" s="1">
        <v>2022</v>
      </c>
      <c r="E340" s="1" t="str">
        <f t="shared" si="1"/>
        <v>SPACETOURERBUSINEES HDI 2.02022</v>
      </c>
      <c r="F340" s="1" t="s">
        <v>1390</v>
      </c>
      <c r="G340" s="1">
        <v>20390000</v>
      </c>
      <c r="H340" s="1">
        <v>17500000</v>
      </c>
    </row>
    <row r="341" spans="1:8" ht="13.5" customHeight="1" x14ac:dyDescent="0.3">
      <c r="A341" s="1" t="s">
        <v>4534</v>
      </c>
      <c r="B341" s="1" t="s">
        <v>4535</v>
      </c>
      <c r="C341" s="1" t="s">
        <v>4536</v>
      </c>
      <c r="D341" s="1">
        <v>2021</v>
      </c>
      <c r="E341" s="1" t="str">
        <f t="shared" si="1"/>
        <v>JOYEARJOYEAR SX5 1.62021</v>
      </c>
      <c r="F341" s="1" t="s">
        <v>1275</v>
      </c>
      <c r="G341" s="1">
        <v>7746004</v>
      </c>
      <c r="H341" s="1">
        <v>6500000</v>
      </c>
    </row>
    <row r="342" spans="1:8" ht="13.5" customHeight="1" x14ac:dyDescent="0.3">
      <c r="A342" s="1" t="s">
        <v>4537</v>
      </c>
      <c r="B342" s="1" t="s">
        <v>4538</v>
      </c>
      <c r="C342" s="1" t="s">
        <v>4539</v>
      </c>
      <c r="D342" s="1">
        <v>2021</v>
      </c>
      <c r="E342" s="1" t="str">
        <f t="shared" si="1"/>
        <v>AX4AX4 LUXURY 1.6 AUT2021</v>
      </c>
      <c r="F342" s="1" t="s">
        <v>1128</v>
      </c>
      <c r="G342" s="1">
        <v>7990000</v>
      </c>
      <c r="H342" s="1">
        <v>5700000</v>
      </c>
    </row>
    <row r="343" spans="1:8" ht="13.5" customHeight="1" x14ac:dyDescent="0.3">
      <c r="A343" s="1" t="s">
        <v>4537</v>
      </c>
      <c r="B343" s="1" t="s">
        <v>4535</v>
      </c>
      <c r="C343" s="1" t="s">
        <v>4536</v>
      </c>
      <c r="D343" s="1">
        <v>2022</v>
      </c>
      <c r="E343" s="1" t="str">
        <f t="shared" si="1"/>
        <v>JOYEARJOYEAR SX5 1.62022</v>
      </c>
      <c r="F343" s="1" t="s">
        <v>1713</v>
      </c>
      <c r="G343" s="1">
        <v>7850000</v>
      </c>
      <c r="H343" s="1">
        <v>6500000</v>
      </c>
    </row>
    <row r="344" spans="1:8" ht="13.5" customHeight="1" x14ac:dyDescent="0.3">
      <c r="A344" s="1" t="s">
        <v>4537</v>
      </c>
      <c r="B344" s="1" t="s">
        <v>4540</v>
      </c>
      <c r="C344" s="1" t="s">
        <v>4541</v>
      </c>
      <c r="D344" s="1">
        <v>2025</v>
      </c>
      <c r="E344" s="1" t="str">
        <f t="shared" si="1"/>
        <v>T5LT5L LUX 1.82025</v>
      </c>
      <c r="F344" s="1" t="s">
        <v>540</v>
      </c>
      <c r="G344" s="1">
        <v>11990000</v>
      </c>
      <c r="H344" s="1">
        <v>10700000</v>
      </c>
    </row>
    <row r="345" spans="1:8" ht="13.5" customHeight="1" x14ac:dyDescent="0.3">
      <c r="A345" s="1" t="s">
        <v>72</v>
      </c>
      <c r="B345" s="1" t="s">
        <v>4542</v>
      </c>
      <c r="C345" s="1" t="s">
        <v>4543</v>
      </c>
      <c r="D345" s="1">
        <v>2024</v>
      </c>
      <c r="E345" s="1" t="str">
        <f t="shared" si="1"/>
        <v>500500 1.5 CVT2024</v>
      </c>
      <c r="F345" s="1" t="s">
        <v>1906</v>
      </c>
      <c r="G345" s="1">
        <v>9990000</v>
      </c>
      <c r="H345" s="1">
        <v>9500000</v>
      </c>
    </row>
    <row r="346" spans="1:8" ht="13.5" customHeight="1" x14ac:dyDescent="0.3">
      <c r="A346" s="1" t="s">
        <v>72</v>
      </c>
      <c r="B346" s="1" t="s">
        <v>4542</v>
      </c>
      <c r="C346" s="1" t="s">
        <v>4544</v>
      </c>
      <c r="D346" s="1">
        <v>2024</v>
      </c>
      <c r="E346" s="1" t="str">
        <f t="shared" si="1"/>
        <v>500500 4X2 1.52024</v>
      </c>
      <c r="F346" s="1" t="s">
        <v>1514</v>
      </c>
      <c r="G346" s="1">
        <v>11190000</v>
      </c>
      <c r="H346" s="1">
        <v>9400000</v>
      </c>
    </row>
    <row r="347" spans="1:8" ht="13.5" customHeight="1" x14ac:dyDescent="0.3">
      <c r="A347" s="1" t="s">
        <v>72</v>
      </c>
      <c r="B347" s="1" t="s">
        <v>4542</v>
      </c>
      <c r="C347" s="1" t="s">
        <v>4545</v>
      </c>
      <c r="D347" s="1">
        <v>2022</v>
      </c>
      <c r="E347" s="1" t="str">
        <f t="shared" si="1"/>
        <v>500SUV 500 1.52022</v>
      </c>
      <c r="F347" s="1" t="s">
        <v>1887</v>
      </c>
      <c r="G347" s="1">
        <v>7990000</v>
      </c>
      <c r="H347" s="1">
        <v>7200000</v>
      </c>
    </row>
    <row r="348" spans="1:8" ht="13.5" customHeight="1" x14ac:dyDescent="0.3">
      <c r="A348" s="1" t="s">
        <v>72</v>
      </c>
      <c r="B348" s="1" t="s">
        <v>4542</v>
      </c>
      <c r="C348" s="1" t="s">
        <v>4545</v>
      </c>
      <c r="D348" s="1">
        <v>2022</v>
      </c>
      <c r="E348" s="1" t="str">
        <f t="shared" si="1"/>
        <v>500SUV 500 1.52022</v>
      </c>
      <c r="F348" s="1" t="s">
        <v>2302</v>
      </c>
      <c r="G348" s="1">
        <v>9200000</v>
      </c>
      <c r="H348" s="1">
        <v>8000000</v>
      </c>
    </row>
    <row r="349" spans="1:8" ht="13.5" customHeight="1" x14ac:dyDescent="0.3">
      <c r="A349" s="1" t="s">
        <v>72</v>
      </c>
      <c r="B349" s="1" t="s">
        <v>4542</v>
      </c>
      <c r="C349" s="1" t="s">
        <v>4545</v>
      </c>
      <c r="D349" s="1">
        <v>2022</v>
      </c>
      <c r="E349" s="1" t="str">
        <f t="shared" si="1"/>
        <v>500SUV 500 1.52022</v>
      </c>
      <c r="F349" s="1" t="s">
        <v>840</v>
      </c>
      <c r="G349" s="1">
        <v>7990000</v>
      </c>
      <c r="H349" s="1">
        <v>6100000</v>
      </c>
    </row>
    <row r="350" spans="1:8" ht="13.5" customHeight="1" x14ac:dyDescent="0.3">
      <c r="A350" s="1" t="s">
        <v>72</v>
      </c>
      <c r="B350" s="1" t="s">
        <v>4542</v>
      </c>
      <c r="C350" s="1" t="s">
        <v>4545</v>
      </c>
      <c r="D350" s="1">
        <v>2022</v>
      </c>
      <c r="E350" s="1" t="str">
        <f t="shared" si="1"/>
        <v>500SUV 500 1.52022</v>
      </c>
      <c r="F350" s="1" t="s">
        <v>1191</v>
      </c>
      <c r="G350" s="1">
        <v>15980000</v>
      </c>
      <c r="H350" s="1">
        <v>13400000</v>
      </c>
    </row>
    <row r="351" spans="1:8" ht="13.5" customHeight="1" x14ac:dyDescent="0.3">
      <c r="A351" s="1" t="s">
        <v>72</v>
      </c>
      <c r="B351" s="1" t="s">
        <v>4546</v>
      </c>
      <c r="C351" s="1" t="s">
        <v>4547</v>
      </c>
      <c r="D351" s="1">
        <v>2020</v>
      </c>
      <c r="E351" s="1" t="str">
        <f t="shared" si="1"/>
        <v>560560 1.82020</v>
      </c>
      <c r="F351" s="1" t="s">
        <v>2357</v>
      </c>
      <c r="G351" s="1">
        <v>7990000</v>
      </c>
      <c r="H351" s="1">
        <v>6500000</v>
      </c>
    </row>
    <row r="352" spans="1:8" ht="13.5" customHeight="1" x14ac:dyDescent="0.3">
      <c r="A352" s="1" t="s">
        <v>72</v>
      </c>
      <c r="B352" s="1" t="s">
        <v>4546</v>
      </c>
      <c r="C352" s="1" t="s">
        <v>4547</v>
      </c>
      <c r="D352" s="1">
        <v>2020</v>
      </c>
      <c r="E352" s="1" t="str">
        <f t="shared" si="1"/>
        <v>560560 1.82020</v>
      </c>
      <c r="F352" s="1" t="s">
        <v>2204</v>
      </c>
      <c r="G352" s="1">
        <v>7990000</v>
      </c>
      <c r="H352" s="1">
        <v>6700000</v>
      </c>
    </row>
    <row r="353" spans="1:8" ht="13.5" customHeight="1" x14ac:dyDescent="0.3">
      <c r="A353" s="1" t="s">
        <v>72</v>
      </c>
      <c r="B353" s="1" t="s">
        <v>4546</v>
      </c>
      <c r="C353" s="1" t="s">
        <v>73</v>
      </c>
      <c r="D353" s="1">
        <v>2021</v>
      </c>
      <c r="E353" s="1" t="str">
        <f t="shared" si="1"/>
        <v>560SUV 560 1.82021</v>
      </c>
      <c r="F353" s="1" t="s">
        <v>1697</v>
      </c>
      <c r="G353" s="1">
        <v>7850000</v>
      </c>
      <c r="H353" s="1">
        <v>6500000</v>
      </c>
    </row>
    <row r="354" spans="1:8" ht="13.5" customHeight="1" x14ac:dyDescent="0.3">
      <c r="A354" s="1" t="s">
        <v>72</v>
      </c>
      <c r="B354" s="1" t="s">
        <v>4546</v>
      </c>
      <c r="C354" s="1" t="s">
        <v>73</v>
      </c>
      <c r="D354" s="1">
        <v>2022</v>
      </c>
      <c r="E354" s="1" t="str">
        <f t="shared" si="1"/>
        <v>560SUV 560 1.82022</v>
      </c>
      <c r="F354" s="1" t="s">
        <v>635</v>
      </c>
      <c r="G354" s="1">
        <v>9590000</v>
      </c>
      <c r="H354" s="1">
        <v>8000000</v>
      </c>
    </row>
    <row r="355" spans="1:8" ht="13.5" customHeight="1" x14ac:dyDescent="0.3">
      <c r="A355" s="1" t="s">
        <v>72</v>
      </c>
      <c r="B355" s="1" t="s">
        <v>4546</v>
      </c>
      <c r="C355" s="1" t="s">
        <v>73</v>
      </c>
      <c r="D355" s="1">
        <v>2023</v>
      </c>
      <c r="E355" s="1" t="str">
        <f t="shared" si="1"/>
        <v>560SUV 560 1.82023</v>
      </c>
      <c r="F355" s="1" t="s">
        <v>1254</v>
      </c>
      <c r="G355" s="1">
        <v>9890000</v>
      </c>
      <c r="H355" s="1">
        <v>8000000</v>
      </c>
    </row>
    <row r="356" spans="1:8" ht="13.5" customHeight="1" x14ac:dyDescent="0.3">
      <c r="A356" s="1" t="s">
        <v>72</v>
      </c>
      <c r="B356" s="1" t="s">
        <v>4546</v>
      </c>
      <c r="C356" s="1" t="s">
        <v>73</v>
      </c>
      <c r="D356" s="1">
        <v>2023</v>
      </c>
      <c r="E356" s="1" t="str">
        <f t="shared" si="1"/>
        <v>560SUV 560 1.82023</v>
      </c>
      <c r="F356" s="1" t="s">
        <v>1975</v>
      </c>
      <c r="G356" s="1">
        <v>11590000</v>
      </c>
      <c r="H356" s="1">
        <v>8979855</v>
      </c>
    </row>
    <row r="357" spans="1:8" ht="13.5" customHeight="1" x14ac:dyDescent="0.3">
      <c r="A357" s="1" t="s">
        <v>72</v>
      </c>
      <c r="B357" s="1" t="s">
        <v>4546</v>
      </c>
      <c r="C357" s="1" t="s">
        <v>73</v>
      </c>
      <c r="D357" s="1">
        <v>2023</v>
      </c>
      <c r="E357" s="1" t="str">
        <f t="shared" si="1"/>
        <v>560SUV 560 1.82023</v>
      </c>
      <c r="F357" s="1" t="s">
        <v>1945</v>
      </c>
      <c r="G357" s="1">
        <v>11100000</v>
      </c>
      <c r="H357" s="1">
        <v>9000000</v>
      </c>
    </row>
    <row r="358" spans="1:8" ht="13.5" customHeight="1" x14ac:dyDescent="0.3">
      <c r="A358" s="1" t="s">
        <v>72</v>
      </c>
      <c r="B358" s="1" t="s">
        <v>4546</v>
      </c>
      <c r="C358" s="1" t="s">
        <v>75</v>
      </c>
      <c r="D358" s="1">
        <v>2023</v>
      </c>
      <c r="E358" s="1" t="str">
        <f t="shared" si="1"/>
        <v>560SUV 560 4X2 1.82023</v>
      </c>
      <c r="F358" s="1" t="s">
        <v>734</v>
      </c>
      <c r="G358" s="1">
        <v>9990000</v>
      </c>
      <c r="H358" s="1">
        <v>7900000</v>
      </c>
    </row>
    <row r="359" spans="1:8" ht="13.5" customHeight="1" x14ac:dyDescent="0.3">
      <c r="A359" s="1" t="s">
        <v>72</v>
      </c>
      <c r="B359" s="1" t="s">
        <v>4546</v>
      </c>
      <c r="C359" s="1" t="s">
        <v>75</v>
      </c>
      <c r="D359" s="1">
        <v>2023</v>
      </c>
      <c r="E359" s="1" t="str">
        <f t="shared" si="1"/>
        <v>560SUV 560 4X2 1.82023</v>
      </c>
      <c r="F359" s="1" t="s">
        <v>76</v>
      </c>
      <c r="G359" s="1">
        <v>9990000</v>
      </c>
      <c r="H359" s="1">
        <v>8700000</v>
      </c>
    </row>
    <row r="360" spans="1:8" ht="13.5" customHeight="1" x14ac:dyDescent="0.3">
      <c r="A360" s="1" t="s">
        <v>72</v>
      </c>
      <c r="B360" s="1" t="s">
        <v>4546</v>
      </c>
      <c r="C360" s="1" t="s">
        <v>75</v>
      </c>
      <c r="D360" s="1">
        <v>2024</v>
      </c>
      <c r="E360" s="1" t="str">
        <f t="shared" si="1"/>
        <v>560SUV 560 4X2 1.82024</v>
      </c>
      <c r="F360" s="1" t="s">
        <v>833</v>
      </c>
      <c r="G360" s="1">
        <v>10790000</v>
      </c>
      <c r="H360" s="1">
        <v>9000000</v>
      </c>
    </row>
    <row r="361" spans="1:8" ht="13.5" customHeight="1" x14ac:dyDescent="0.3">
      <c r="A361" s="1" t="s">
        <v>72</v>
      </c>
      <c r="B361" s="1" t="s">
        <v>4546</v>
      </c>
      <c r="C361" s="1" t="s">
        <v>75</v>
      </c>
      <c r="D361" s="1">
        <v>2024</v>
      </c>
      <c r="E361" s="1" t="str">
        <f t="shared" si="1"/>
        <v>560SUV 560 4X2 1.82024</v>
      </c>
      <c r="F361" s="1" t="s">
        <v>1040</v>
      </c>
      <c r="G361" s="1">
        <v>11990000</v>
      </c>
      <c r="H361" s="1">
        <v>10300000</v>
      </c>
    </row>
    <row r="362" spans="1:8" ht="13.5" customHeight="1" x14ac:dyDescent="0.3">
      <c r="A362" s="1" t="s">
        <v>72</v>
      </c>
      <c r="B362" s="1" t="s">
        <v>4546</v>
      </c>
      <c r="C362" s="1" t="s">
        <v>77</v>
      </c>
      <c r="D362" s="1">
        <v>2023</v>
      </c>
      <c r="E362" s="1" t="str">
        <f t="shared" si="1"/>
        <v>560SUV 560 OTTO 1.82023</v>
      </c>
      <c r="F362" s="1" t="s">
        <v>2012</v>
      </c>
      <c r="G362" s="1">
        <v>9290000</v>
      </c>
      <c r="H362" s="1">
        <v>8872689</v>
      </c>
    </row>
    <row r="363" spans="1:8" ht="13.5" customHeight="1" x14ac:dyDescent="0.3">
      <c r="A363" s="1" t="s">
        <v>72</v>
      </c>
      <c r="B363" s="1" t="s">
        <v>4546</v>
      </c>
      <c r="C363" s="1" t="s">
        <v>77</v>
      </c>
      <c r="D363" s="1">
        <v>2023</v>
      </c>
      <c r="E363" s="1" t="str">
        <f t="shared" si="1"/>
        <v>560SUV 560 OTTO 1.82023</v>
      </c>
      <c r="F363" s="1" t="s">
        <v>1902</v>
      </c>
      <c r="G363" s="1">
        <v>9290000</v>
      </c>
      <c r="H363" s="1">
        <v>7500000</v>
      </c>
    </row>
    <row r="364" spans="1:8" ht="13.5" customHeight="1" x14ac:dyDescent="0.3">
      <c r="A364" s="1" t="s">
        <v>72</v>
      </c>
      <c r="B364" s="1" t="s">
        <v>4546</v>
      </c>
      <c r="C364" s="1" t="s">
        <v>77</v>
      </c>
      <c r="D364" s="1">
        <v>2023</v>
      </c>
      <c r="E364" s="1" t="str">
        <f t="shared" si="1"/>
        <v>560SUV 560 OTTO 1.82023</v>
      </c>
      <c r="F364" s="1" t="s">
        <v>415</v>
      </c>
      <c r="G364" s="1">
        <v>8990000</v>
      </c>
      <c r="H364" s="1">
        <v>7000000</v>
      </c>
    </row>
    <row r="365" spans="1:8" ht="13.5" customHeight="1" x14ac:dyDescent="0.3">
      <c r="A365" s="1" t="s">
        <v>72</v>
      </c>
      <c r="B365" s="1" t="s">
        <v>4546</v>
      </c>
      <c r="C365" s="1" t="s">
        <v>77</v>
      </c>
      <c r="D365" s="1">
        <v>2023</v>
      </c>
      <c r="E365" s="1" t="str">
        <f t="shared" si="1"/>
        <v>560SUV 560 OTTO 1.82023</v>
      </c>
      <c r="F365" s="1" t="s">
        <v>1383</v>
      </c>
      <c r="G365" s="1">
        <v>9590000</v>
      </c>
      <c r="H365" s="1">
        <v>8000000</v>
      </c>
    </row>
    <row r="366" spans="1:8" ht="13.5" customHeight="1" x14ac:dyDescent="0.3">
      <c r="A366" s="1" t="s">
        <v>72</v>
      </c>
      <c r="B366" s="1" t="s">
        <v>4548</v>
      </c>
      <c r="C366" s="1" t="s">
        <v>4549</v>
      </c>
      <c r="D366" s="1">
        <v>2018</v>
      </c>
      <c r="E366" s="1" t="str">
        <f t="shared" si="1"/>
        <v>580580 1.52018</v>
      </c>
      <c r="F366" s="1" t="s">
        <v>4550</v>
      </c>
      <c r="G366" s="1">
        <v>8990000</v>
      </c>
      <c r="H366" s="1">
        <v>8500000</v>
      </c>
    </row>
    <row r="367" spans="1:8" ht="13.5" customHeight="1" x14ac:dyDescent="0.3">
      <c r="A367" s="1" t="s">
        <v>72</v>
      </c>
      <c r="B367" s="1" t="s">
        <v>4548</v>
      </c>
      <c r="C367" s="1" t="s">
        <v>4551</v>
      </c>
      <c r="D367" s="1">
        <v>2018</v>
      </c>
      <c r="E367" s="1" t="str">
        <f t="shared" si="1"/>
        <v>580580 1.82018</v>
      </c>
      <c r="F367" s="1" t="s">
        <v>2350</v>
      </c>
      <c r="G367" s="1">
        <v>7990000</v>
      </c>
      <c r="H367" s="1">
        <v>6000000</v>
      </c>
    </row>
    <row r="368" spans="1:8" ht="13.5" customHeight="1" x14ac:dyDescent="0.3">
      <c r="A368" s="1" t="s">
        <v>72</v>
      </c>
      <c r="B368" s="1" t="s">
        <v>4548</v>
      </c>
      <c r="C368" s="1" t="s">
        <v>4552</v>
      </c>
      <c r="D368" s="1">
        <v>2018</v>
      </c>
      <c r="E368" s="1" t="str">
        <f t="shared" si="1"/>
        <v>580580 LUXURY 1.52018</v>
      </c>
      <c r="F368" s="1" t="s">
        <v>357</v>
      </c>
      <c r="G368" s="1">
        <v>7594310</v>
      </c>
      <c r="H368" s="1">
        <v>5200000</v>
      </c>
    </row>
    <row r="369" spans="1:8" ht="13.5" customHeight="1" x14ac:dyDescent="0.3">
      <c r="A369" s="1" t="s">
        <v>72</v>
      </c>
      <c r="B369" s="1" t="s">
        <v>4548</v>
      </c>
      <c r="C369" s="1" t="s">
        <v>4553</v>
      </c>
      <c r="D369" s="1">
        <v>2022</v>
      </c>
      <c r="E369" s="1" t="str">
        <f t="shared" si="1"/>
        <v>580SUV GLORY 580 1.52022</v>
      </c>
      <c r="F369" s="1" t="s">
        <v>1198</v>
      </c>
      <c r="G369" s="1">
        <v>9500000</v>
      </c>
      <c r="H369" s="1">
        <v>7900000</v>
      </c>
    </row>
    <row r="370" spans="1:8" ht="13.5" customHeight="1" x14ac:dyDescent="0.3">
      <c r="A370" s="1" t="s">
        <v>72</v>
      </c>
      <c r="B370" s="1" t="s">
        <v>4548</v>
      </c>
      <c r="C370" s="1" t="s">
        <v>79</v>
      </c>
      <c r="D370" s="1">
        <v>2021</v>
      </c>
      <c r="E370" s="1" t="str">
        <f t="shared" si="1"/>
        <v>580SUV GLORY 580 1.82021</v>
      </c>
      <c r="F370" s="1" t="s">
        <v>2111</v>
      </c>
      <c r="G370" s="1">
        <v>9990000</v>
      </c>
      <c r="H370" s="1">
        <v>8000000</v>
      </c>
    </row>
    <row r="371" spans="1:8" ht="13.5" customHeight="1" x14ac:dyDescent="0.3">
      <c r="A371" s="1" t="s">
        <v>72</v>
      </c>
      <c r="B371" s="1" t="s">
        <v>4548</v>
      </c>
      <c r="C371" s="1" t="s">
        <v>79</v>
      </c>
      <c r="D371" s="1">
        <v>2022</v>
      </c>
      <c r="E371" s="1" t="str">
        <f t="shared" si="1"/>
        <v>580SUV GLORY 580 1.82022</v>
      </c>
      <c r="F371" s="1" t="s">
        <v>1100</v>
      </c>
      <c r="G371" s="1">
        <v>9490000</v>
      </c>
      <c r="H371" s="1">
        <v>7800000</v>
      </c>
    </row>
    <row r="372" spans="1:8" ht="13.5" customHeight="1" x14ac:dyDescent="0.3">
      <c r="A372" s="1" t="s">
        <v>72</v>
      </c>
      <c r="B372" s="1" t="s">
        <v>4548</v>
      </c>
      <c r="C372" s="1" t="s">
        <v>79</v>
      </c>
      <c r="D372" s="1">
        <v>2022</v>
      </c>
      <c r="E372" s="1" t="str">
        <f t="shared" si="1"/>
        <v>580SUV GLORY 580 1.82022</v>
      </c>
      <c r="F372" s="1" t="s">
        <v>1939</v>
      </c>
      <c r="G372" s="1">
        <v>10490000</v>
      </c>
      <c r="H372" s="1">
        <v>8300000</v>
      </c>
    </row>
    <row r="373" spans="1:8" ht="13.5" customHeight="1" x14ac:dyDescent="0.3">
      <c r="A373" s="1" t="s">
        <v>72</v>
      </c>
      <c r="B373" s="1" t="s">
        <v>4548</v>
      </c>
      <c r="C373" s="1" t="s">
        <v>79</v>
      </c>
      <c r="D373" s="1">
        <v>2022</v>
      </c>
      <c r="E373" s="1" t="str">
        <f t="shared" si="1"/>
        <v>580SUV GLORY 580 1.82022</v>
      </c>
      <c r="F373" s="1" t="s">
        <v>1392</v>
      </c>
      <c r="G373" s="1">
        <v>9890000</v>
      </c>
      <c r="H373" s="1">
        <v>8000000</v>
      </c>
    </row>
    <row r="374" spans="1:8" ht="13.5" customHeight="1" x14ac:dyDescent="0.3">
      <c r="A374" s="1" t="s">
        <v>72</v>
      </c>
      <c r="B374" s="1" t="s">
        <v>4548</v>
      </c>
      <c r="C374" s="1" t="s">
        <v>79</v>
      </c>
      <c r="D374" s="1">
        <v>2023</v>
      </c>
      <c r="E374" s="1" t="str">
        <f t="shared" si="1"/>
        <v>580SUV GLORY 580 1.82023</v>
      </c>
      <c r="F374" s="1" t="s">
        <v>1266</v>
      </c>
      <c r="G374" s="1">
        <v>11290000</v>
      </c>
      <c r="H374" s="1">
        <v>9500000</v>
      </c>
    </row>
    <row r="375" spans="1:8" ht="13.5" customHeight="1" x14ac:dyDescent="0.3">
      <c r="A375" s="1" t="s">
        <v>72</v>
      </c>
      <c r="B375" s="1" t="s">
        <v>4548</v>
      </c>
      <c r="C375" s="1" t="s">
        <v>79</v>
      </c>
      <c r="D375" s="1">
        <v>2023</v>
      </c>
      <c r="E375" s="1" t="str">
        <f t="shared" si="1"/>
        <v>580SUV GLORY 580 1.82023</v>
      </c>
      <c r="F375" s="1" t="s">
        <v>1276</v>
      </c>
      <c r="G375" s="1">
        <v>11490000</v>
      </c>
      <c r="H375" s="1">
        <v>9650000</v>
      </c>
    </row>
    <row r="376" spans="1:8" ht="13.5" customHeight="1" x14ac:dyDescent="0.3">
      <c r="A376" s="1" t="s">
        <v>72</v>
      </c>
      <c r="B376" s="1" t="s">
        <v>4548</v>
      </c>
      <c r="C376" s="1" t="s">
        <v>79</v>
      </c>
      <c r="D376" s="1">
        <v>2023</v>
      </c>
      <c r="E376" s="1" t="str">
        <f t="shared" si="1"/>
        <v>580SUV GLORY 580 1.82023</v>
      </c>
      <c r="F376" s="1" t="s">
        <v>1480</v>
      </c>
      <c r="G376" s="1">
        <v>10490000</v>
      </c>
      <c r="H376" s="1">
        <v>10000000</v>
      </c>
    </row>
    <row r="377" spans="1:8" ht="13.5" customHeight="1" x14ac:dyDescent="0.3">
      <c r="A377" s="1" t="s">
        <v>72</v>
      </c>
      <c r="B377" s="1" t="s">
        <v>4548</v>
      </c>
      <c r="C377" s="1" t="s">
        <v>79</v>
      </c>
      <c r="D377" s="1">
        <v>2023</v>
      </c>
      <c r="E377" s="1" t="str">
        <f t="shared" si="1"/>
        <v>580SUV GLORY 580 1.82023</v>
      </c>
      <c r="F377" s="1" t="s">
        <v>827</v>
      </c>
      <c r="G377" s="1">
        <v>10790000</v>
      </c>
      <c r="H377" s="1">
        <v>8000000</v>
      </c>
    </row>
    <row r="378" spans="1:8" ht="13.5" customHeight="1" x14ac:dyDescent="0.3">
      <c r="A378" s="1" t="s">
        <v>72</v>
      </c>
      <c r="B378" s="1" t="s">
        <v>4548</v>
      </c>
      <c r="C378" s="1" t="s">
        <v>79</v>
      </c>
      <c r="D378" s="1">
        <v>2023</v>
      </c>
      <c r="E378" s="1" t="str">
        <f t="shared" si="1"/>
        <v>580SUV GLORY 580 1.82023</v>
      </c>
      <c r="F378" s="1" t="s">
        <v>678</v>
      </c>
      <c r="G378" s="1">
        <v>9900000</v>
      </c>
      <c r="H378" s="1">
        <v>9000000</v>
      </c>
    </row>
    <row r="379" spans="1:8" ht="13.5" customHeight="1" x14ac:dyDescent="0.3">
      <c r="A379" s="1" t="s">
        <v>72</v>
      </c>
      <c r="B379" s="1" t="s">
        <v>4554</v>
      </c>
      <c r="C379" s="1" t="s">
        <v>4555</v>
      </c>
      <c r="D379" s="1">
        <v>2024</v>
      </c>
      <c r="E379" s="1" t="str">
        <f t="shared" si="1"/>
        <v>CARGOCARGO VAN C25 1.32024</v>
      </c>
      <c r="F379" s="1" t="s">
        <v>688</v>
      </c>
      <c r="G379" s="1">
        <v>6990000</v>
      </c>
      <c r="H379" s="1">
        <v>5800000</v>
      </c>
    </row>
    <row r="380" spans="1:8" ht="13.5" customHeight="1" x14ac:dyDescent="0.3">
      <c r="A380" s="1" t="s">
        <v>72</v>
      </c>
      <c r="B380" s="1" t="s">
        <v>4554</v>
      </c>
      <c r="C380" s="1" t="s">
        <v>4556</v>
      </c>
      <c r="D380" s="1">
        <v>2022</v>
      </c>
      <c r="E380" s="1" t="str">
        <f t="shared" si="1"/>
        <v>CARGOCARGO VAN C35 1.52022</v>
      </c>
      <c r="F380" s="1" t="s">
        <v>4557</v>
      </c>
      <c r="G380" s="1">
        <v>10265960</v>
      </c>
      <c r="H380" s="1">
        <v>12000000</v>
      </c>
    </row>
    <row r="381" spans="1:8" ht="13.5" customHeight="1" x14ac:dyDescent="0.3">
      <c r="A381" s="1" t="s">
        <v>72</v>
      </c>
      <c r="B381" s="1" t="s">
        <v>72</v>
      </c>
      <c r="C381" s="1" t="s">
        <v>82</v>
      </c>
      <c r="D381" s="1">
        <v>2014</v>
      </c>
      <c r="E381" s="1" t="str">
        <f t="shared" si="1"/>
        <v>DFSKCARGO BOX XL 1.32014</v>
      </c>
      <c r="G381" s="1">
        <v>3990000</v>
      </c>
      <c r="H381" s="1">
        <v>0</v>
      </c>
    </row>
    <row r="382" spans="1:8" ht="13.5" customHeight="1" x14ac:dyDescent="0.3">
      <c r="A382" s="1" t="s">
        <v>72</v>
      </c>
      <c r="B382" s="1" t="s">
        <v>72</v>
      </c>
      <c r="C382" s="1" t="s">
        <v>82</v>
      </c>
      <c r="D382" s="1">
        <v>2014</v>
      </c>
      <c r="E382" s="1" t="str">
        <f t="shared" si="1"/>
        <v>DFSKCARGO BOX XL 1.32014</v>
      </c>
      <c r="F382" s="1" t="s">
        <v>4558</v>
      </c>
      <c r="G382" s="1">
        <v>3990000</v>
      </c>
      <c r="H382" s="1">
        <v>4331719</v>
      </c>
    </row>
    <row r="383" spans="1:8" ht="13.5" customHeight="1" x14ac:dyDescent="0.3">
      <c r="A383" s="1" t="s">
        <v>72</v>
      </c>
      <c r="B383" s="1" t="s">
        <v>86</v>
      </c>
      <c r="C383" s="1" t="s">
        <v>4559</v>
      </c>
      <c r="D383" s="1">
        <v>2024</v>
      </c>
      <c r="E383" s="1" t="str">
        <f t="shared" si="1"/>
        <v>PICK UP D1D1 COMFORT 2.32024</v>
      </c>
      <c r="F383" s="1" t="s">
        <v>1883</v>
      </c>
      <c r="G383" s="1">
        <v>13990000</v>
      </c>
      <c r="H383" s="1">
        <v>14500000</v>
      </c>
    </row>
    <row r="384" spans="1:8" ht="13.5" customHeight="1" x14ac:dyDescent="0.3">
      <c r="A384" s="1" t="s">
        <v>72</v>
      </c>
      <c r="B384" s="1" t="s">
        <v>86</v>
      </c>
      <c r="C384" s="1" t="s">
        <v>87</v>
      </c>
      <c r="D384" s="1">
        <v>2024</v>
      </c>
      <c r="E384" s="1" t="str">
        <f t="shared" si="1"/>
        <v>PICK UP D1D1 LUXURY 4X4 2.32024</v>
      </c>
      <c r="F384" s="1" t="s">
        <v>798</v>
      </c>
      <c r="G384" s="1">
        <v>16490000</v>
      </c>
      <c r="H384" s="1">
        <v>13750000</v>
      </c>
    </row>
    <row r="385" spans="1:8" ht="13.5" customHeight="1" x14ac:dyDescent="0.3">
      <c r="A385" s="1" t="s">
        <v>72</v>
      </c>
      <c r="B385" s="1" t="s">
        <v>2980</v>
      </c>
      <c r="C385" s="1" t="s">
        <v>4560</v>
      </c>
      <c r="D385" s="1">
        <v>2026</v>
      </c>
      <c r="E385" s="1" t="str">
        <f t="shared" si="1"/>
        <v>TRUCKTRUCK CS C21 1.32026</v>
      </c>
      <c r="F385" s="1" t="s">
        <v>386</v>
      </c>
      <c r="G385" s="1">
        <v>7690000</v>
      </c>
      <c r="H385" s="1">
        <v>6500000</v>
      </c>
    </row>
    <row r="386" spans="1:8" ht="13.5" customHeight="1" x14ac:dyDescent="0.3">
      <c r="A386" s="1" t="s">
        <v>72</v>
      </c>
      <c r="B386" s="1" t="s">
        <v>2980</v>
      </c>
      <c r="C386" s="1" t="s">
        <v>4561</v>
      </c>
      <c r="D386" s="1">
        <v>2025</v>
      </c>
      <c r="E386" s="1" t="str">
        <f t="shared" si="1"/>
        <v>TRUCKTRUCK DC 1.02025</v>
      </c>
      <c r="F386" s="1" t="s">
        <v>698</v>
      </c>
      <c r="G386" s="1">
        <v>6990000</v>
      </c>
      <c r="H386" s="1">
        <v>0</v>
      </c>
    </row>
    <row r="387" spans="1:8" ht="13.5" customHeight="1" x14ac:dyDescent="0.3">
      <c r="A387" s="1" t="s">
        <v>72</v>
      </c>
      <c r="B387" s="1" t="s">
        <v>2980</v>
      </c>
      <c r="C387" s="1" t="s">
        <v>4562</v>
      </c>
      <c r="D387" s="1">
        <v>2024</v>
      </c>
      <c r="E387" s="1" t="str">
        <f t="shared" si="1"/>
        <v>TRUCKTRUCK DC 1.32024</v>
      </c>
      <c r="F387" s="1" t="s">
        <v>1090</v>
      </c>
      <c r="G387" s="1">
        <v>6810000</v>
      </c>
      <c r="H387" s="1">
        <v>5500000</v>
      </c>
    </row>
    <row r="388" spans="1:8" ht="13.5" customHeight="1" x14ac:dyDescent="0.3">
      <c r="A388" s="1" t="s">
        <v>72</v>
      </c>
      <c r="B388" s="1" t="s">
        <v>2980</v>
      </c>
      <c r="C388" s="1" t="s">
        <v>4563</v>
      </c>
      <c r="D388" s="1">
        <v>2023</v>
      </c>
      <c r="E388" s="1" t="str">
        <f t="shared" si="1"/>
        <v>TRUCKTRUCK SERIE C DCAB 1.52023</v>
      </c>
      <c r="F388" s="1" t="s">
        <v>841</v>
      </c>
      <c r="G388" s="1">
        <v>6490000</v>
      </c>
      <c r="H388" s="1">
        <v>5000000</v>
      </c>
    </row>
    <row r="389" spans="1:8" ht="13.5" customHeight="1" x14ac:dyDescent="0.3">
      <c r="A389" s="1" t="s">
        <v>4564</v>
      </c>
      <c r="B389" s="1" t="s">
        <v>4564</v>
      </c>
      <c r="C389" s="1" t="s">
        <v>4565</v>
      </c>
      <c r="D389" s="1">
        <v>2016</v>
      </c>
      <c r="E389" s="1" t="str">
        <f t="shared" si="1"/>
        <v>DODGENEW RAM1500 SLT SPORT 4X4 5.7 AUT2016</v>
      </c>
      <c r="F389" s="1" t="s">
        <v>2529</v>
      </c>
      <c r="G389" s="1">
        <v>17000000</v>
      </c>
      <c r="H389" s="1">
        <v>20400000</v>
      </c>
    </row>
    <row r="390" spans="1:8" ht="13.5" customHeight="1" x14ac:dyDescent="0.3">
      <c r="A390" s="1" t="s">
        <v>4564</v>
      </c>
      <c r="B390" s="1" t="s">
        <v>4564</v>
      </c>
      <c r="C390" s="1" t="s">
        <v>4566</v>
      </c>
      <c r="D390" s="1">
        <v>2017</v>
      </c>
      <c r="E390" s="1" t="str">
        <f t="shared" si="1"/>
        <v>DODGERAM1500 LARAMIE 4X4 5.72017</v>
      </c>
      <c r="F390" s="1" t="s">
        <v>2120</v>
      </c>
      <c r="G390" s="1">
        <v>26490000</v>
      </c>
      <c r="H390" s="1">
        <v>24700000</v>
      </c>
    </row>
    <row r="391" spans="1:8" ht="13.5" customHeight="1" x14ac:dyDescent="0.3">
      <c r="A391" s="1" t="s">
        <v>4564</v>
      </c>
      <c r="B391" s="1" t="s">
        <v>4567</v>
      </c>
      <c r="C391" s="1" t="s">
        <v>4568</v>
      </c>
      <c r="D391" s="1">
        <v>2011</v>
      </c>
      <c r="E391" s="1" t="str">
        <f t="shared" si="1"/>
        <v>DURANGONEW DURANGO CITADEL AWD 5.72011</v>
      </c>
      <c r="F391" s="1" t="s">
        <v>4569</v>
      </c>
      <c r="G391" s="1">
        <v>4750000</v>
      </c>
      <c r="H391" s="1">
        <v>11000000</v>
      </c>
    </row>
    <row r="392" spans="1:8" ht="13.5" customHeight="1" x14ac:dyDescent="0.3">
      <c r="A392" s="1" t="s">
        <v>4564</v>
      </c>
      <c r="B392" s="1" t="s">
        <v>4570</v>
      </c>
      <c r="C392" s="1" t="s">
        <v>4571</v>
      </c>
      <c r="D392" s="1">
        <v>2016</v>
      </c>
      <c r="E392" s="1" t="str">
        <f t="shared" si="1"/>
        <v>JOURNEYJOURNEY 2.4 AUT2016</v>
      </c>
      <c r="F392" s="1" t="s">
        <v>2124</v>
      </c>
      <c r="G392" s="1">
        <v>11090000</v>
      </c>
      <c r="H392" s="1">
        <v>10000000</v>
      </c>
    </row>
    <row r="393" spans="1:8" ht="13.5" customHeight="1" x14ac:dyDescent="0.3">
      <c r="A393" s="1" t="s">
        <v>4564</v>
      </c>
      <c r="B393" s="1" t="s">
        <v>303</v>
      </c>
      <c r="C393" s="1" t="s">
        <v>4566</v>
      </c>
      <c r="D393" s="1">
        <v>2018</v>
      </c>
      <c r="E393" s="1" t="str">
        <f t="shared" si="1"/>
        <v>RAMRAM1500 LARAMIE 4X4 5.72018</v>
      </c>
      <c r="F393" s="1" t="s">
        <v>2843</v>
      </c>
      <c r="G393" s="1">
        <v>29290000</v>
      </c>
      <c r="H393" s="1">
        <v>26000000</v>
      </c>
    </row>
    <row r="394" spans="1:8" ht="13.5" customHeight="1" x14ac:dyDescent="0.3">
      <c r="A394" s="1" t="s">
        <v>2923</v>
      </c>
      <c r="B394" s="1" t="s">
        <v>2923</v>
      </c>
      <c r="C394" s="1" t="s">
        <v>4572</v>
      </c>
      <c r="D394" s="1">
        <v>2022</v>
      </c>
      <c r="E394" s="1" t="str">
        <f t="shared" si="1"/>
        <v>DONGFENGDF6 4WD 2.52022</v>
      </c>
      <c r="F394" s="1" t="s">
        <v>1467</v>
      </c>
      <c r="G394" s="1">
        <v>9074620</v>
      </c>
      <c r="H394" s="1">
        <v>7500000</v>
      </c>
    </row>
    <row r="395" spans="1:8" ht="13.5" customHeight="1" x14ac:dyDescent="0.3">
      <c r="A395" s="1" t="s">
        <v>2923</v>
      </c>
      <c r="B395" s="1" t="s">
        <v>2923</v>
      </c>
      <c r="C395" s="1" t="s">
        <v>4572</v>
      </c>
      <c r="D395" s="1">
        <v>2023</v>
      </c>
      <c r="E395" s="1" t="str">
        <f t="shared" si="1"/>
        <v>DONGFENGDF6 4WD 2.52023</v>
      </c>
      <c r="F395" s="1" t="s">
        <v>489</v>
      </c>
      <c r="G395" s="1">
        <v>11990000</v>
      </c>
      <c r="H395" s="1">
        <v>9200000</v>
      </c>
    </row>
    <row r="396" spans="1:8" ht="13.5" customHeight="1" x14ac:dyDescent="0.3">
      <c r="A396" s="1" t="s">
        <v>2923</v>
      </c>
      <c r="B396" s="1" t="s">
        <v>2923</v>
      </c>
      <c r="C396" s="1" t="s">
        <v>4573</v>
      </c>
      <c r="D396" s="1">
        <v>2023</v>
      </c>
      <c r="E396" s="1" t="str">
        <f t="shared" si="1"/>
        <v>DONGFENGDF6 D CAB GL 4X4 2.52023</v>
      </c>
      <c r="F396" s="1" t="s">
        <v>806</v>
      </c>
      <c r="G396" s="1">
        <v>11990000</v>
      </c>
      <c r="H396" s="1">
        <v>10000000</v>
      </c>
    </row>
    <row r="397" spans="1:8" ht="13.5" customHeight="1" x14ac:dyDescent="0.3">
      <c r="A397" s="1" t="s">
        <v>3208</v>
      </c>
      <c r="B397" s="1" t="s">
        <v>4574</v>
      </c>
      <c r="C397" s="1" t="s">
        <v>4575</v>
      </c>
      <c r="D397" s="1">
        <v>2021</v>
      </c>
      <c r="E397" s="1" t="str">
        <f t="shared" si="1"/>
        <v>DS7DS7 CROSSBACK BLUEHDI 2.0 AUT2021</v>
      </c>
      <c r="F397" s="1" t="s">
        <v>1168</v>
      </c>
      <c r="G397" s="1">
        <v>16500000</v>
      </c>
      <c r="H397" s="1">
        <v>15000000</v>
      </c>
    </row>
    <row r="398" spans="1:8" ht="13.5" customHeight="1" x14ac:dyDescent="0.3">
      <c r="A398" s="1" t="s">
        <v>89</v>
      </c>
      <c r="B398" s="1" t="s">
        <v>2905</v>
      </c>
      <c r="C398" s="1" t="s">
        <v>4576</v>
      </c>
      <c r="D398" s="1">
        <v>2024</v>
      </c>
      <c r="E398" s="1" t="str">
        <f t="shared" si="1"/>
        <v>EXEEDEXEED VX 2.0T DCT UNLIMITED AWD2024</v>
      </c>
      <c r="F398" s="1" t="s">
        <v>1874</v>
      </c>
      <c r="G398" s="1">
        <v>25990000</v>
      </c>
      <c r="H398" s="1">
        <v>24000000</v>
      </c>
    </row>
    <row r="399" spans="1:8" ht="13.5" customHeight="1" x14ac:dyDescent="0.3">
      <c r="A399" s="1" t="s">
        <v>89</v>
      </c>
      <c r="B399" s="1" t="s">
        <v>2905</v>
      </c>
      <c r="C399" s="1" t="s">
        <v>4577</v>
      </c>
      <c r="D399" s="1">
        <v>2022</v>
      </c>
      <c r="E399" s="1" t="str">
        <f t="shared" si="1"/>
        <v>EXEEDLX UNLTD 1.5 AUT2022</v>
      </c>
      <c r="F399" s="1" t="s">
        <v>1577</v>
      </c>
      <c r="G399" s="1">
        <v>16790000</v>
      </c>
      <c r="H399" s="1">
        <v>14500000</v>
      </c>
    </row>
    <row r="400" spans="1:8" ht="13.5" customHeight="1" x14ac:dyDescent="0.3">
      <c r="A400" s="1" t="s">
        <v>89</v>
      </c>
      <c r="B400" s="1" t="s">
        <v>90</v>
      </c>
      <c r="C400" s="1" t="s">
        <v>91</v>
      </c>
      <c r="D400" s="1">
        <v>2024</v>
      </c>
      <c r="E400" s="1" t="str">
        <f t="shared" si="1"/>
        <v>LXLX ADVANCED 1.5 AUT2024</v>
      </c>
      <c r="F400" s="1" t="s">
        <v>524</v>
      </c>
      <c r="G400" s="1">
        <v>14840000</v>
      </c>
      <c r="H400" s="1">
        <v>13500000</v>
      </c>
    </row>
    <row r="401" spans="1:8" ht="13.5" customHeight="1" x14ac:dyDescent="0.3">
      <c r="A401" s="1" t="s">
        <v>89</v>
      </c>
      <c r="B401" s="1" t="s">
        <v>2986</v>
      </c>
      <c r="C401" s="1" t="s">
        <v>4578</v>
      </c>
      <c r="D401" s="1">
        <v>2023</v>
      </c>
      <c r="E401" s="1" t="str">
        <f t="shared" si="1"/>
        <v>TXLTXL DCT UNLIMITED 2.0 AUT2023</v>
      </c>
      <c r="F401" s="1" t="s">
        <v>639</v>
      </c>
      <c r="G401" s="1">
        <v>16990000</v>
      </c>
      <c r="H401" s="1">
        <v>17800000</v>
      </c>
    </row>
    <row r="402" spans="1:8" ht="13.5" customHeight="1" x14ac:dyDescent="0.3">
      <c r="A402" s="1" t="s">
        <v>2938</v>
      </c>
      <c r="B402" s="1" t="s">
        <v>4579</v>
      </c>
      <c r="C402" s="1" t="s">
        <v>4580</v>
      </c>
      <c r="D402" s="1">
        <v>2019</v>
      </c>
      <c r="E402" s="1" t="str">
        <f t="shared" si="1"/>
        <v>500X500X CROSS 4X4 1.4 AUT2019</v>
      </c>
      <c r="F402" s="1" t="s">
        <v>2275</v>
      </c>
      <c r="G402" s="1">
        <v>14990000</v>
      </c>
      <c r="H402" s="1">
        <v>12990000</v>
      </c>
    </row>
    <row r="403" spans="1:8" ht="13.5" customHeight="1" x14ac:dyDescent="0.3">
      <c r="A403" s="1" t="s">
        <v>2938</v>
      </c>
      <c r="B403" s="1" t="s">
        <v>4579</v>
      </c>
      <c r="C403" s="1" t="s">
        <v>4580</v>
      </c>
      <c r="D403" s="1">
        <v>2019</v>
      </c>
      <c r="E403" s="1" t="str">
        <f t="shared" si="1"/>
        <v>500X500X CROSS 4X4 1.4 AUT2019</v>
      </c>
      <c r="F403" s="1" t="s">
        <v>1625</v>
      </c>
      <c r="G403" s="1">
        <v>11290000</v>
      </c>
      <c r="H403" s="1">
        <v>9500000</v>
      </c>
    </row>
    <row r="404" spans="1:8" ht="13.5" customHeight="1" x14ac:dyDescent="0.3">
      <c r="A404" s="1" t="s">
        <v>2938</v>
      </c>
      <c r="B404" s="1" t="s">
        <v>2939</v>
      </c>
      <c r="C404" s="1" t="s">
        <v>4581</v>
      </c>
      <c r="D404" s="1">
        <v>2022</v>
      </c>
      <c r="E404" s="1" t="str">
        <f t="shared" si="1"/>
        <v>ARGOARGO TREKKING HATCHBACK 1.32022</v>
      </c>
      <c r="F404" s="1" t="s">
        <v>653</v>
      </c>
      <c r="G404" s="1">
        <v>9300000</v>
      </c>
      <c r="H404" s="1">
        <v>6450000</v>
      </c>
    </row>
    <row r="405" spans="1:8" ht="13.5" customHeight="1" x14ac:dyDescent="0.3">
      <c r="A405" s="1" t="s">
        <v>2938</v>
      </c>
      <c r="B405" s="1" t="s">
        <v>4582</v>
      </c>
      <c r="C405" s="1" t="s">
        <v>4583</v>
      </c>
      <c r="D405" s="1">
        <v>2019</v>
      </c>
      <c r="E405" s="1" t="str">
        <f t="shared" si="1"/>
        <v>CRONOSCRONOS DRIVE 1.3 MT2019</v>
      </c>
      <c r="F405" s="1" t="s">
        <v>1640</v>
      </c>
      <c r="G405" s="1">
        <v>6790000</v>
      </c>
      <c r="H405" s="1">
        <v>5487395</v>
      </c>
    </row>
    <row r="406" spans="1:8" ht="13.5" customHeight="1" x14ac:dyDescent="0.3">
      <c r="A406" s="1" t="s">
        <v>2938</v>
      </c>
      <c r="B406" s="1" t="s">
        <v>4582</v>
      </c>
      <c r="C406" s="1" t="s">
        <v>4584</v>
      </c>
      <c r="D406" s="1">
        <v>2022</v>
      </c>
      <c r="E406" s="1" t="str">
        <f t="shared" si="1"/>
        <v>CRONOSCRONOS DRIVE 1.8 AUT2022</v>
      </c>
      <c r="F406" s="1" t="s">
        <v>2253</v>
      </c>
      <c r="G406" s="1">
        <v>10590000</v>
      </c>
      <c r="H406" s="1">
        <v>9000000</v>
      </c>
    </row>
    <row r="407" spans="1:8" ht="13.5" customHeight="1" x14ac:dyDescent="0.3">
      <c r="A407" s="1" t="s">
        <v>2938</v>
      </c>
      <c r="B407" s="1" t="s">
        <v>3741</v>
      </c>
      <c r="C407" s="1" t="s">
        <v>4585</v>
      </c>
      <c r="D407" s="1">
        <v>2025</v>
      </c>
      <c r="E407" s="1" t="str">
        <f t="shared" si="1"/>
        <v>PULSEPULSE HB MT 1.32025</v>
      </c>
      <c r="F407" s="1" t="s">
        <v>975</v>
      </c>
      <c r="G407" s="1">
        <v>12590000</v>
      </c>
      <c r="H407" s="1">
        <v>10800000</v>
      </c>
    </row>
    <row r="408" spans="1:8" ht="13.5" customHeight="1" x14ac:dyDescent="0.3">
      <c r="A408" s="1" t="s">
        <v>2938</v>
      </c>
      <c r="B408" s="1" t="s">
        <v>3741</v>
      </c>
      <c r="C408" s="1" t="s">
        <v>4586</v>
      </c>
      <c r="D408" s="1">
        <v>2022</v>
      </c>
      <c r="E408" s="1" t="str">
        <f t="shared" si="1"/>
        <v>PULSEPULSE IMPETUS TF200 1.0 AUT2022</v>
      </c>
      <c r="G408" s="1">
        <v>13490000</v>
      </c>
      <c r="H408" s="1">
        <v>0</v>
      </c>
    </row>
    <row r="409" spans="1:8" ht="13.5" customHeight="1" x14ac:dyDescent="0.3">
      <c r="A409" s="1" t="s">
        <v>2938</v>
      </c>
      <c r="B409" s="1" t="s">
        <v>3741</v>
      </c>
      <c r="C409" s="1" t="s">
        <v>4586</v>
      </c>
      <c r="D409" s="1">
        <v>2022</v>
      </c>
      <c r="E409" s="1" t="str">
        <f t="shared" si="1"/>
        <v>PULSEPULSE IMPETUS TF200 1.0 AUT2022</v>
      </c>
      <c r="F409" s="1" t="s">
        <v>2678</v>
      </c>
      <c r="G409" s="1">
        <v>12990000</v>
      </c>
      <c r="H409" s="1">
        <v>19900000</v>
      </c>
    </row>
    <row r="410" spans="1:8" ht="13.5" customHeight="1" x14ac:dyDescent="0.3">
      <c r="A410" s="1" t="s">
        <v>2938</v>
      </c>
      <c r="B410" s="1" t="s">
        <v>4587</v>
      </c>
      <c r="C410" s="1" t="s">
        <v>4588</v>
      </c>
      <c r="D410" s="1">
        <v>2020</v>
      </c>
      <c r="E410" s="1" t="str">
        <f t="shared" si="1"/>
        <v>QUBOQUBO DYNAMIC 1.42020</v>
      </c>
      <c r="F410" s="1" t="s">
        <v>2196</v>
      </c>
      <c r="G410" s="1">
        <v>8490000</v>
      </c>
      <c r="H410" s="1">
        <v>8000000</v>
      </c>
    </row>
    <row r="411" spans="1:8" ht="13.5" customHeight="1" x14ac:dyDescent="0.3">
      <c r="A411" s="1" t="s">
        <v>2938</v>
      </c>
      <c r="B411" s="1" t="s">
        <v>4589</v>
      </c>
      <c r="C411" s="1" t="s">
        <v>4590</v>
      </c>
      <c r="D411" s="1">
        <v>2016</v>
      </c>
      <c r="E411" s="1" t="str">
        <f t="shared" si="1"/>
        <v>UNO WAYUNO WAY 1.42016</v>
      </c>
      <c r="F411" s="1" t="s">
        <v>1600</v>
      </c>
      <c r="G411" s="1">
        <v>4990000</v>
      </c>
      <c r="H411" s="1">
        <v>3800000</v>
      </c>
    </row>
    <row r="412" spans="1:8" ht="13.5" customHeight="1" x14ac:dyDescent="0.3">
      <c r="A412" s="1" t="s">
        <v>2938</v>
      </c>
      <c r="B412" s="1" t="s">
        <v>4589</v>
      </c>
      <c r="C412" s="1" t="s">
        <v>4590</v>
      </c>
      <c r="D412" s="1">
        <v>2017</v>
      </c>
      <c r="E412" s="1" t="str">
        <f t="shared" si="1"/>
        <v>UNO WAYUNO WAY 1.42017</v>
      </c>
      <c r="F412" s="1" t="s">
        <v>2383</v>
      </c>
      <c r="G412" s="1">
        <v>5990000</v>
      </c>
      <c r="H412" s="1">
        <v>5100000</v>
      </c>
    </row>
    <row r="413" spans="1:8" ht="13.5" customHeight="1" x14ac:dyDescent="0.3">
      <c r="A413" s="1" t="s">
        <v>2938</v>
      </c>
      <c r="B413" s="1" t="s">
        <v>4589</v>
      </c>
      <c r="C413" s="1" t="s">
        <v>4591</v>
      </c>
      <c r="D413" s="1">
        <v>2018</v>
      </c>
      <c r="E413" s="1" t="str">
        <f t="shared" si="1"/>
        <v>UNO WAYUNO WAY EVO 1.32018</v>
      </c>
      <c r="F413" s="1" t="s">
        <v>2356</v>
      </c>
      <c r="G413" s="1">
        <v>6790000</v>
      </c>
      <c r="H413" s="1">
        <v>5500000</v>
      </c>
    </row>
    <row r="414" spans="1:8" ht="13.5" customHeight="1" x14ac:dyDescent="0.3">
      <c r="A414" s="1" t="s">
        <v>2938</v>
      </c>
      <c r="B414" s="1" t="s">
        <v>4589</v>
      </c>
      <c r="C414" s="1" t="s">
        <v>4592</v>
      </c>
      <c r="D414" s="1">
        <v>2017</v>
      </c>
      <c r="E414" s="1" t="str">
        <f t="shared" si="1"/>
        <v>UNO WAYUNO WAY EVO 1.42017</v>
      </c>
      <c r="F414" s="1" t="s">
        <v>1623</v>
      </c>
      <c r="G414" s="1">
        <v>7090000</v>
      </c>
      <c r="H414" s="1">
        <v>5000000</v>
      </c>
    </row>
    <row r="415" spans="1:8" ht="13.5" customHeight="1" x14ac:dyDescent="0.3">
      <c r="A415" s="1" t="s">
        <v>2938</v>
      </c>
      <c r="B415" s="1" t="s">
        <v>4589</v>
      </c>
      <c r="C415" s="1" t="s">
        <v>4592</v>
      </c>
      <c r="D415" s="1">
        <v>2020</v>
      </c>
      <c r="E415" s="1" t="str">
        <f t="shared" si="1"/>
        <v>UNO WAYUNO WAY EVO 1.42020</v>
      </c>
      <c r="F415" s="1" t="s">
        <v>1456</v>
      </c>
      <c r="G415" s="1">
        <v>5990000</v>
      </c>
      <c r="H415" s="1">
        <v>4850000</v>
      </c>
    </row>
    <row r="416" spans="1:8" ht="13.5" customHeight="1" x14ac:dyDescent="0.3">
      <c r="A416" s="1" t="s">
        <v>2938</v>
      </c>
      <c r="B416" s="1" t="s">
        <v>4589</v>
      </c>
      <c r="C416" s="1" t="s">
        <v>4593</v>
      </c>
      <c r="D416" s="1">
        <v>2018</v>
      </c>
      <c r="E416" s="1" t="str">
        <f t="shared" si="1"/>
        <v>UNO WAYUNO WAY EVO FL 1.32018</v>
      </c>
      <c r="F416" s="1" t="s">
        <v>1948</v>
      </c>
      <c r="G416" s="1">
        <v>4990000</v>
      </c>
      <c r="H416" s="1">
        <v>4000000</v>
      </c>
    </row>
    <row r="417" spans="1:8" ht="13.5" customHeight="1" x14ac:dyDescent="0.3">
      <c r="A417" s="1" t="s">
        <v>93</v>
      </c>
      <c r="B417" s="1" t="s">
        <v>94</v>
      </c>
      <c r="C417" s="1" t="s">
        <v>4594</v>
      </c>
      <c r="D417" s="1">
        <v>2023</v>
      </c>
      <c r="E417" s="1" t="str">
        <f t="shared" si="1"/>
        <v>BRONCOBRONCO SPORT 4X4 1.5 AUT2023</v>
      </c>
      <c r="F417" s="1" t="s">
        <v>454</v>
      </c>
      <c r="G417" s="1">
        <v>20990000</v>
      </c>
      <c r="H417" s="1">
        <v>18300000</v>
      </c>
    </row>
    <row r="418" spans="1:8" ht="13.5" customHeight="1" x14ac:dyDescent="0.3">
      <c r="A418" s="1" t="s">
        <v>93</v>
      </c>
      <c r="B418" s="1" t="s">
        <v>94</v>
      </c>
      <c r="C418" s="1" t="s">
        <v>4594</v>
      </c>
      <c r="D418" s="1">
        <v>2023</v>
      </c>
      <c r="E418" s="1" t="str">
        <f t="shared" si="1"/>
        <v>BRONCOBRONCO SPORT 4X4 1.5 AUT2023</v>
      </c>
      <c r="F418" s="1" t="s">
        <v>582</v>
      </c>
      <c r="G418" s="1">
        <v>21690000</v>
      </c>
      <c r="H418" s="1">
        <v>18500000</v>
      </c>
    </row>
    <row r="419" spans="1:8" ht="13.5" customHeight="1" x14ac:dyDescent="0.3">
      <c r="A419" s="1" t="s">
        <v>93</v>
      </c>
      <c r="B419" s="1" t="s">
        <v>94</v>
      </c>
      <c r="C419" s="1" t="s">
        <v>4594</v>
      </c>
      <c r="D419" s="1">
        <v>2024</v>
      </c>
      <c r="E419" s="1" t="str">
        <f t="shared" si="1"/>
        <v>BRONCOBRONCO SPORT 4X4 1.5 AUT2024</v>
      </c>
      <c r="F419" s="1" t="s">
        <v>1171</v>
      </c>
      <c r="G419" s="1">
        <v>23990000</v>
      </c>
      <c r="H419" s="1">
        <v>21000000</v>
      </c>
    </row>
    <row r="420" spans="1:8" ht="13.5" customHeight="1" x14ac:dyDescent="0.3">
      <c r="A420" s="1" t="s">
        <v>93</v>
      </c>
      <c r="B420" s="1" t="s">
        <v>94</v>
      </c>
      <c r="C420" s="1" t="s">
        <v>95</v>
      </c>
      <c r="D420" s="1">
        <v>2022</v>
      </c>
      <c r="E420" s="1" t="str">
        <f t="shared" si="1"/>
        <v>BRONCOBRONCO SPORT WILDTRAK 4X4 2.0 AUT2022</v>
      </c>
      <c r="F420" s="1" t="s">
        <v>2329</v>
      </c>
      <c r="G420" s="1">
        <v>31790000</v>
      </c>
      <c r="H420" s="1">
        <v>28000000</v>
      </c>
    </row>
    <row r="421" spans="1:8" ht="13.5" customHeight="1" x14ac:dyDescent="0.3">
      <c r="A421" s="1" t="s">
        <v>93</v>
      </c>
      <c r="B421" s="1" t="s">
        <v>94</v>
      </c>
      <c r="C421" s="1" t="s">
        <v>95</v>
      </c>
      <c r="D421" s="1">
        <v>2023</v>
      </c>
      <c r="E421" s="1" t="str">
        <f t="shared" si="1"/>
        <v>BRONCOBRONCO SPORT WILDTRAK 4X4 2.0 AUT2023</v>
      </c>
      <c r="F421" s="1" t="s">
        <v>1309</v>
      </c>
      <c r="G421" s="1">
        <v>25325000</v>
      </c>
      <c r="H421" s="1">
        <v>22000000</v>
      </c>
    </row>
    <row r="422" spans="1:8" ht="13.5" customHeight="1" x14ac:dyDescent="0.3">
      <c r="A422" s="1" t="s">
        <v>93</v>
      </c>
      <c r="B422" s="1" t="s">
        <v>94</v>
      </c>
      <c r="C422" s="1" t="s">
        <v>4595</v>
      </c>
      <c r="D422" s="1">
        <v>2024</v>
      </c>
      <c r="E422" s="1" t="str">
        <f t="shared" si="1"/>
        <v>BRONCOBRONCO WILDTRAK 4X4 2.7 AUT2024</v>
      </c>
      <c r="F422" s="1" t="s">
        <v>1117</v>
      </c>
      <c r="G422" s="1">
        <v>53990000</v>
      </c>
      <c r="H422" s="1">
        <v>47000000</v>
      </c>
    </row>
    <row r="423" spans="1:8" ht="13.5" customHeight="1" x14ac:dyDescent="0.3">
      <c r="A423" s="1" t="s">
        <v>93</v>
      </c>
      <c r="B423" s="1" t="s">
        <v>97</v>
      </c>
      <c r="C423" s="1" t="s">
        <v>4596</v>
      </c>
      <c r="D423" s="1">
        <v>2018</v>
      </c>
      <c r="E423" s="1" t="str">
        <f t="shared" si="1"/>
        <v>ECOSPORTECOSPORT 1.52018</v>
      </c>
      <c r="F423" s="1" t="s">
        <v>2661</v>
      </c>
      <c r="G423" s="1">
        <v>12490000</v>
      </c>
      <c r="H423" s="1">
        <v>9900000</v>
      </c>
    </row>
    <row r="424" spans="1:8" ht="13.5" customHeight="1" x14ac:dyDescent="0.3">
      <c r="A424" s="1" t="s">
        <v>93</v>
      </c>
      <c r="B424" s="1" t="s">
        <v>97</v>
      </c>
      <c r="C424" s="1" t="s">
        <v>4596</v>
      </c>
      <c r="D424" s="1">
        <v>2018</v>
      </c>
      <c r="E424" s="1" t="str">
        <f t="shared" si="1"/>
        <v>ECOSPORTECOSPORT 1.52018</v>
      </c>
      <c r="F424" s="1" t="s">
        <v>2213</v>
      </c>
      <c r="G424" s="1">
        <v>10290000</v>
      </c>
      <c r="H424" s="1">
        <v>9000000</v>
      </c>
    </row>
    <row r="425" spans="1:8" ht="13.5" customHeight="1" x14ac:dyDescent="0.3">
      <c r="A425" s="1" t="s">
        <v>93</v>
      </c>
      <c r="B425" s="1" t="s">
        <v>97</v>
      </c>
      <c r="C425" s="1" t="s">
        <v>4596</v>
      </c>
      <c r="D425" s="1">
        <v>2019</v>
      </c>
      <c r="E425" s="1" t="str">
        <f t="shared" si="1"/>
        <v>ECOSPORTECOSPORT 1.52019</v>
      </c>
      <c r="F425" s="1" t="s">
        <v>1783</v>
      </c>
      <c r="G425" s="1">
        <v>8387720</v>
      </c>
      <c r="H425" s="1">
        <v>7000000</v>
      </c>
    </row>
    <row r="426" spans="1:8" ht="13.5" customHeight="1" x14ac:dyDescent="0.3">
      <c r="A426" s="1" t="s">
        <v>93</v>
      </c>
      <c r="B426" s="1" t="s">
        <v>97</v>
      </c>
      <c r="C426" s="1" t="s">
        <v>4596</v>
      </c>
      <c r="D426" s="1">
        <v>2019</v>
      </c>
      <c r="E426" s="1" t="str">
        <f t="shared" si="1"/>
        <v>ECOSPORTECOSPORT 1.52019</v>
      </c>
      <c r="F426" s="1" t="s">
        <v>1720</v>
      </c>
      <c r="G426" s="1">
        <v>8990000</v>
      </c>
      <c r="H426" s="1">
        <v>7500000</v>
      </c>
    </row>
    <row r="427" spans="1:8" ht="13.5" customHeight="1" x14ac:dyDescent="0.3">
      <c r="A427" s="1" t="s">
        <v>93</v>
      </c>
      <c r="B427" s="1" t="s">
        <v>97</v>
      </c>
      <c r="C427" s="1" t="s">
        <v>4596</v>
      </c>
      <c r="D427" s="1">
        <v>2019</v>
      </c>
      <c r="E427" s="1" t="str">
        <f t="shared" si="1"/>
        <v>ECOSPORTECOSPORT 1.52019</v>
      </c>
      <c r="F427" s="1" t="s">
        <v>2590</v>
      </c>
      <c r="G427" s="1">
        <v>10990000</v>
      </c>
      <c r="H427" s="1">
        <v>12700000</v>
      </c>
    </row>
    <row r="428" spans="1:8" ht="13.5" customHeight="1" x14ac:dyDescent="0.3">
      <c r="A428" s="1" t="s">
        <v>93</v>
      </c>
      <c r="B428" s="1" t="s">
        <v>97</v>
      </c>
      <c r="C428" s="1" t="s">
        <v>4596</v>
      </c>
      <c r="D428" s="1">
        <v>2019</v>
      </c>
      <c r="E428" s="1" t="str">
        <f t="shared" si="1"/>
        <v>ECOSPORTECOSPORT 1.52019</v>
      </c>
      <c r="F428" s="1" t="s">
        <v>2367</v>
      </c>
      <c r="G428" s="1">
        <v>9989610</v>
      </c>
      <c r="H428" s="1">
        <v>7700000</v>
      </c>
    </row>
    <row r="429" spans="1:8" ht="13.5" customHeight="1" x14ac:dyDescent="0.3">
      <c r="A429" s="1" t="s">
        <v>93</v>
      </c>
      <c r="B429" s="1" t="s">
        <v>97</v>
      </c>
      <c r="C429" s="1" t="s">
        <v>4596</v>
      </c>
      <c r="D429" s="1">
        <v>2019</v>
      </c>
      <c r="E429" s="1" t="str">
        <f t="shared" si="1"/>
        <v>ECOSPORTECOSPORT 1.52019</v>
      </c>
      <c r="F429" s="1" t="s">
        <v>2044</v>
      </c>
      <c r="G429" s="1">
        <v>9990000</v>
      </c>
      <c r="H429" s="1">
        <v>7200000</v>
      </c>
    </row>
    <row r="430" spans="1:8" ht="13.5" customHeight="1" x14ac:dyDescent="0.3">
      <c r="A430" s="1" t="s">
        <v>93</v>
      </c>
      <c r="B430" s="1" t="s">
        <v>97</v>
      </c>
      <c r="C430" s="1" t="s">
        <v>4596</v>
      </c>
      <c r="D430" s="1">
        <v>2019</v>
      </c>
      <c r="E430" s="1" t="str">
        <f t="shared" si="1"/>
        <v>ECOSPORTECOSPORT 1.52019</v>
      </c>
      <c r="F430" s="1" t="s">
        <v>2037</v>
      </c>
      <c r="G430" s="1">
        <v>7990000</v>
      </c>
      <c r="H430" s="1">
        <v>5900000</v>
      </c>
    </row>
    <row r="431" spans="1:8" ht="13.5" customHeight="1" x14ac:dyDescent="0.3">
      <c r="A431" s="1" t="s">
        <v>93</v>
      </c>
      <c r="B431" s="1" t="s">
        <v>97</v>
      </c>
      <c r="C431" s="1" t="s">
        <v>4596</v>
      </c>
      <c r="D431" s="1">
        <v>2019</v>
      </c>
      <c r="E431" s="1" t="str">
        <f t="shared" si="1"/>
        <v>ECOSPORTECOSPORT 1.52019</v>
      </c>
      <c r="F431" s="1" t="s">
        <v>858</v>
      </c>
      <c r="G431" s="1">
        <v>9290000</v>
      </c>
      <c r="H431" s="1">
        <v>7200000</v>
      </c>
    </row>
    <row r="432" spans="1:8" ht="13.5" customHeight="1" x14ac:dyDescent="0.3">
      <c r="A432" s="1" t="s">
        <v>93</v>
      </c>
      <c r="B432" s="1" t="s">
        <v>97</v>
      </c>
      <c r="C432" s="1" t="s">
        <v>4596</v>
      </c>
      <c r="D432" s="1">
        <v>2020</v>
      </c>
      <c r="E432" s="1" t="str">
        <f t="shared" si="1"/>
        <v>ECOSPORTECOSPORT 1.52020</v>
      </c>
      <c r="F432" s="1" t="s">
        <v>2378</v>
      </c>
      <c r="G432" s="1">
        <v>9989610</v>
      </c>
      <c r="H432" s="1">
        <v>8700000</v>
      </c>
    </row>
    <row r="433" spans="1:8" ht="13.5" customHeight="1" x14ac:dyDescent="0.3">
      <c r="A433" s="1" t="s">
        <v>93</v>
      </c>
      <c r="B433" s="1" t="s">
        <v>97</v>
      </c>
      <c r="C433" s="1" t="s">
        <v>4596</v>
      </c>
      <c r="D433" s="1">
        <v>2020</v>
      </c>
      <c r="E433" s="1" t="str">
        <f t="shared" si="1"/>
        <v>ECOSPORTECOSPORT 1.52020</v>
      </c>
      <c r="F433" s="1" t="s">
        <v>663</v>
      </c>
      <c r="G433" s="1">
        <v>10290000</v>
      </c>
      <c r="H433" s="1">
        <v>8000000</v>
      </c>
    </row>
    <row r="434" spans="1:8" ht="13.5" customHeight="1" x14ac:dyDescent="0.3">
      <c r="A434" s="1" t="s">
        <v>93</v>
      </c>
      <c r="B434" s="1" t="s">
        <v>97</v>
      </c>
      <c r="C434" s="1" t="s">
        <v>4596</v>
      </c>
      <c r="D434" s="1">
        <v>2020</v>
      </c>
      <c r="E434" s="1" t="str">
        <f t="shared" si="1"/>
        <v>ECOSPORTECOSPORT 1.52020</v>
      </c>
      <c r="F434" s="1" t="s">
        <v>844</v>
      </c>
      <c r="G434" s="1">
        <v>9190000</v>
      </c>
      <c r="H434" s="1">
        <v>7300000</v>
      </c>
    </row>
    <row r="435" spans="1:8" ht="13.5" customHeight="1" x14ac:dyDescent="0.3">
      <c r="A435" s="1" t="s">
        <v>93</v>
      </c>
      <c r="B435" s="1" t="s">
        <v>97</v>
      </c>
      <c r="C435" s="1" t="s">
        <v>4596</v>
      </c>
      <c r="D435" s="1">
        <v>2020</v>
      </c>
      <c r="E435" s="1" t="str">
        <f t="shared" si="1"/>
        <v>ECOSPORTECOSPORT 1.52020</v>
      </c>
      <c r="F435" s="1" t="s">
        <v>2051</v>
      </c>
      <c r="G435" s="1">
        <v>10590000</v>
      </c>
      <c r="H435" s="1">
        <v>8300000</v>
      </c>
    </row>
    <row r="436" spans="1:8" ht="13.5" customHeight="1" x14ac:dyDescent="0.3">
      <c r="A436" s="1" t="s">
        <v>93</v>
      </c>
      <c r="B436" s="1" t="s">
        <v>97</v>
      </c>
      <c r="C436" s="1" t="s">
        <v>4596</v>
      </c>
      <c r="D436" s="1">
        <v>2021</v>
      </c>
      <c r="E436" s="1" t="str">
        <f t="shared" si="1"/>
        <v>ECOSPORTECOSPORT 1.52021</v>
      </c>
      <c r="F436" s="1" t="s">
        <v>795</v>
      </c>
      <c r="G436" s="1">
        <v>9590000</v>
      </c>
      <c r="H436" s="1">
        <v>8000000</v>
      </c>
    </row>
    <row r="437" spans="1:8" ht="13.5" customHeight="1" x14ac:dyDescent="0.3">
      <c r="A437" s="1" t="s">
        <v>93</v>
      </c>
      <c r="B437" s="1" t="s">
        <v>97</v>
      </c>
      <c r="C437" s="1" t="s">
        <v>4597</v>
      </c>
      <c r="D437" s="1">
        <v>2018</v>
      </c>
      <c r="E437" s="1" t="str">
        <f t="shared" si="1"/>
        <v>ECOSPORTECOSPORT 1.5 AUT2018</v>
      </c>
      <c r="F437" s="1" t="s">
        <v>2222</v>
      </c>
      <c r="G437" s="1">
        <v>8790000</v>
      </c>
      <c r="H437" s="1">
        <v>7000000</v>
      </c>
    </row>
    <row r="438" spans="1:8" ht="13.5" customHeight="1" x14ac:dyDescent="0.3">
      <c r="A438" s="1" t="s">
        <v>93</v>
      </c>
      <c r="B438" s="1" t="s">
        <v>97</v>
      </c>
      <c r="C438" s="1" t="s">
        <v>4597</v>
      </c>
      <c r="D438" s="1">
        <v>2020</v>
      </c>
      <c r="E438" s="1" t="str">
        <f t="shared" si="1"/>
        <v>ECOSPORTECOSPORT 1.5 AUT2020</v>
      </c>
      <c r="F438" s="1" t="s">
        <v>2538</v>
      </c>
      <c r="G438" s="1">
        <v>11990000</v>
      </c>
      <c r="H438" s="1">
        <v>12100000</v>
      </c>
    </row>
    <row r="439" spans="1:8" ht="13.5" customHeight="1" x14ac:dyDescent="0.3">
      <c r="A439" s="1" t="s">
        <v>93</v>
      </c>
      <c r="B439" s="1" t="s">
        <v>97</v>
      </c>
      <c r="C439" s="1" t="s">
        <v>4597</v>
      </c>
      <c r="D439" s="1">
        <v>2022</v>
      </c>
      <c r="E439" s="1" t="str">
        <f t="shared" si="1"/>
        <v>ECOSPORTECOSPORT 1.5 AUT2022</v>
      </c>
      <c r="F439" s="1" t="s">
        <v>2580</v>
      </c>
      <c r="G439" s="1">
        <v>12990000</v>
      </c>
      <c r="H439" s="1">
        <v>14178992</v>
      </c>
    </row>
    <row r="440" spans="1:8" ht="13.5" customHeight="1" x14ac:dyDescent="0.3">
      <c r="A440" s="1" t="s">
        <v>93</v>
      </c>
      <c r="B440" s="1" t="s">
        <v>97</v>
      </c>
      <c r="C440" s="1" t="s">
        <v>4597</v>
      </c>
      <c r="D440" s="1">
        <v>2022</v>
      </c>
      <c r="E440" s="1" t="str">
        <f t="shared" si="1"/>
        <v>ECOSPORTECOSPORT 1.5 AUT2022</v>
      </c>
      <c r="F440" s="1" t="s">
        <v>1541</v>
      </c>
      <c r="G440" s="1">
        <v>13110000</v>
      </c>
      <c r="H440" s="1">
        <v>11000000</v>
      </c>
    </row>
    <row r="441" spans="1:8" ht="13.5" customHeight="1" x14ac:dyDescent="0.3">
      <c r="A441" s="1" t="s">
        <v>93</v>
      </c>
      <c r="B441" s="1" t="s">
        <v>97</v>
      </c>
      <c r="C441" s="1" t="s">
        <v>4598</v>
      </c>
      <c r="D441" s="1">
        <v>2016</v>
      </c>
      <c r="E441" s="1" t="str">
        <f t="shared" si="1"/>
        <v>ECOSPORTECOSPORT 1.62016</v>
      </c>
      <c r="F441" s="1" t="s">
        <v>1998</v>
      </c>
      <c r="G441" s="1">
        <v>7290000</v>
      </c>
      <c r="H441" s="1">
        <v>5500000</v>
      </c>
    </row>
    <row r="442" spans="1:8" ht="13.5" customHeight="1" x14ac:dyDescent="0.3">
      <c r="A442" s="1" t="s">
        <v>93</v>
      </c>
      <c r="B442" s="1" t="s">
        <v>97</v>
      </c>
      <c r="C442" s="1" t="s">
        <v>4598</v>
      </c>
      <c r="D442" s="1">
        <v>2016</v>
      </c>
      <c r="E442" s="1" t="str">
        <f t="shared" si="1"/>
        <v>ECOSPORTECOSPORT 1.62016</v>
      </c>
      <c r="F442" s="1" t="s">
        <v>2552</v>
      </c>
      <c r="G442" s="1">
        <v>7990000</v>
      </c>
      <c r="H442" s="1">
        <v>8900000</v>
      </c>
    </row>
    <row r="443" spans="1:8" ht="13.5" customHeight="1" x14ac:dyDescent="0.3">
      <c r="A443" s="1" t="s">
        <v>93</v>
      </c>
      <c r="B443" s="1" t="s">
        <v>97</v>
      </c>
      <c r="C443" s="1" t="s">
        <v>4599</v>
      </c>
      <c r="D443" s="1">
        <v>2019</v>
      </c>
      <c r="E443" s="1" t="str">
        <f t="shared" si="1"/>
        <v>ECOSPORTECOSPORT 2.0 AUT2019</v>
      </c>
      <c r="F443" s="1" t="s">
        <v>2480</v>
      </c>
      <c r="G443" s="1">
        <v>11990000</v>
      </c>
      <c r="H443" s="1">
        <v>13000000</v>
      </c>
    </row>
    <row r="444" spans="1:8" ht="13.5" customHeight="1" x14ac:dyDescent="0.3">
      <c r="A444" s="1" t="s">
        <v>93</v>
      </c>
      <c r="B444" s="1" t="s">
        <v>97</v>
      </c>
      <c r="C444" s="1" t="s">
        <v>98</v>
      </c>
      <c r="D444" s="1">
        <v>2018</v>
      </c>
      <c r="E444" s="1" t="str">
        <f t="shared" si="1"/>
        <v>ECOSPORTECOSPORT FREESTYLE 1.52018</v>
      </c>
      <c r="G444" s="1">
        <v>7890000</v>
      </c>
      <c r="H444" s="1">
        <v>0</v>
      </c>
    </row>
    <row r="445" spans="1:8" ht="13.5" customHeight="1" x14ac:dyDescent="0.3">
      <c r="A445" s="1" t="s">
        <v>93</v>
      </c>
      <c r="B445" s="1" t="s">
        <v>97</v>
      </c>
      <c r="C445" s="1" t="s">
        <v>98</v>
      </c>
      <c r="D445" s="1">
        <v>2018</v>
      </c>
      <c r="E445" s="1" t="str">
        <f t="shared" si="1"/>
        <v>ECOSPORTECOSPORT FREESTYLE 1.52018</v>
      </c>
      <c r="F445" s="1" t="s">
        <v>1097</v>
      </c>
      <c r="G445" s="1">
        <v>6950000</v>
      </c>
      <c r="H445" s="1">
        <v>5800000</v>
      </c>
    </row>
    <row r="446" spans="1:8" ht="13.5" customHeight="1" x14ac:dyDescent="0.3">
      <c r="A446" s="1" t="s">
        <v>93</v>
      </c>
      <c r="B446" s="1" t="s">
        <v>97</v>
      </c>
      <c r="C446" s="1" t="s">
        <v>98</v>
      </c>
      <c r="D446" s="1">
        <v>2019</v>
      </c>
      <c r="E446" s="1" t="str">
        <f t="shared" si="1"/>
        <v>ECOSPORTECOSPORT FREESTYLE 1.52019</v>
      </c>
      <c r="F446" s="1" t="s">
        <v>983</v>
      </c>
      <c r="G446" s="1">
        <v>8490000</v>
      </c>
      <c r="H446" s="1">
        <v>6000000</v>
      </c>
    </row>
    <row r="447" spans="1:8" ht="13.5" customHeight="1" x14ac:dyDescent="0.3">
      <c r="A447" s="1" t="s">
        <v>93</v>
      </c>
      <c r="B447" s="1" t="s">
        <v>97</v>
      </c>
      <c r="C447" s="1" t="s">
        <v>98</v>
      </c>
      <c r="D447" s="1">
        <v>2019</v>
      </c>
      <c r="E447" s="1" t="str">
        <f t="shared" si="1"/>
        <v>ECOSPORTECOSPORT FREESTYLE 1.52019</v>
      </c>
      <c r="F447" s="1" t="s">
        <v>1931</v>
      </c>
      <c r="G447" s="1">
        <v>9290000</v>
      </c>
      <c r="H447" s="1">
        <v>7983193</v>
      </c>
    </row>
    <row r="448" spans="1:8" ht="13.5" customHeight="1" x14ac:dyDescent="0.3">
      <c r="A448" s="1" t="s">
        <v>93</v>
      </c>
      <c r="B448" s="1" t="s">
        <v>97</v>
      </c>
      <c r="C448" s="1" t="s">
        <v>98</v>
      </c>
      <c r="D448" s="1">
        <v>2020</v>
      </c>
      <c r="E448" s="1" t="str">
        <f t="shared" si="1"/>
        <v>ECOSPORTECOSPORT FREESTYLE 1.52020</v>
      </c>
      <c r="F448" s="1" t="s">
        <v>2274</v>
      </c>
      <c r="G448" s="1">
        <v>10790000</v>
      </c>
      <c r="H448" s="1">
        <v>8900000</v>
      </c>
    </row>
    <row r="449" spans="1:8" ht="13.5" customHeight="1" x14ac:dyDescent="0.3">
      <c r="A449" s="1" t="s">
        <v>93</v>
      </c>
      <c r="B449" s="1" t="s">
        <v>97</v>
      </c>
      <c r="C449" s="1" t="s">
        <v>98</v>
      </c>
      <c r="D449" s="1">
        <v>2020</v>
      </c>
      <c r="E449" s="1" t="str">
        <f t="shared" si="1"/>
        <v>ECOSPORTECOSPORT FREESTYLE 1.52020</v>
      </c>
      <c r="F449" s="1" t="s">
        <v>2451</v>
      </c>
      <c r="G449" s="1">
        <v>9990000</v>
      </c>
      <c r="H449" s="1">
        <v>10500000</v>
      </c>
    </row>
    <row r="450" spans="1:8" ht="13.5" customHeight="1" x14ac:dyDescent="0.3">
      <c r="A450" s="1" t="s">
        <v>93</v>
      </c>
      <c r="B450" s="1" t="s">
        <v>97</v>
      </c>
      <c r="C450" s="1" t="s">
        <v>4600</v>
      </c>
      <c r="D450" s="1">
        <v>2019</v>
      </c>
      <c r="E450" s="1" t="str">
        <f t="shared" si="1"/>
        <v>ECOSPORTECOSPORT S 1.52019</v>
      </c>
      <c r="F450" s="1" t="s">
        <v>1353</v>
      </c>
      <c r="G450" s="1">
        <v>11290000</v>
      </c>
      <c r="H450" s="1">
        <v>9500000</v>
      </c>
    </row>
    <row r="451" spans="1:8" ht="13.5" customHeight="1" x14ac:dyDescent="0.3">
      <c r="A451" s="1" t="s">
        <v>93</v>
      </c>
      <c r="B451" s="1" t="s">
        <v>97</v>
      </c>
      <c r="C451" s="1" t="s">
        <v>4600</v>
      </c>
      <c r="D451" s="1">
        <v>2020</v>
      </c>
      <c r="E451" s="1" t="str">
        <f t="shared" si="1"/>
        <v>ECOSPORTECOSPORT S 1.52020</v>
      </c>
      <c r="F451" s="1" t="s">
        <v>1680</v>
      </c>
      <c r="G451" s="1">
        <v>8490000</v>
      </c>
      <c r="H451" s="1">
        <v>7074790</v>
      </c>
    </row>
    <row r="452" spans="1:8" ht="13.5" customHeight="1" x14ac:dyDescent="0.3">
      <c r="A452" s="1" t="s">
        <v>93</v>
      </c>
      <c r="B452" s="1" t="s">
        <v>97</v>
      </c>
      <c r="C452" s="1" t="s">
        <v>4600</v>
      </c>
      <c r="D452" s="1">
        <v>2021</v>
      </c>
      <c r="E452" s="1" t="str">
        <f t="shared" si="1"/>
        <v>ECOSPORTECOSPORT S 1.52021</v>
      </c>
      <c r="F452" s="1" t="s">
        <v>1055</v>
      </c>
      <c r="G452" s="1">
        <v>7990000</v>
      </c>
      <c r="H452" s="1">
        <v>6000000</v>
      </c>
    </row>
    <row r="453" spans="1:8" ht="13.5" customHeight="1" x14ac:dyDescent="0.3">
      <c r="A453" s="1" t="s">
        <v>93</v>
      </c>
      <c r="B453" s="1" t="s">
        <v>97</v>
      </c>
      <c r="C453" s="1" t="s">
        <v>4600</v>
      </c>
      <c r="D453" s="1">
        <v>2021</v>
      </c>
      <c r="E453" s="1" t="str">
        <f t="shared" si="1"/>
        <v>ECOSPORTECOSPORT S 1.52021</v>
      </c>
      <c r="F453" s="1" t="s">
        <v>2107</v>
      </c>
      <c r="G453" s="1">
        <v>10790000</v>
      </c>
      <c r="H453" s="1">
        <v>8800000</v>
      </c>
    </row>
    <row r="454" spans="1:8" ht="13.5" customHeight="1" x14ac:dyDescent="0.3">
      <c r="A454" s="1" t="s">
        <v>93</v>
      </c>
      <c r="B454" s="1" t="s">
        <v>97</v>
      </c>
      <c r="C454" s="1" t="s">
        <v>4601</v>
      </c>
      <c r="D454" s="1">
        <v>2018</v>
      </c>
      <c r="E454" s="1" t="str">
        <f t="shared" si="1"/>
        <v>ECOSPORTECOSPORT TITANIUM 1.52018</v>
      </c>
      <c r="F454" s="1" t="s">
        <v>1023</v>
      </c>
      <c r="G454" s="1">
        <v>8990000</v>
      </c>
      <c r="H454" s="1">
        <v>7000000</v>
      </c>
    </row>
    <row r="455" spans="1:8" ht="13.5" customHeight="1" x14ac:dyDescent="0.3">
      <c r="A455" s="1" t="s">
        <v>93</v>
      </c>
      <c r="B455" s="1" t="s">
        <v>97</v>
      </c>
      <c r="C455" s="1" t="s">
        <v>4601</v>
      </c>
      <c r="D455" s="1">
        <v>2019</v>
      </c>
      <c r="E455" s="1" t="str">
        <f t="shared" si="1"/>
        <v>ECOSPORTECOSPORT TITANIUM 1.52019</v>
      </c>
      <c r="F455" s="1" t="s">
        <v>1901</v>
      </c>
      <c r="G455" s="1">
        <v>10490000</v>
      </c>
      <c r="H455" s="1">
        <v>8483193</v>
      </c>
    </row>
    <row r="456" spans="1:8" ht="13.5" customHeight="1" x14ac:dyDescent="0.3">
      <c r="A456" s="1" t="s">
        <v>93</v>
      </c>
      <c r="B456" s="1" t="s">
        <v>97</v>
      </c>
      <c r="C456" s="1" t="s">
        <v>4601</v>
      </c>
      <c r="D456" s="1">
        <v>2019</v>
      </c>
      <c r="E456" s="1" t="str">
        <f t="shared" si="1"/>
        <v>ECOSPORTECOSPORT TITANIUM 1.52019</v>
      </c>
      <c r="F456" s="1" t="s">
        <v>553</v>
      </c>
      <c r="G456" s="1">
        <v>8390000</v>
      </c>
      <c r="H456" s="1">
        <v>7300000</v>
      </c>
    </row>
    <row r="457" spans="1:8" ht="13.5" customHeight="1" x14ac:dyDescent="0.3">
      <c r="A457" s="1" t="s">
        <v>93</v>
      </c>
      <c r="B457" s="1" t="s">
        <v>97</v>
      </c>
      <c r="C457" s="1" t="s">
        <v>4602</v>
      </c>
      <c r="D457" s="1">
        <v>2013</v>
      </c>
      <c r="E457" s="1" t="str">
        <f t="shared" si="1"/>
        <v>ECOSPORTECOSPORT TITANIUM 1.62013</v>
      </c>
      <c r="F457" s="1" t="s">
        <v>1576</v>
      </c>
      <c r="G457" s="1">
        <v>6690000</v>
      </c>
      <c r="H457" s="1">
        <v>5350000</v>
      </c>
    </row>
    <row r="458" spans="1:8" ht="13.5" customHeight="1" x14ac:dyDescent="0.3">
      <c r="A458" s="1" t="s">
        <v>93</v>
      </c>
      <c r="B458" s="1" t="s">
        <v>97</v>
      </c>
      <c r="C458" s="1" t="s">
        <v>4602</v>
      </c>
      <c r="D458" s="1">
        <v>2016</v>
      </c>
      <c r="E458" s="1" t="str">
        <f t="shared" si="1"/>
        <v>ECOSPORTECOSPORT TITANIUM 1.62016</v>
      </c>
      <c r="F458" s="1" t="s">
        <v>1707</v>
      </c>
      <c r="G458" s="1">
        <v>6590000</v>
      </c>
      <c r="H458" s="1">
        <v>5000000</v>
      </c>
    </row>
    <row r="459" spans="1:8" ht="13.5" customHeight="1" x14ac:dyDescent="0.3">
      <c r="A459" s="1" t="s">
        <v>93</v>
      </c>
      <c r="B459" s="1" t="s">
        <v>97</v>
      </c>
      <c r="C459" s="1" t="s">
        <v>4602</v>
      </c>
      <c r="D459" s="1">
        <v>2016</v>
      </c>
      <c r="E459" s="1" t="str">
        <f t="shared" si="1"/>
        <v>ECOSPORTECOSPORT TITANIUM 1.62016</v>
      </c>
      <c r="F459" s="1" t="s">
        <v>2211</v>
      </c>
      <c r="G459" s="1">
        <v>7790000</v>
      </c>
      <c r="H459" s="1">
        <v>6200000</v>
      </c>
    </row>
    <row r="460" spans="1:8" ht="13.5" customHeight="1" x14ac:dyDescent="0.3">
      <c r="A460" s="1" t="s">
        <v>93</v>
      </c>
      <c r="B460" s="1" t="s">
        <v>97</v>
      </c>
      <c r="C460" s="1" t="s">
        <v>4603</v>
      </c>
      <c r="D460" s="1">
        <v>2014</v>
      </c>
      <c r="E460" s="1" t="str">
        <f t="shared" si="1"/>
        <v>ECOSPORTECOSPORT TITANIUM 2.0 AT2014</v>
      </c>
      <c r="F460" s="1" t="s">
        <v>4604</v>
      </c>
      <c r="G460" s="1">
        <v>9490000</v>
      </c>
      <c r="H460" s="1">
        <v>9000000</v>
      </c>
    </row>
    <row r="461" spans="1:8" ht="13.5" customHeight="1" x14ac:dyDescent="0.3">
      <c r="A461" s="1" t="s">
        <v>93</v>
      </c>
      <c r="B461" s="1" t="s">
        <v>97</v>
      </c>
      <c r="C461" s="1" t="s">
        <v>4605</v>
      </c>
      <c r="D461" s="1">
        <v>2017</v>
      </c>
      <c r="E461" s="1" t="str">
        <f t="shared" si="1"/>
        <v>ECOSPORTECOSPORT TITANIUM 2.0 AUT2017</v>
      </c>
      <c r="F461" s="1" t="s">
        <v>1738</v>
      </c>
      <c r="G461" s="1">
        <v>8000000</v>
      </c>
      <c r="H461" s="1">
        <v>6500000</v>
      </c>
    </row>
    <row r="462" spans="1:8" ht="13.5" customHeight="1" x14ac:dyDescent="0.3">
      <c r="A462" s="1" t="s">
        <v>93</v>
      </c>
      <c r="B462" s="1" t="s">
        <v>100</v>
      </c>
      <c r="C462" s="1" t="s">
        <v>4606</v>
      </c>
      <c r="D462" s="1">
        <v>2018</v>
      </c>
      <c r="E462" s="1" t="str">
        <f t="shared" si="1"/>
        <v>EDGEEDGE 2.0 AUT2018</v>
      </c>
      <c r="F462" s="1" t="s">
        <v>2813</v>
      </c>
      <c r="G462" s="1">
        <v>12000000</v>
      </c>
      <c r="H462" s="1">
        <v>18000000</v>
      </c>
    </row>
    <row r="463" spans="1:8" ht="13.5" customHeight="1" x14ac:dyDescent="0.3">
      <c r="A463" s="1" t="s">
        <v>93</v>
      </c>
      <c r="B463" s="1" t="s">
        <v>100</v>
      </c>
      <c r="C463" s="1" t="s">
        <v>4606</v>
      </c>
      <c r="D463" s="1">
        <v>2019</v>
      </c>
      <c r="E463" s="1" t="str">
        <f t="shared" si="1"/>
        <v>EDGEEDGE 2.0 AUT2019</v>
      </c>
      <c r="F463" s="1" t="s">
        <v>399</v>
      </c>
      <c r="G463" s="1">
        <v>13890000</v>
      </c>
      <c r="H463" s="1">
        <v>11500000</v>
      </c>
    </row>
    <row r="464" spans="1:8" ht="13.5" customHeight="1" x14ac:dyDescent="0.3">
      <c r="A464" s="1" t="s">
        <v>93</v>
      </c>
      <c r="B464" s="1" t="s">
        <v>100</v>
      </c>
      <c r="C464" s="1" t="s">
        <v>4606</v>
      </c>
      <c r="D464" s="1">
        <v>2019</v>
      </c>
      <c r="E464" s="1" t="str">
        <f t="shared" si="1"/>
        <v>EDGEEDGE 2.0 AUT2019</v>
      </c>
      <c r="F464" s="1" t="s">
        <v>1662</v>
      </c>
      <c r="G464" s="1">
        <v>12390000</v>
      </c>
      <c r="H464" s="1">
        <v>10500000</v>
      </c>
    </row>
    <row r="465" spans="1:8" ht="13.5" customHeight="1" x14ac:dyDescent="0.3">
      <c r="A465" s="1" t="s">
        <v>93</v>
      </c>
      <c r="B465" s="1" t="s">
        <v>100</v>
      </c>
      <c r="C465" s="1" t="s">
        <v>4606</v>
      </c>
      <c r="D465" s="1">
        <v>2019</v>
      </c>
      <c r="E465" s="1" t="str">
        <f t="shared" si="1"/>
        <v>EDGEEDGE 2.0 AUT2019</v>
      </c>
      <c r="F465" s="1" t="s">
        <v>1284</v>
      </c>
      <c r="G465" s="1">
        <v>13940658</v>
      </c>
      <c r="H465" s="1">
        <v>10900000</v>
      </c>
    </row>
    <row r="466" spans="1:8" ht="13.5" customHeight="1" x14ac:dyDescent="0.3">
      <c r="A466" s="1" t="s">
        <v>93</v>
      </c>
      <c r="B466" s="1" t="s">
        <v>100</v>
      </c>
      <c r="C466" s="1" t="s">
        <v>4606</v>
      </c>
      <c r="D466" s="1">
        <v>2019</v>
      </c>
      <c r="E466" s="1" t="str">
        <f t="shared" si="1"/>
        <v>EDGEEDGE 2.0 AUT2019</v>
      </c>
      <c r="F466" s="1" t="s">
        <v>2647</v>
      </c>
      <c r="G466" s="1">
        <v>17990000</v>
      </c>
      <c r="H466" s="1">
        <v>19500000</v>
      </c>
    </row>
    <row r="467" spans="1:8" ht="13.5" customHeight="1" x14ac:dyDescent="0.3">
      <c r="A467" s="1" t="s">
        <v>93</v>
      </c>
      <c r="B467" s="1" t="s">
        <v>100</v>
      </c>
      <c r="C467" s="1" t="s">
        <v>4607</v>
      </c>
      <c r="D467" s="1">
        <v>2018</v>
      </c>
      <c r="E467" s="1" t="str">
        <f t="shared" si="1"/>
        <v>EDGEEDGE 3.5 AUT2018</v>
      </c>
      <c r="F467" s="1" t="s">
        <v>1594</v>
      </c>
      <c r="G467" s="1">
        <v>14690000</v>
      </c>
      <c r="H467" s="1">
        <v>12500000</v>
      </c>
    </row>
    <row r="468" spans="1:8" ht="13.5" customHeight="1" x14ac:dyDescent="0.3">
      <c r="A468" s="1" t="s">
        <v>93</v>
      </c>
      <c r="B468" s="1" t="s">
        <v>100</v>
      </c>
      <c r="C468" s="1" t="s">
        <v>4608</v>
      </c>
      <c r="D468" s="1">
        <v>2020</v>
      </c>
      <c r="E468" s="1" t="str">
        <f t="shared" si="1"/>
        <v>EDGEEDGE 4X4 2.7 AUT2020</v>
      </c>
      <c r="F468" s="1" t="s">
        <v>4609</v>
      </c>
      <c r="G468" s="1">
        <v>29900000</v>
      </c>
      <c r="H468" s="1">
        <v>31000000</v>
      </c>
    </row>
    <row r="469" spans="1:8" ht="13.5" customHeight="1" x14ac:dyDescent="0.3">
      <c r="A469" s="1" t="s">
        <v>93</v>
      </c>
      <c r="B469" s="1" t="s">
        <v>100</v>
      </c>
      <c r="C469" s="1" t="s">
        <v>4608</v>
      </c>
      <c r="D469" s="1">
        <v>2023</v>
      </c>
      <c r="E469" s="1" t="str">
        <f t="shared" si="1"/>
        <v>EDGEEDGE 4X4 2.7 AUT2023</v>
      </c>
      <c r="F469" s="1" t="s">
        <v>1063</v>
      </c>
      <c r="G469" s="1">
        <v>27790000</v>
      </c>
      <c r="H469" s="1">
        <v>26000000</v>
      </c>
    </row>
    <row r="470" spans="1:8" ht="13.5" customHeight="1" x14ac:dyDescent="0.3">
      <c r="A470" s="1" t="s">
        <v>93</v>
      </c>
      <c r="B470" s="1" t="s">
        <v>100</v>
      </c>
      <c r="C470" s="1" t="s">
        <v>4608</v>
      </c>
      <c r="D470" s="1">
        <v>2023</v>
      </c>
      <c r="E470" s="1" t="str">
        <f t="shared" si="1"/>
        <v>EDGEEDGE 4X4 2.7 AUT2023</v>
      </c>
      <c r="F470" s="1" t="s">
        <v>2038</v>
      </c>
      <c r="G470" s="1">
        <v>29990000</v>
      </c>
      <c r="H470" s="1">
        <v>29000000</v>
      </c>
    </row>
    <row r="471" spans="1:8" ht="13.5" customHeight="1" x14ac:dyDescent="0.3">
      <c r="A471" s="1" t="s">
        <v>93</v>
      </c>
      <c r="B471" s="1" t="s">
        <v>100</v>
      </c>
      <c r="C471" s="1" t="s">
        <v>4610</v>
      </c>
      <c r="D471" s="1">
        <v>2022</v>
      </c>
      <c r="E471" s="1" t="str">
        <f t="shared" si="1"/>
        <v>EDGEEDGE AWD 2.0 AT2022</v>
      </c>
      <c r="F471" s="1" t="s">
        <v>1925</v>
      </c>
      <c r="G471" s="1">
        <v>25690000</v>
      </c>
      <c r="H471" s="1">
        <v>19000000</v>
      </c>
    </row>
    <row r="472" spans="1:8" ht="13.5" customHeight="1" x14ac:dyDescent="0.3">
      <c r="A472" s="1" t="s">
        <v>93</v>
      </c>
      <c r="B472" s="1" t="s">
        <v>100</v>
      </c>
      <c r="C472" s="1" t="s">
        <v>4610</v>
      </c>
      <c r="D472" s="1">
        <v>2022</v>
      </c>
      <c r="E472" s="1" t="str">
        <f t="shared" si="1"/>
        <v>EDGEEDGE AWD 2.0 AT2022</v>
      </c>
      <c r="F472" s="1" t="s">
        <v>2027</v>
      </c>
      <c r="G472" s="1">
        <v>27000000</v>
      </c>
      <c r="H472" s="1">
        <v>22500000</v>
      </c>
    </row>
    <row r="473" spans="1:8" ht="13.5" customHeight="1" x14ac:dyDescent="0.3">
      <c r="A473" s="1" t="s">
        <v>93</v>
      </c>
      <c r="B473" s="1" t="s">
        <v>100</v>
      </c>
      <c r="C473" s="1" t="s">
        <v>101</v>
      </c>
      <c r="D473" s="1">
        <v>2024</v>
      </c>
      <c r="E473" s="1" t="str">
        <f t="shared" si="1"/>
        <v>EDGEEDGE AWD 2.0 CVT2024</v>
      </c>
      <c r="F473" s="1" t="s">
        <v>641</v>
      </c>
      <c r="G473" s="1">
        <v>24990000</v>
      </c>
      <c r="H473" s="1">
        <v>20000000</v>
      </c>
    </row>
    <row r="474" spans="1:8" ht="13.5" customHeight="1" x14ac:dyDescent="0.3">
      <c r="A474" s="1" t="s">
        <v>93</v>
      </c>
      <c r="B474" s="1" t="s">
        <v>100</v>
      </c>
      <c r="C474" s="1" t="s">
        <v>4611</v>
      </c>
      <c r="D474" s="1">
        <v>2021</v>
      </c>
      <c r="E474" s="1" t="str">
        <f t="shared" si="1"/>
        <v>EDGEEDGE AWD 2.7 AUT2021</v>
      </c>
      <c r="F474" s="1" t="s">
        <v>1971</v>
      </c>
      <c r="G474" s="1">
        <v>24577000</v>
      </c>
      <c r="H474" s="1">
        <v>22000000</v>
      </c>
    </row>
    <row r="475" spans="1:8" ht="13.5" customHeight="1" x14ac:dyDescent="0.3">
      <c r="A475" s="1" t="s">
        <v>93</v>
      </c>
      <c r="B475" s="1" t="s">
        <v>100</v>
      </c>
      <c r="C475" s="1" t="s">
        <v>4612</v>
      </c>
      <c r="D475" s="1">
        <v>2021</v>
      </c>
      <c r="E475" s="1" t="str">
        <f t="shared" si="1"/>
        <v>EDGEEDGE OTTO 2.0 AUT2021</v>
      </c>
      <c r="F475" s="1" t="s">
        <v>1988</v>
      </c>
      <c r="G475" s="1">
        <v>21990000</v>
      </c>
      <c r="H475" s="1">
        <v>17500000</v>
      </c>
    </row>
    <row r="476" spans="1:8" ht="13.5" customHeight="1" x14ac:dyDescent="0.3">
      <c r="A476" s="1" t="s">
        <v>93</v>
      </c>
      <c r="B476" s="1" t="s">
        <v>100</v>
      </c>
      <c r="C476" s="1" t="s">
        <v>4613</v>
      </c>
      <c r="D476" s="1">
        <v>2017</v>
      </c>
      <c r="E476" s="1" t="str">
        <f t="shared" si="1"/>
        <v>EDGEEDGE SEL 2.0 AUT2017</v>
      </c>
      <c r="F476" s="1" t="s">
        <v>1872</v>
      </c>
      <c r="G476" s="1">
        <v>13290000</v>
      </c>
      <c r="H476" s="1">
        <v>10373949</v>
      </c>
    </row>
    <row r="477" spans="1:8" ht="13.5" customHeight="1" x14ac:dyDescent="0.3">
      <c r="A477" s="1" t="s">
        <v>93</v>
      </c>
      <c r="B477" s="1" t="s">
        <v>100</v>
      </c>
      <c r="C477" s="1" t="s">
        <v>4613</v>
      </c>
      <c r="D477" s="1">
        <v>2019</v>
      </c>
      <c r="E477" s="1" t="str">
        <f t="shared" si="1"/>
        <v>EDGEEDGE SEL 2.0 AUT2019</v>
      </c>
      <c r="F477" s="1" t="s">
        <v>2205</v>
      </c>
      <c r="G477" s="1">
        <v>16990000</v>
      </c>
      <c r="H477" s="1">
        <v>16000000</v>
      </c>
    </row>
    <row r="478" spans="1:8" ht="13.5" customHeight="1" x14ac:dyDescent="0.3">
      <c r="A478" s="1" t="s">
        <v>93</v>
      </c>
      <c r="B478" s="1" t="s">
        <v>100</v>
      </c>
      <c r="C478" s="1" t="s">
        <v>103</v>
      </c>
      <c r="D478" s="1">
        <v>2020</v>
      </c>
      <c r="E478" s="1" t="str">
        <f t="shared" si="1"/>
        <v>EDGEEDGE SEL 4X4 2.0 AUT2020</v>
      </c>
      <c r="G478" s="1">
        <v>20990000</v>
      </c>
      <c r="H478" s="1">
        <v>0</v>
      </c>
    </row>
    <row r="479" spans="1:8" ht="13.5" customHeight="1" x14ac:dyDescent="0.3">
      <c r="A479" s="1" t="s">
        <v>93</v>
      </c>
      <c r="B479" s="1" t="s">
        <v>100</v>
      </c>
      <c r="C479" s="1" t="s">
        <v>4614</v>
      </c>
      <c r="D479" s="1">
        <v>2019</v>
      </c>
      <c r="E479" s="1" t="str">
        <f t="shared" si="1"/>
        <v>EDGEEDGE SEL 4X4 3.5 AUT2019</v>
      </c>
      <c r="F479" s="1" t="s">
        <v>2010</v>
      </c>
      <c r="G479" s="1">
        <v>15990000</v>
      </c>
      <c r="H479" s="1">
        <v>15000000</v>
      </c>
    </row>
    <row r="480" spans="1:8" ht="13.5" customHeight="1" x14ac:dyDescent="0.3">
      <c r="A480" s="1" t="s">
        <v>93</v>
      </c>
      <c r="B480" s="1" t="s">
        <v>105</v>
      </c>
      <c r="C480" s="1" t="s">
        <v>4615</v>
      </c>
      <c r="D480" s="1">
        <v>2018</v>
      </c>
      <c r="E480" s="1" t="str">
        <f t="shared" si="1"/>
        <v>ESCAPEESCAPE 2.0 AUT2018</v>
      </c>
      <c r="F480" s="1" t="s">
        <v>1056</v>
      </c>
      <c r="G480" s="1">
        <v>10290000</v>
      </c>
      <c r="H480" s="1">
        <v>8200000</v>
      </c>
    </row>
    <row r="481" spans="1:8" ht="13.5" customHeight="1" x14ac:dyDescent="0.3">
      <c r="A481" s="1" t="s">
        <v>93</v>
      </c>
      <c r="B481" s="1" t="s">
        <v>105</v>
      </c>
      <c r="C481" s="1" t="s">
        <v>4615</v>
      </c>
      <c r="D481" s="1">
        <v>2019</v>
      </c>
      <c r="E481" s="1" t="str">
        <f t="shared" si="1"/>
        <v>ESCAPEESCAPE 2.0 AUT2019</v>
      </c>
      <c r="F481" s="1" t="s">
        <v>2300</v>
      </c>
      <c r="G481" s="1">
        <v>14690000</v>
      </c>
      <c r="H481" s="1">
        <v>13000000</v>
      </c>
    </row>
    <row r="482" spans="1:8" ht="13.5" customHeight="1" x14ac:dyDescent="0.3">
      <c r="A482" s="1" t="s">
        <v>93</v>
      </c>
      <c r="B482" s="1" t="s">
        <v>105</v>
      </c>
      <c r="C482" s="1" t="s">
        <v>4616</v>
      </c>
      <c r="D482" s="1">
        <v>2020</v>
      </c>
      <c r="E482" s="1" t="str">
        <f t="shared" si="1"/>
        <v>ESCAPEESCAPE 2.5 AT2020</v>
      </c>
      <c r="F482" s="1" t="s">
        <v>2250</v>
      </c>
      <c r="G482" s="1">
        <v>12575800</v>
      </c>
      <c r="H482" s="1">
        <v>12100000</v>
      </c>
    </row>
    <row r="483" spans="1:8" ht="13.5" customHeight="1" x14ac:dyDescent="0.3">
      <c r="A483" s="1" t="s">
        <v>93</v>
      </c>
      <c r="B483" s="1" t="s">
        <v>105</v>
      </c>
      <c r="C483" s="1" t="s">
        <v>4617</v>
      </c>
      <c r="D483" s="1">
        <v>2017</v>
      </c>
      <c r="E483" s="1" t="str">
        <f t="shared" si="1"/>
        <v>ESCAPEESCAPE 2.5 AUT2017</v>
      </c>
      <c r="F483" s="1" t="s">
        <v>1891</v>
      </c>
      <c r="G483" s="1">
        <v>8189030</v>
      </c>
      <c r="H483" s="1">
        <v>8000000</v>
      </c>
    </row>
    <row r="484" spans="1:8" ht="13.5" customHeight="1" x14ac:dyDescent="0.3">
      <c r="A484" s="1" t="s">
        <v>93</v>
      </c>
      <c r="B484" s="1" t="s">
        <v>105</v>
      </c>
      <c r="C484" s="1" t="s">
        <v>4617</v>
      </c>
      <c r="D484" s="1">
        <v>2020</v>
      </c>
      <c r="E484" s="1" t="str">
        <f t="shared" si="1"/>
        <v>ESCAPEESCAPE 2.5 AUT2020</v>
      </c>
      <c r="F484" s="1" t="s">
        <v>1831</v>
      </c>
      <c r="G484" s="1">
        <v>12416174</v>
      </c>
      <c r="H484" s="1">
        <v>11000000</v>
      </c>
    </row>
    <row r="485" spans="1:8" ht="13.5" customHeight="1" x14ac:dyDescent="0.3">
      <c r="A485" s="1" t="s">
        <v>93</v>
      </c>
      <c r="B485" s="1" t="s">
        <v>105</v>
      </c>
      <c r="C485" s="1" t="s">
        <v>4618</v>
      </c>
      <c r="D485" s="1">
        <v>2020</v>
      </c>
      <c r="E485" s="1" t="str">
        <f t="shared" si="1"/>
        <v>ESCAPEESCAPE 4X4 2.02020</v>
      </c>
      <c r="F485" s="1" t="s">
        <v>1381</v>
      </c>
      <c r="G485" s="1">
        <v>13690000</v>
      </c>
      <c r="H485" s="1">
        <v>10500000</v>
      </c>
    </row>
    <row r="486" spans="1:8" ht="13.5" customHeight="1" x14ac:dyDescent="0.3">
      <c r="A486" s="1" t="s">
        <v>93</v>
      </c>
      <c r="B486" s="1" t="s">
        <v>105</v>
      </c>
      <c r="C486" s="1" t="s">
        <v>4619</v>
      </c>
      <c r="D486" s="1">
        <v>2018</v>
      </c>
      <c r="E486" s="1" t="str">
        <f t="shared" si="1"/>
        <v>ESCAPEESCAPE 4X4 2.0 AUT2018</v>
      </c>
      <c r="F486" s="1" t="s">
        <v>930</v>
      </c>
      <c r="G486" s="1">
        <v>11590000</v>
      </c>
      <c r="H486" s="1">
        <v>9200000</v>
      </c>
    </row>
    <row r="487" spans="1:8" ht="13.5" customHeight="1" x14ac:dyDescent="0.3">
      <c r="A487" s="1" t="s">
        <v>93</v>
      </c>
      <c r="B487" s="1" t="s">
        <v>105</v>
      </c>
      <c r="C487" s="1" t="s">
        <v>4619</v>
      </c>
      <c r="D487" s="1">
        <v>2018</v>
      </c>
      <c r="E487" s="1" t="str">
        <f t="shared" si="1"/>
        <v>ESCAPEESCAPE 4X4 2.0 AUT2018</v>
      </c>
      <c r="F487" s="1" t="s">
        <v>368</v>
      </c>
      <c r="G487" s="1">
        <v>9590000</v>
      </c>
      <c r="H487" s="1">
        <v>7700000</v>
      </c>
    </row>
    <row r="488" spans="1:8" ht="13.5" customHeight="1" x14ac:dyDescent="0.3">
      <c r="A488" s="1" t="s">
        <v>93</v>
      </c>
      <c r="B488" s="1" t="s">
        <v>105</v>
      </c>
      <c r="C488" s="1" t="s">
        <v>4619</v>
      </c>
      <c r="D488" s="1">
        <v>2019</v>
      </c>
      <c r="E488" s="1" t="str">
        <f t="shared" si="1"/>
        <v>ESCAPEESCAPE 4X4 2.0 AUT2019</v>
      </c>
      <c r="F488" s="1" t="s">
        <v>1473</v>
      </c>
      <c r="G488" s="1">
        <v>13990000</v>
      </c>
      <c r="H488" s="1">
        <v>11500000</v>
      </c>
    </row>
    <row r="489" spans="1:8" ht="13.5" customHeight="1" x14ac:dyDescent="0.3">
      <c r="A489" s="1" t="s">
        <v>93</v>
      </c>
      <c r="B489" s="1" t="s">
        <v>105</v>
      </c>
      <c r="C489" s="1" t="s">
        <v>4620</v>
      </c>
      <c r="D489" s="1">
        <v>2021</v>
      </c>
      <c r="E489" s="1" t="str">
        <f t="shared" si="1"/>
        <v>ESCAPEESCAPE 4X4 2.0L AUT2021</v>
      </c>
      <c r="F489" s="1" t="s">
        <v>1179</v>
      </c>
      <c r="G489" s="1">
        <v>16990000</v>
      </c>
      <c r="H489" s="1">
        <v>13000000</v>
      </c>
    </row>
    <row r="490" spans="1:8" ht="13.5" customHeight="1" x14ac:dyDescent="0.3">
      <c r="A490" s="1" t="s">
        <v>93</v>
      </c>
      <c r="B490" s="1" t="s">
        <v>105</v>
      </c>
      <c r="C490" s="1" t="s">
        <v>4621</v>
      </c>
      <c r="D490" s="1">
        <v>2023</v>
      </c>
      <c r="E490" s="1" t="str">
        <f t="shared" si="1"/>
        <v>ESCAPEESCAPE AWD 2.0 AUT2023</v>
      </c>
      <c r="F490" s="1" t="s">
        <v>1001</v>
      </c>
      <c r="G490" s="1">
        <v>20990000</v>
      </c>
      <c r="H490" s="1">
        <v>23870000</v>
      </c>
    </row>
    <row r="491" spans="1:8" ht="13.5" customHeight="1" x14ac:dyDescent="0.3">
      <c r="A491" s="1" t="s">
        <v>93</v>
      </c>
      <c r="B491" s="1" t="s">
        <v>105</v>
      </c>
      <c r="C491" s="1" t="s">
        <v>106</v>
      </c>
      <c r="D491" s="1">
        <v>2021</v>
      </c>
      <c r="E491" s="1" t="str">
        <f t="shared" si="1"/>
        <v>ESCAPEESCAPE FHEV 2.5 AUT2021</v>
      </c>
      <c r="F491" s="1" t="s">
        <v>1721</v>
      </c>
      <c r="G491" s="1">
        <v>20990000</v>
      </c>
      <c r="H491" s="1">
        <v>18000000</v>
      </c>
    </row>
    <row r="492" spans="1:8" ht="13.5" customHeight="1" x14ac:dyDescent="0.3">
      <c r="A492" s="1" t="s">
        <v>93</v>
      </c>
      <c r="B492" s="1" t="s">
        <v>105</v>
      </c>
      <c r="C492" s="1" t="s">
        <v>106</v>
      </c>
      <c r="D492" s="1">
        <v>2023</v>
      </c>
      <c r="E492" s="1" t="str">
        <f t="shared" si="1"/>
        <v>ESCAPEESCAPE FHEV 2.5 AUT2023</v>
      </c>
      <c r="F492" s="1" t="s">
        <v>1672</v>
      </c>
      <c r="G492" s="1">
        <v>21782120</v>
      </c>
      <c r="H492" s="1">
        <v>19000000</v>
      </c>
    </row>
    <row r="493" spans="1:8" ht="13.5" customHeight="1" x14ac:dyDescent="0.3">
      <c r="A493" s="1" t="s">
        <v>93</v>
      </c>
      <c r="B493" s="1" t="s">
        <v>105</v>
      </c>
      <c r="C493" s="1" t="s">
        <v>106</v>
      </c>
      <c r="D493" s="1">
        <v>2024</v>
      </c>
      <c r="E493" s="1" t="str">
        <f t="shared" si="1"/>
        <v>ESCAPEESCAPE FHEV 2.5 AUT2024</v>
      </c>
      <c r="G493" s="1">
        <v>26490000</v>
      </c>
      <c r="H493" s="1">
        <v>0</v>
      </c>
    </row>
    <row r="494" spans="1:8" ht="13.5" customHeight="1" x14ac:dyDescent="0.3">
      <c r="A494" s="1" t="s">
        <v>93</v>
      </c>
      <c r="B494" s="1" t="s">
        <v>105</v>
      </c>
      <c r="C494" s="1" t="s">
        <v>106</v>
      </c>
      <c r="D494" s="1">
        <v>2024</v>
      </c>
      <c r="E494" s="1" t="str">
        <f t="shared" si="1"/>
        <v>ESCAPEESCAPE FHEV 2.5 AUT2024</v>
      </c>
      <c r="F494" s="1" t="s">
        <v>1250</v>
      </c>
      <c r="G494" s="1">
        <v>26510000</v>
      </c>
      <c r="H494" s="1">
        <v>24000000</v>
      </c>
    </row>
    <row r="495" spans="1:8" ht="13.5" customHeight="1" x14ac:dyDescent="0.3">
      <c r="A495" s="1" t="s">
        <v>93</v>
      </c>
      <c r="B495" s="1" t="s">
        <v>105</v>
      </c>
      <c r="C495" s="1" t="s">
        <v>106</v>
      </c>
      <c r="D495" s="1">
        <v>2024</v>
      </c>
      <c r="E495" s="1" t="str">
        <f t="shared" si="1"/>
        <v>ESCAPEESCAPE FHEV 2.5 AUT2024</v>
      </c>
      <c r="F495" s="1" t="s">
        <v>1076</v>
      </c>
      <c r="G495" s="1">
        <v>26990000</v>
      </c>
      <c r="H495" s="1">
        <v>24000000</v>
      </c>
    </row>
    <row r="496" spans="1:8" ht="13.5" customHeight="1" x14ac:dyDescent="0.3">
      <c r="A496" s="1" t="s">
        <v>93</v>
      </c>
      <c r="B496" s="1" t="s">
        <v>105</v>
      </c>
      <c r="C496" s="1" t="s">
        <v>4622</v>
      </c>
      <c r="D496" s="1">
        <v>2020</v>
      </c>
      <c r="E496" s="1" t="str">
        <f t="shared" si="1"/>
        <v>ESCAPEESCAPE TITANIUM 4X4 2.0 AUT2020</v>
      </c>
      <c r="F496" s="1" t="s">
        <v>1967</v>
      </c>
      <c r="G496" s="1">
        <v>17990000</v>
      </c>
      <c r="H496" s="1">
        <v>14500000</v>
      </c>
    </row>
    <row r="497" spans="1:8" ht="13.5" customHeight="1" x14ac:dyDescent="0.3">
      <c r="A497" s="1" t="s">
        <v>93</v>
      </c>
      <c r="B497" s="1" t="s">
        <v>110</v>
      </c>
      <c r="C497" s="1" t="s">
        <v>4623</v>
      </c>
      <c r="D497" s="1">
        <v>2022</v>
      </c>
      <c r="E497" s="1" t="str">
        <f t="shared" si="1"/>
        <v>EXPEDITIONEXPEDITION LIMITED 4X4 3.5 AUT2022</v>
      </c>
      <c r="F497" s="1" t="s">
        <v>1864</v>
      </c>
      <c r="G497" s="1">
        <v>41990000</v>
      </c>
      <c r="H497" s="1">
        <v>38000000</v>
      </c>
    </row>
    <row r="498" spans="1:8" ht="13.5" customHeight="1" x14ac:dyDescent="0.3">
      <c r="A498" s="1" t="s">
        <v>93</v>
      </c>
      <c r="B498" s="1" t="s">
        <v>110</v>
      </c>
      <c r="C498" s="1" t="s">
        <v>4624</v>
      </c>
      <c r="D498" s="1">
        <v>2018</v>
      </c>
      <c r="E498" s="1" t="str">
        <f t="shared" si="1"/>
        <v>EXPEDITIONEXPEDITION LTD 4X4 3.5 AUT2018</v>
      </c>
      <c r="F498" s="1" t="s">
        <v>1894</v>
      </c>
      <c r="G498" s="1">
        <v>21990000</v>
      </c>
      <c r="H498" s="1">
        <v>19500000</v>
      </c>
    </row>
    <row r="499" spans="1:8" ht="13.5" customHeight="1" x14ac:dyDescent="0.3">
      <c r="A499" s="1" t="s">
        <v>93</v>
      </c>
      <c r="B499" s="1" t="s">
        <v>110</v>
      </c>
      <c r="C499" s="1" t="s">
        <v>4624</v>
      </c>
      <c r="D499" s="1">
        <v>2020</v>
      </c>
      <c r="E499" s="1" t="str">
        <f t="shared" si="1"/>
        <v>EXPEDITIONEXPEDITION LTD 4X4 3.5 AUT2020</v>
      </c>
      <c r="F499" s="1" t="s">
        <v>1434</v>
      </c>
      <c r="G499" s="1">
        <v>35990000</v>
      </c>
      <c r="H499" s="1">
        <v>31000000</v>
      </c>
    </row>
    <row r="500" spans="1:8" ht="13.5" customHeight="1" x14ac:dyDescent="0.3">
      <c r="A500" s="1" t="s">
        <v>93</v>
      </c>
      <c r="B500" s="1" t="s">
        <v>110</v>
      </c>
      <c r="C500" s="1" t="s">
        <v>111</v>
      </c>
      <c r="D500" s="1">
        <v>2017</v>
      </c>
      <c r="E500" s="1" t="str">
        <f t="shared" si="1"/>
        <v>EXPEDITIONEXPEDITION XLT 3.5 AUT2017</v>
      </c>
      <c r="F500" s="1" t="s">
        <v>1460</v>
      </c>
      <c r="G500" s="1">
        <v>18000000</v>
      </c>
      <c r="H500" s="1">
        <v>15500000</v>
      </c>
    </row>
    <row r="501" spans="1:8" ht="13.5" customHeight="1" x14ac:dyDescent="0.3">
      <c r="A501" s="1" t="s">
        <v>93</v>
      </c>
      <c r="B501" s="1" t="s">
        <v>110</v>
      </c>
      <c r="C501" s="1" t="s">
        <v>111</v>
      </c>
      <c r="D501" s="1">
        <v>2017</v>
      </c>
      <c r="E501" s="1" t="str">
        <f t="shared" si="1"/>
        <v>EXPEDITIONEXPEDITION XLT 3.5 AUT2017</v>
      </c>
      <c r="F501" s="1" t="s">
        <v>2360</v>
      </c>
      <c r="G501" s="1">
        <v>18990000</v>
      </c>
      <c r="H501" s="1">
        <v>16000000</v>
      </c>
    </row>
    <row r="502" spans="1:8" ht="13.5" customHeight="1" x14ac:dyDescent="0.3">
      <c r="A502" s="1" t="s">
        <v>93</v>
      </c>
      <c r="B502" s="1" t="s">
        <v>113</v>
      </c>
      <c r="C502" s="1" t="s">
        <v>4625</v>
      </c>
      <c r="D502" s="1">
        <v>2018</v>
      </c>
      <c r="E502" s="1" t="str">
        <f t="shared" si="1"/>
        <v>EXPLOREREXPLORER 2.32018</v>
      </c>
      <c r="F502" s="1" t="s">
        <v>691</v>
      </c>
      <c r="G502" s="1">
        <v>13990000</v>
      </c>
      <c r="H502" s="1">
        <v>11500000</v>
      </c>
    </row>
    <row r="503" spans="1:8" ht="13.5" customHeight="1" x14ac:dyDescent="0.3">
      <c r="A503" s="1" t="s">
        <v>93</v>
      </c>
      <c r="B503" s="1" t="s">
        <v>113</v>
      </c>
      <c r="C503" s="1" t="s">
        <v>4625</v>
      </c>
      <c r="D503" s="1">
        <v>2023</v>
      </c>
      <c r="E503" s="1" t="str">
        <f t="shared" si="1"/>
        <v>EXPLOREREXPLORER 2.32023</v>
      </c>
      <c r="F503" s="1" t="s">
        <v>1744</v>
      </c>
      <c r="G503" s="1">
        <v>39990000</v>
      </c>
      <c r="H503" s="1">
        <v>36500000</v>
      </c>
    </row>
    <row r="504" spans="1:8" ht="13.5" customHeight="1" x14ac:dyDescent="0.3">
      <c r="A504" s="1" t="s">
        <v>93</v>
      </c>
      <c r="B504" s="1" t="s">
        <v>113</v>
      </c>
      <c r="C504" s="1" t="s">
        <v>4626</v>
      </c>
      <c r="D504" s="1">
        <v>2017</v>
      </c>
      <c r="E504" s="1" t="str">
        <f t="shared" si="1"/>
        <v>EXPLOREREXPLORER 2.3 AUT2017</v>
      </c>
      <c r="F504" s="1" t="s">
        <v>2158</v>
      </c>
      <c r="G504" s="1">
        <v>16690000</v>
      </c>
      <c r="H504" s="1">
        <v>16000000</v>
      </c>
    </row>
    <row r="505" spans="1:8" ht="13.5" customHeight="1" x14ac:dyDescent="0.3">
      <c r="A505" s="1" t="s">
        <v>93</v>
      </c>
      <c r="B505" s="1" t="s">
        <v>113</v>
      </c>
      <c r="C505" s="1" t="s">
        <v>4626</v>
      </c>
      <c r="D505" s="1">
        <v>2018</v>
      </c>
      <c r="E505" s="1" t="str">
        <f t="shared" si="1"/>
        <v>EXPLOREREXPLORER 2.3 AUT2018</v>
      </c>
      <c r="F505" s="1" t="s">
        <v>1007</v>
      </c>
      <c r="G505" s="1">
        <v>15990000</v>
      </c>
      <c r="H505" s="1">
        <v>13300000</v>
      </c>
    </row>
    <row r="506" spans="1:8" ht="13.5" customHeight="1" x14ac:dyDescent="0.3">
      <c r="A506" s="1" t="s">
        <v>93</v>
      </c>
      <c r="B506" s="1" t="s">
        <v>113</v>
      </c>
      <c r="C506" s="1" t="s">
        <v>4626</v>
      </c>
      <c r="D506" s="1">
        <v>2019</v>
      </c>
      <c r="E506" s="1" t="str">
        <f t="shared" si="1"/>
        <v>EXPLOREREXPLORER 2.3 AUT2019</v>
      </c>
      <c r="F506" s="1" t="s">
        <v>1527</v>
      </c>
      <c r="G506" s="1">
        <v>19290000</v>
      </c>
      <c r="H506" s="1">
        <v>16300000</v>
      </c>
    </row>
    <row r="507" spans="1:8" ht="13.5" customHeight="1" x14ac:dyDescent="0.3">
      <c r="A507" s="1" t="s">
        <v>93</v>
      </c>
      <c r="B507" s="1" t="s">
        <v>113</v>
      </c>
      <c r="C507" s="1" t="s">
        <v>4626</v>
      </c>
      <c r="D507" s="1">
        <v>2019</v>
      </c>
      <c r="E507" s="1" t="str">
        <f t="shared" si="1"/>
        <v>EXPLOREREXPLORER 2.3 AUT2019</v>
      </c>
      <c r="F507" s="1" t="s">
        <v>1304</v>
      </c>
      <c r="G507" s="1">
        <v>19690000</v>
      </c>
      <c r="H507" s="1">
        <v>17500000</v>
      </c>
    </row>
    <row r="508" spans="1:8" ht="13.5" customHeight="1" x14ac:dyDescent="0.3">
      <c r="A508" s="1" t="s">
        <v>93</v>
      </c>
      <c r="B508" s="1" t="s">
        <v>113</v>
      </c>
      <c r="C508" s="1" t="s">
        <v>4626</v>
      </c>
      <c r="D508" s="1">
        <v>2020</v>
      </c>
      <c r="E508" s="1" t="str">
        <f t="shared" si="1"/>
        <v>EXPLOREREXPLORER 2.3 AUT2020</v>
      </c>
      <c r="F508" s="1" t="s">
        <v>2022</v>
      </c>
      <c r="G508" s="1">
        <v>22490000</v>
      </c>
      <c r="H508" s="1">
        <v>17500000</v>
      </c>
    </row>
    <row r="509" spans="1:8" ht="13.5" customHeight="1" x14ac:dyDescent="0.3">
      <c r="A509" s="1" t="s">
        <v>93</v>
      </c>
      <c r="B509" s="1" t="s">
        <v>113</v>
      </c>
      <c r="C509" s="1" t="s">
        <v>4626</v>
      </c>
      <c r="D509" s="1">
        <v>2021</v>
      </c>
      <c r="E509" s="1" t="str">
        <f t="shared" si="1"/>
        <v>EXPLOREREXPLORER 2.3 AUT2021</v>
      </c>
      <c r="F509" s="1" t="s">
        <v>1318</v>
      </c>
      <c r="G509" s="1">
        <v>26990000</v>
      </c>
      <c r="H509" s="1">
        <v>22500000</v>
      </c>
    </row>
    <row r="510" spans="1:8" ht="13.5" customHeight="1" x14ac:dyDescent="0.3">
      <c r="A510" s="1" t="s">
        <v>93</v>
      </c>
      <c r="B510" s="1" t="s">
        <v>113</v>
      </c>
      <c r="C510" s="1" t="s">
        <v>4627</v>
      </c>
      <c r="D510" s="1">
        <v>2024</v>
      </c>
      <c r="E510" s="1" t="str">
        <f t="shared" si="1"/>
        <v>EXPLOREREXPLORER 2WD 2.3 AUT2024</v>
      </c>
      <c r="F510" s="1" t="s">
        <v>1169</v>
      </c>
      <c r="G510" s="1">
        <v>32740000</v>
      </c>
      <c r="H510" s="1">
        <v>29000000</v>
      </c>
    </row>
    <row r="511" spans="1:8" ht="13.5" customHeight="1" x14ac:dyDescent="0.3">
      <c r="A511" s="1" t="s">
        <v>93</v>
      </c>
      <c r="B511" s="1" t="s">
        <v>113</v>
      </c>
      <c r="C511" s="1" t="s">
        <v>4627</v>
      </c>
      <c r="D511" s="1">
        <v>2024</v>
      </c>
      <c r="E511" s="1" t="str">
        <f t="shared" si="1"/>
        <v>EXPLOREREXPLORER 2WD 2.3 AUT2024</v>
      </c>
      <c r="F511" s="1" t="s">
        <v>1084</v>
      </c>
      <c r="G511" s="1">
        <v>33990000</v>
      </c>
      <c r="H511" s="1">
        <v>30000000</v>
      </c>
    </row>
    <row r="512" spans="1:8" ht="13.5" customHeight="1" x14ac:dyDescent="0.3">
      <c r="A512" s="1" t="s">
        <v>93</v>
      </c>
      <c r="B512" s="1" t="s">
        <v>113</v>
      </c>
      <c r="C512" s="1" t="s">
        <v>4628</v>
      </c>
      <c r="D512" s="1">
        <v>2025</v>
      </c>
      <c r="E512" s="1" t="str">
        <f t="shared" si="1"/>
        <v>EXPLOREREXPLORER 4WD 2.3 AUT2025</v>
      </c>
      <c r="F512" s="1" t="s">
        <v>648</v>
      </c>
      <c r="G512" s="1">
        <v>40990000</v>
      </c>
      <c r="H512" s="1">
        <v>36000000</v>
      </c>
    </row>
    <row r="513" spans="1:8" ht="13.5" customHeight="1" x14ac:dyDescent="0.3">
      <c r="A513" s="1" t="s">
        <v>93</v>
      </c>
      <c r="B513" s="1" t="s">
        <v>113</v>
      </c>
      <c r="C513" s="1" t="s">
        <v>114</v>
      </c>
      <c r="D513" s="1">
        <v>2021</v>
      </c>
      <c r="E513" s="1" t="str">
        <f t="shared" ref="E513:E767" si="2">CONCATENATE(B513,C513,D513)</f>
        <v>EXPLOREREXPLORER 4X2 2.3 AUT2021</v>
      </c>
      <c r="F513" s="1" t="s">
        <v>2394</v>
      </c>
      <c r="G513" s="1">
        <v>27990000</v>
      </c>
      <c r="H513" s="1">
        <v>26200000</v>
      </c>
    </row>
    <row r="514" spans="1:8" ht="13.5" customHeight="1" x14ac:dyDescent="0.3">
      <c r="A514" s="1" t="s">
        <v>93</v>
      </c>
      <c r="B514" s="1" t="s">
        <v>113</v>
      </c>
      <c r="C514" s="1" t="s">
        <v>114</v>
      </c>
      <c r="D514" s="1">
        <v>2021</v>
      </c>
      <c r="E514" s="1" t="str">
        <f t="shared" si="2"/>
        <v>EXPLOREREXPLORER 4X2 2.3 AUT2021</v>
      </c>
      <c r="F514" s="1" t="s">
        <v>2780</v>
      </c>
      <c r="G514" s="1">
        <v>38990000</v>
      </c>
      <c r="H514" s="1">
        <v>33000000</v>
      </c>
    </row>
    <row r="515" spans="1:8" ht="13.5" customHeight="1" x14ac:dyDescent="0.3">
      <c r="A515" s="1" t="s">
        <v>93</v>
      </c>
      <c r="B515" s="1" t="s">
        <v>113</v>
      </c>
      <c r="C515" s="1" t="s">
        <v>114</v>
      </c>
      <c r="D515" s="1">
        <v>2021</v>
      </c>
      <c r="E515" s="1" t="str">
        <f t="shared" si="2"/>
        <v>EXPLOREREXPLORER 4X2 2.3 AUT2021</v>
      </c>
      <c r="F515" s="1" t="s">
        <v>1715</v>
      </c>
      <c r="G515" s="1">
        <v>26990000</v>
      </c>
      <c r="H515" s="1">
        <v>23800000</v>
      </c>
    </row>
    <row r="516" spans="1:8" ht="13.5" customHeight="1" x14ac:dyDescent="0.3">
      <c r="A516" s="1" t="s">
        <v>93</v>
      </c>
      <c r="B516" s="1" t="s">
        <v>113</v>
      </c>
      <c r="C516" s="1" t="s">
        <v>114</v>
      </c>
      <c r="D516" s="1">
        <v>2021</v>
      </c>
      <c r="E516" s="1" t="str">
        <f t="shared" si="2"/>
        <v>EXPLOREREXPLORER 4X2 2.3 AUT2021</v>
      </c>
      <c r="F516" s="1" t="s">
        <v>723</v>
      </c>
      <c r="G516" s="1">
        <v>25590000</v>
      </c>
      <c r="H516" s="1">
        <v>21000000</v>
      </c>
    </row>
    <row r="517" spans="1:8" ht="13.5" customHeight="1" x14ac:dyDescent="0.3">
      <c r="A517" s="1" t="s">
        <v>93</v>
      </c>
      <c r="B517" s="1" t="s">
        <v>113</v>
      </c>
      <c r="C517" s="1" t="s">
        <v>114</v>
      </c>
      <c r="D517" s="1">
        <v>2021</v>
      </c>
      <c r="E517" s="1" t="str">
        <f t="shared" si="2"/>
        <v>EXPLOREREXPLORER 4X2 2.3 AUT2021</v>
      </c>
      <c r="F517" s="1" t="s">
        <v>684</v>
      </c>
      <c r="G517" s="1">
        <v>26740000</v>
      </c>
      <c r="H517" s="1">
        <v>23000000</v>
      </c>
    </row>
    <row r="518" spans="1:8" ht="13.5" customHeight="1" x14ac:dyDescent="0.3">
      <c r="A518" s="1" t="s">
        <v>93</v>
      </c>
      <c r="B518" s="1" t="s">
        <v>113</v>
      </c>
      <c r="C518" s="1" t="s">
        <v>114</v>
      </c>
      <c r="D518" s="1">
        <v>2022</v>
      </c>
      <c r="E518" s="1" t="str">
        <f t="shared" si="2"/>
        <v>EXPLOREREXPLORER 4X2 2.3 AUT2022</v>
      </c>
      <c r="F518" s="1" t="s">
        <v>1440</v>
      </c>
      <c r="G518" s="1">
        <v>27700000</v>
      </c>
      <c r="H518" s="1">
        <v>24000000</v>
      </c>
    </row>
    <row r="519" spans="1:8" ht="13.5" customHeight="1" x14ac:dyDescent="0.3">
      <c r="A519" s="1" t="s">
        <v>93</v>
      </c>
      <c r="B519" s="1" t="s">
        <v>113</v>
      </c>
      <c r="C519" s="1" t="s">
        <v>114</v>
      </c>
      <c r="D519" s="1">
        <v>2022</v>
      </c>
      <c r="E519" s="1" t="str">
        <f t="shared" si="2"/>
        <v>EXPLOREREXPLORER 4X2 2.3 AUT2022</v>
      </c>
      <c r="F519" s="1" t="s">
        <v>1331</v>
      </c>
      <c r="G519" s="1">
        <v>28990000</v>
      </c>
      <c r="H519" s="1">
        <v>24700000</v>
      </c>
    </row>
    <row r="520" spans="1:8" ht="13.5" customHeight="1" x14ac:dyDescent="0.3">
      <c r="A520" s="1" t="s">
        <v>93</v>
      </c>
      <c r="B520" s="1" t="s">
        <v>113</v>
      </c>
      <c r="C520" s="1" t="s">
        <v>114</v>
      </c>
      <c r="D520" s="1">
        <v>2022</v>
      </c>
      <c r="E520" s="1" t="str">
        <f t="shared" si="2"/>
        <v>EXPLOREREXPLORER 4X2 2.3 AUT2022</v>
      </c>
      <c r="F520" s="1" t="s">
        <v>1308</v>
      </c>
      <c r="G520" s="1">
        <v>28790000</v>
      </c>
      <c r="H520" s="1">
        <v>24284433</v>
      </c>
    </row>
    <row r="521" spans="1:8" ht="13.5" customHeight="1" x14ac:dyDescent="0.3">
      <c r="A521" s="1" t="s">
        <v>93</v>
      </c>
      <c r="B521" s="1" t="s">
        <v>113</v>
      </c>
      <c r="C521" s="1" t="s">
        <v>114</v>
      </c>
      <c r="D521" s="1">
        <v>2022</v>
      </c>
      <c r="E521" s="1" t="str">
        <f t="shared" si="2"/>
        <v>EXPLOREREXPLORER 4X2 2.3 AUT2022</v>
      </c>
      <c r="F521" s="1" t="s">
        <v>4629</v>
      </c>
      <c r="G521" s="1">
        <v>38990000</v>
      </c>
      <c r="H521" s="1">
        <v>40000000</v>
      </c>
    </row>
    <row r="522" spans="1:8" ht="13.5" customHeight="1" x14ac:dyDescent="0.3">
      <c r="A522" s="1" t="s">
        <v>93</v>
      </c>
      <c r="B522" s="1" t="s">
        <v>113</v>
      </c>
      <c r="C522" s="1" t="s">
        <v>114</v>
      </c>
      <c r="D522" s="1">
        <v>2023</v>
      </c>
      <c r="E522" s="1" t="str">
        <f t="shared" si="2"/>
        <v>EXPLOREREXPLORER 4X2 2.3 AUT2023</v>
      </c>
      <c r="F522" s="1" t="s">
        <v>1957</v>
      </c>
      <c r="G522" s="1">
        <v>33400000</v>
      </c>
      <c r="H522" s="1">
        <v>28000000</v>
      </c>
    </row>
    <row r="523" spans="1:8" ht="13.5" customHeight="1" x14ac:dyDescent="0.3">
      <c r="A523" s="1" t="s">
        <v>93</v>
      </c>
      <c r="B523" s="1" t="s">
        <v>113</v>
      </c>
      <c r="C523" s="1" t="s">
        <v>114</v>
      </c>
      <c r="D523" s="1">
        <v>2023</v>
      </c>
      <c r="E523" s="1" t="str">
        <f t="shared" si="2"/>
        <v>EXPLOREREXPLORER 4X2 2.3 AUT2023</v>
      </c>
      <c r="F523" s="1" t="s">
        <v>1911</v>
      </c>
      <c r="G523" s="1">
        <v>34790000</v>
      </c>
      <c r="H523" s="1">
        <v>29000000</v>
      </c>
    </row>
    <row r="524" spans="1:8" ht="13.5" customHeight="1" x14ac:dyDescent="0.3">
      <c r="A524" s="1" t="s">
        <v>93</v>
      </c>
      <c r="B524" s="1" t="s">
        <v>113</v>
      </c>
      <c r="C524" s="1" t="s">
        <v>114</v>
      </c>
      <c r="D524" s="1">
        <v>2024</v>
      </c>
      <c r="E524" s="1" t="str">
        <f t="shared" si="2"/>
        <v>EXPLOREREXPLORER 4X2 2.3 AUT2024</v>
      </c>
      <c r="F524" s="1" t="s">
        <v>1153</v>
      </c>
      <c r="G524" s="1">
        <v>32990000</v>
      </c>
      <c r="H524" s="1">
        <v>29000000</v>
      </c>
    </row>
    <row r="525" spans="1:8" ht="13.5" customHeight="1" x14ac:dyDescent="0.3">
      <c r="A525" s="1" t="s">
        <v>93</v>
      </c>
      <c r="B525" s="1" t="s">
        <v>113</v>
      </c>
      <c r="C525" s="1" t="s">
        <v>4630</v>
      </c>
      <c r="D525" s="1">
        <v>2021</v>
      </c>
      <c r="E525" s="1" t="str">
        <f t="shared" si="2"/>
        <v>EXPLOREREXPLORER 4X4 2.3 AUT2021</v>
      </c>
      <c r="F525" s="1" t="s">
        <v>1805</v>
      </c>
      <c r="G525" s="1">
        <v>29990000</v>
      </c>
      <c r="H525" s="1">
        <v>25000000</v>
      </c>
    </row>
    <row r="526" spans="1:8" ht="13.5" customHeight="1" x14ac:dyDescent="0.3">
      <c r="A526" s="1" t="s">
        <v>93</v>
      </c>
      <c r="B526" s="1" t="s">
        <v>113</v>
      </c>
      <c r="C526" s="1" t="s">
        <v>4630</v>
      </c>
      <c r="D526" s="1">
        <v>2021</v>
      </c>
      <c r="E526" s="1" t="str">
        <f t="shared" si="2"/>
        <v>EXPLOREREXPLORER 4X4 2.3 AUT2021</v>
      </c>
      <c r="F526" s="1" t="s">
        <v>1719</v>
      </c>
      <c r="G526" s="1">
        <v>32690000</v>
      </c>
      <c r="H526" s="1">
        <v>28500000</v>
      </c>
    </row>
    <row r="527" spans="1:8" ht="13.5" customHeight="1" x14ac:dyDescent="0.3">
      <c r="A527" s="1" t="s">
        <v>93</v>
      </c>
      <c r="B527" s="1" t="s">
        <v>113</v>
      </c>
      <c r="C527" s="1" t="s">
        <v>4630</v>
      </c>
      <c r="D527" s="1">
        <v>2021</v>
      </c>
      <c r="E527" s="1" t="str">
        <f t="shared" si="2"/>
        <v>EXPLOREREXPLORER 4X4 2.3 AUT2021</v>
      </c>
      <c r="F527" s="1" t="s">
        <v>2173</v>
      </c>
      <c r="G527" s="1">
        <v>34290000</v>
      </c>
      <c r="H527" s="1">
        <v>30000000</v>
      </c>
    </row>
    <row r="528" spans="1:8" ht="13.5" customHeight="1" x14ac:dyDescent="0.3">
      <c r="A528" s="1" t="s">
        <v>93</v>
      </c>
      <c r="B528" s="1" t="s">
        <v>113</v>
      </c>
      <c r="C528" s="1" t="s">
        <v>4630</v>
      </c>
      <c r="D528" s="1">
        <v>2021</v>
      </c>
      <c r="E528" s="1" t="str">
        <f t="shared" si="2"/>
        <v>EXPLOREREXPLORER 4X4 2.3 AUT2021</v>
      </c>
      <c r="F528" s="1" t="s">
        <v>1099</v>
      </c>
      <c r="G528" s="1">
        <v>28990000</v>
      </c>
      <c r="H528" s="1">
        <v>25000000</v>
      </c>
    </row>
    <row r="529" spans="1:8" ht="13.5" customHeight="1" x14ac:dyDescent="0.3">
      <c r="A529" s="1" t="s">
        <v>93</v>
      </c>
      <c r="B529" s="1" t="s">
        <v>113</v>
      </c>
      <c r="C529" s="1" t="s">
        <v>4630</v>
      </c>
      <c r="D529" s="1">
        <v>2022</v>
      </c>
      <c r="E529" s="1" t="str">
        <f t="shared" si="2"/>
        <v>EXPLOREREXPLORER 4X4 2.3 AUT2022</v>
      </c>
      <c r="F529" s="1" t="s">
        <v>1590</v>
      </c>
      <c r="G529" s="1">
        <v>34990000</v>
      </c>
      <c r="H529" s="1">
        <v>30000000</v>
      </c>
    </row>
    <row r="530" spans="1:8" ht="13.5" customHeight="1" x14ac:dyDescent="0.3">
      <c r="A530" s="1" t="s">
        <v>93</v>
      </c>
      <c r="B530" s="1" t="s">
        <v>113</v>
      </c>
      <c r="C530" s="1" t="s">
        <v>4630</v>
      </c>
      <c r="D530" s="1">
        <v>2023</v>
      </c>
      <c r="E530" s="1" t="str">
        <f t="shared" si="2"/>
        <v>EXPLOREREXPLORER 4X4 2.3 AUT2023</v>
      </c>
      <c r="F530" s="1" t="s">
        <v>892</v>
      </c>
      <c r="G530" s="1">
        <v>34290000</v>
      </c>
      <c r="H530" s="1">
        <v>29500000</v>
      </c>
    </row>
    <row r="531" spans="1:8" ht="13.5" customHeight="1" x14ac:dyDescent="0.3">
      <c r="A531" s="1" t="s">
        <v>93</v>
      </c>
      <c r="B531" s="1" t="s">
        <v>113</v>
      </c>
      <c r="C531" s="1" t="s">
        <v>4630</v>
      </c>
      <c r="D531" s="1">
        <v>2023</v>
      </c>
      <c r="E531" s="1" t="str">
        <f t="shared" si="2"/>
        <v>EXPLOREREXPLORER 4X4 2.3 AUT2023</v>
      </c>
      <c r="F531" s="1" t="s">
        <v>1787</v>
      </c>
      <c r="G531" s="1">
        <v>40990000</v>
      </c>
      <c r="H531" s="1">
        <v>39500000</v>
      </c>
    </row>
    <row r="532" spans="1:8" ht="13.5" customHeight="1" x14ac:dyDescent="0.3">
      <c r="A532" s="1" t="s">
        <v>93</v>
      </c>
      <c r="B532" s="1" t="s">
        <v>113</v>
      </c>
      <c r="C532" s="1" t="s">
        <v>4630</v>
      </c>
      <c r="D532" s="1">
        <v>2023</v>
      </c>
      <c r="E532" s="1" t="str">
        <f t="shared" si="2"/>
        <v>EXPLOREREXPLORER 4X4 2.3 AUT2023</v>
      </c>
      <c r="F532" s="1" t="s">
        <v>972</v>
      </c>
      <c r="G532" s="1">
        <v>35790000</v>
      </c>
      <c r="H532" s="1">
        <v>29200000</v>
      </c>
    </row>
    <row r="533" spans="1:8" ht="13.5" customHeight="1" x14ac:dyDescent="0.3">
      <c r="A533" s="1" t="s">
        <v>93</v>
      </c>
      <c r="B533" s="1" t="s">
        <v>113</v>
      </c>
      <c r="C533" s="1" t="s">
        <v>4630</v>
      </c>
      <c r="D533" s="1">
        <v>2024</v>
      </c>
      <c r="E533" s="1" t="str">
        <f t="shared" si="2"/>
        <v>EXPLOREREXPLORER 4X4 2.3 AUT2024</v>
      </c>
      <c r="F533" s="1" t="s">
        <v>1036</v>
      </c>
      <c r="G533" s="1">
        <v>30890000</v>
      </c>
      <c r="H533" s="1">
        <v>30000000</v>
      </c>
    </row>
    <row r="534" spans="1:8" ht="13.5" customHeight="1" x14ac:dyDescent="0.3">
      <c r="A534" s="1" t="s">
        <v>93</v>
      </c>
      <c r="B534" s="1" t="s">
        <v>113</v>
      </c>
      <c r="C534" s="1" t="s">
        <v>4631</v>
      </c>
      <c r="D534" s="1">
        <v>2021</v>
      </c>
      <c r="E534" s="1" t="str">
        <f t="shared" si="2"/>
        <v>EXPLOREREXPLORER 4X4 3.0 AT2021</v>
      </c>
      <c r="F534" s="1" t="s">
        <v>1661</v>
      </c>
      <c r="G534" s="1">
        <v>33390000</v>
      </c>
      <c r="H534" s="1">
        <v>28500000</v>
      </c>
    </row>
    <row r="535" spans="1:8" ht="13.5" customHeight="1" x14ac:dyDescent="0.3">
      <c r="A535" s="1" t="s">
        <v>93</v>
      </c>
      <c r="B535" s="1" t="s">
        <v>113</v>
      </c>
      <c r="C535" s="1" t="s">
        <v>4632</v>
      </c>
      <c r="D535" s="1">
        <v>2019</v>
      </c>
      <c r="E535" s="1" t="str">
        <f t="shared" si="2"/>
        <v>EXPLOREREXPLORER ECOBOOST 2.3 AUT2019</v>
      </c>
      <c r="F535" s="1" t="s">
        <v>2299</v>
      </c>
      <c r="G535" s="1">
        <v>21590000</v>
      </c>
      <c r="H535" s="1">
        <v>18000000</v>
      </c>
    </row>
    <row r="536" spans="1:8" ht="13.5" customHeight="1" x14ac:dyDescent="0.3">
      <c r="A536" s="1" t="s">
        <v>93</v>
      </c>
      <c r="B536" s="1" t="s">
        <v>113</v>
      </c>
      <c r="C536" s="1" t="s">
        <v>4633</v>
      </c>
      <c r="D536" s="1">
        <v>2016</v>
      </c>
      <c r="E536" s="1" t="str">
        <f t="shared" si="2"/>
        <v>EXPLOREREXPLORER LTD 3.5 AUT2016</v>
      </c>
      <c r="F536" s="1" t="s">
        <v>2373</v>
      </c>
      <c r="G536" s="1">
        <v>23790000</v>
      </c>
      <c r="H536" s="1">
        <v>20500000</v>
      </c>
    </row>
    <row r="537" spans="1:8" ht="13.5" customHeight="1" x14ac:dyDescent="0.3">
      <c r="A537" s="1" t="s">
        <v>93</v>
      </c>
      <c r="B537" s="1" t="s">
        <v>113</v>
      </c>
      <c r="C537" s="1" t="s">
        <v>4634</v>
      </c>
      <c r="D537" s="1">
        <v>2018</v>
      </c>
      <c r="E537" s="1" t="str">
        <f t="shared" si="2"/>
        <v>EXPLOREREXPLORER LTD 4X4 2.3 AT2018</v>
      </c>
      <c r="F537" s="1" t="s">
        <v>2188</v>
      </c>
      <c r="G537" s="1">
        <v>25990000</v>
      </c>
      <c r="H537" s="1">
        <v>20000000</v>
      </c>
    </row>
    <row r="538" spans="1:8" ht="13.5" customHeight="1" x14ac:dyDescent="0.3">
      <c r="A538" s="1" t="s">
        <v>93</v>
      </c>
      <c r="B538" s="1" t="s">
        <v>113</v>
      </c>
      <c r="C538" s="1" t="s">
        <v>116</v>
      </c>
      <c r="D538" s="1">
        <v>2018</v>
      </c>
      <c r="E538" s="1" t="str">
        <f t="shared" si="2"/>
        <v>EXPLOREREXPLORER LTD 4X4 2.3 AUT2018</v>
      </c>
      <c r="F538" s="1" t="s">
        <v>1053</v>
      </c>
      <c r="G538" s="1">
        <v>40380000</v>
      </c>
      <c r="H538" s="1">
        <v>33612370</v>
      </c>
    </row>
    <row r="539" spans="1:8" ht="13.5" customHeight="1" x14ac:dyDescent="0.3">
      <c r="A539" s="1" t="s">
        <v>93</v>
      </c>
      <c r="B539" s="1" t="s">
        <v>113</v>
      </c>
      <c r="C539" s="1" t="s">
        <v>116</v>
      </c>
      <c r="D539" s="1">
        <v>2019</v>
      </c>
      <c r="E539" s="1" t="str">
        <f t="shared" si="2"/>
        <v>EXPLOREREXPLORER LTD 4X4 2.3 AUT2019</v>
      </c>
      <c r="F539" s="1" t="s">
        <v>1893</v>
      </c>
      <c r="G539" s="1">
        <v>21990000</v>
      </c>
      <c r="H539" s="1">
        <v>18000000</v>
      </c>
    </row>
    <row r="540" spans="1:8" ht="13.5" customHeight="1" x14ac:dyDescent="0.3">
      <c r="A540" s="1" t="s">
        <v>93</v>
      </c>
      <c r="B540" s="1" t="s">
        <v>113</v>
      </c>
      <c r="C540" s="1" t="s">
        <v>116</v>
      </c>
      <c r="D540" s="1">
        <v>2020</v>
      </c>
      <c r="E540" s="1" t="str">
        <f t="shared" si="2"/>
        <v>EXPLOREREXPLORER LTD 4X4 2.3 AUT2020</v>
      </c>
      <c r="F540" s="1" t="s">
        <v>2656</v>
      </c>
      <c r="G540" s="1">
        <v>33490000</v>
      </c>
      <c r="H540" s="1">
        <v>32000000</v>
      </c>
    </row>
    <row r="541" spans="1:8" ht="13.5" customHeight="1" x14ac:dyDescent="0.3">
      <c r="A541" s="1" t="s">
        <v>93</v>
      </c>
      <c r="B541" s="1" t="s">
        <v>113</v>
      </c>
      <c r="C541" s="1" t="s">
        <v>116</v>
      </c>
      <c r="D541" s="1">
        <v>2021</v>
      </c>
      <c r="E541" s="1" t="str">
        <f t="shared" si="2"/>
        <v>EXPLOREREXPLORER LTD 4X4 2.3 AUT2021</v>
      </c>
      <c r="F541" s="1" t="s">
        <v>922</v>
      </c>
      <c r="G541" s="1">
        <v>28990000</v>
      </c>
      <c r="H541" s="1">
        <v>25000000</v>
      </c>
    </row>
    <row r="542" spans="1:8" ht="13.5" customHeight="1" x14ac:dyDescent="0.3">
      <c r="A542" s="1" t="s">
        <v>93</v>
      </c>
      <c r="B542" s="1" t="s">
        <v>113</v>
      </c>
      <c r="C542" s="1" t="s">
        <v>4635</v>
      </c>
      <c r="D542" s="1">
        <v>2017</v>
      </c>
      <c r="E542" s="1" t="str">
        <f t="shared" si="2"/>
        <v>EXPLOREREXPLORER LTD 4X4 3.5 AUT2017</v>
      </c>
      <c r="F542" s="1" t="s">
        <v>1920</v>
      </c>
      <c r="G542" s="1">
        <v>19390000</v>
      </c>
      <c r="H542" s="1">
        <v>16000000</v>
      </c>
    </row>
    <row r="543" spans="1:8" ht="13.5" customHeight="1" x14ac:dyDescent="0.3">
      <c r="A543" s="1" t="s">
        <v>93</v>
      </c>
      <c r="B543" s="1" t="s">
        <v>113</v>
      </c>
      <c r="C543" s="1" t="s">
        <v>4635</v>
      </c>
      <c r="D543" s="1">
        <v>2017</v>
      </c>
      <c r="E543" s="1" t="str">
        <f t="shared" si="2"/>
        <v>EXPLOREREXPLORER LTD 4X4 3.5 AUT2017</v>
      </c>
      <c r="F543" s="1" t="s">
        <v>605</v>
      </c>
      <c r="G543" s="1">
        <v>13590000</v>
      </c>
      <c r="H543" s="1">
        <v>11300000</v>
      </c>
    </row>
    <row r="544" spans="1:8" ht="13.5" customHeight="1" x14ac:dyDescent="0.3">
      <c r="A544" s="1" t="s">
        <v>93</v>
      </c>
      <c r="B544" s="1" t="s">
        <v>113</v>
      </c>
      <c r="C544" s="1" t="s">
        <v>4636</v>
      </c>
      <c r="D544" s="1">
        <v>2025</v>
      </c>
      <c r="E544" s="1" t="str">
        <f t="shared" si="2"/>
        <v>EXPLOREREXPLORER PLATINUM 4X4 2.3 AUT2025</v>
      </c>
      <c r="F544" s="1" t="s">
        <v>793</v>
      </c>
      <c r="G544" s="1">
        <v>45590000</v>
      </c>
      <c r="H544" s="1">
        <v>0</v>
      </c>
    </row>
    <row r="545" spans="1:8" ht="13.5" customHeight="1" x14ac:dyDescent="0.3">
      <c r="A545" s="1" t="s">
        <v>93</v>
      </c>
      <c r="B545" s="1" t="s">
        <v>113</v>
      </c>
      <c r="C545" s="1" t="s">
        <v>4637</v>
      </c>
      <c r="D545" s="1">
        <v>2023</v>
      </c>
      <c r="E545" s="1" t="str">
        <f t="shared" si="2"/>
        <v>EXPLOREREXPLORER XLT 2.3 AUT2023</v>
      </c>
      <c r="F545" s="1" t="s">
        <v>1759</v>
      </c>
      <c r="G545" s="1">
        <v>34990000</v>
      </c>
      <c r="H545" s="1">
        <v>31750000</v>
      </c>
    </row>
    <row r="546" spans="1:8" ht="13.5" customHeight="1" x14ac:dyDescent="0.3">
      <c r="A546" s="1" t="s">
        <v>93</v>
      </c>
      <c r="B546" s="1" t="s">
        <v>113</v>
      </c>
      <c r="C546" s="1" t="s">
        <v>4638</v>
      </c>
      <c r="D546" s="1">
        <v>2015</v>
      </c>
      <c r="E546" s="1" t="str">
        <f t="shared" si="2"/>
        <v>EXPLOREREXPLORER XLT 3.5 AUT2015</v>
      </c>
      <c r="F546" s="1" t="s">
        <v>2005</v>
      </c>
      <c r="G546" s="1">
        <v>14690000</v>
      </c>
      <c r="H546" s="1">
        <v>10500000</v>
      </c>
    </row>
    <row r="547" spans="1:8" ht="13.5" customHeight="1" x14ac:dyDescent="0.3">
      <c r="A547" s="1" t="s">
        <v>93</v>
      </c>
      <c r="B547" s="1" t="s">
        <v>113</v>
      </c>
      <c r="C547" s="1" t="s">
        <v>4638</v>
      </c>
      <c r="D547" s="1">
        <v>2017</v>
      </c>
      <c r="E547" s="1" t="str">
        <f t="shared" si="2"/>
        <v>EXPLOREREXPLORER XLT 3.5 AUT2017</v>
      </c>
      <c r="F547" s="1" t="s">
        <v>606</v>
      </c>
      <c r="G547" s="1">
        <v>29180000</v>
      </c>
      <c r="H547" s="1">
        <v>24450000</v>
      </c>
    </row>
    <row r="548" spans="1:8" ht="13.5" customHeight="1" x14ac:dyDescent="0.3">
      <c r="A548" s="1" t="s">
        <v>93</v>
      </c>
      <c r="B548" s="1" t="s">
        <v>113</v>
      </c>
      <c r="C548" s="1" t="s">
        <v>4639</v>
      </c>
      <c r="D548" s="1">
        <v>2020</v>
      </c>
      <c r="E548" s="1" t="str">
        <f t="shared" si="2"/>
        <v>EXPLOREREXPLORER XLT 4X4 3.5 AUT2020</v>
      </c>
      <c r="F548" s="1" t="s">
        <v>1670</v>
      </c>
      <c r="G548" s="1">
        <v>19990000</v>
      </c>
      <c r="H548" s="1">
        <v>18000000</v>
      </c>
    </row>
    <row r="549" spans="1:8" ht="13.5" customHeight="1" x14ac:dyDescent="0.3">
      <c r="A549" s="1" t="s">
        <v>93</v>
      </c>
      <c r="B549" s="1" t="s">
        <v>118</v>
      </c>
      <c r="C549" s="1" t="s">
        <v>4640</v>
      </c>
      <c r="D549" s="1">
        <v>2020</v>
      </c>
      <c r="E549" s="1" t="str">
        <f t="shared" si="2"/>
        <v>F-150F 150 LARIAT SPORT 4X4 5.02020</v>
      </c>
      <c r="F549" s="1" t="s">
        <v>2355</v>
      </c>
      <c r="G549" s="1">
        <v>28990000</v>
      </c>
      <c r="H549" s="1">
        <v>24000000</v>
      </c>
    </row>
    <row r="550" spans="1:8" ht="13.5" customHeight="1" x14ac:dyDescent="0.3">
      <c r="A550" s="1" t="s">
        <v>93</v>
      </c>
      <c r="B550" s="1" t="s">
        <v>118</v>
      </c>
      <c r="C550" s="1" t="s">
        <v>4641</v>
      </c>
      <c r="D550" s="1">
        <v>2020</v>
      </c>
      <c r="E550" s="1" t="str">
        <f t="shared" si="2"/>
        <v>F-150F150 DCAB 3.5 AT2020</v>
      </c>
      <c r="F550" s="1" t="s">
        <v>1724</v>
      </c>
      <c r="G550" s="1">
        <v>36557120</v>
      </c>
      <c r="H550" s="1">
        <v>32000000</v>
      </c>
    </row>
    <row r="551" spans="1:8" ht="13.5" customHeight="1" x14ac:dyDescent="0.3">
      <c r="A551" s="1" t="s">
        <v>93</v>
      </c>
      <c r="B551" s="1" t="s">
        <v>118</v>
      </c>
      <c r="C551" s="1" t="s">
        <v>4642</v>
      </c>
      <c r="D551" s="1">
        <v>2017</v>
      </c>
      <c r="E551" s="1" t="str">
        <f t="shared" si="2"/>
        <v>F-150F150 DCAB XLT 4X4 5.0 AUT2017</v>
      </c>
      <c r="F551" s="1" t="s">
        <v>2812</v>
      </c>
      <c r="G551" s="1">
        <v>25990000</v>
      </c>
      <c r="H551" s="1">
        <v>25000000</v>
      </c>
    </row>
    <row r="552" spans="1:8" ht="13.5" customHeight="1" x14ac:dyDescent="0.3">
      <c r="A552" s="1" t="s">
        <v>93</v>
      </c>
      <c r="B552" s="1" t="s">
        <v>118</v>
      </c>
      <c r="C552" s="1" t="s">
        <v>4643</v>
      </c>
      <c r="D552" s="1">
        <v>2014</v>
      </c>
      <c r="E552" s="1" t="str">
        <f t="shared" si="2"/>
        <v>F-150F150 LARIAT 4X4 5.02014</v>
      </c>
      <c r="F552" s="1" t="s">
        <v>1927</v>
      </c>
      <c r="G552" s="1">
        <v>15190000</v>
      </c>
      <c r="H552" s="1">
        <v>14000000</v>
      </c>
    </row>
    <row r="553" spans="1:8" ht="13.5" customHeight="1" x14ac:dyDescent="0.3">
      <c r="A553" s="1" t="s">
        <v>93</v>
      </c>
      <c r="B553" s="1" t="s">
        <v>118</v>
      </c>
      <c r="C553" s="1" t="s">
        <v>4643</v>
      </c>
      <c r="D553" s="1">
        <v>2020</v>
      </c>
      <c r="E553" s="1" t="str">
        <f t="shared" si="2"/>
        <v>F-150F150 LARIAT 4X4 5.02020</v>
      </c>
      <c r="F553" s="1" t="s">
        <v>2214</v>
      </c>
      <c r="G553" s="1">
        <v>30190000</v>
      </c>
      <c r="H553" s="1">
        <v>25100000</v>
      </c>
    </row>
    <row r="554" spans="1:8" ht="13.5" customHeight="1" x14ac:dyDescent="0.3">
      <c r="A554" s="1" t="s">
        <v>93</v>
      </c>
      <c r="B554" s="1" t="s">
        <v>118</v>
      </c>
      <c r="C554" s="1" t="s">
        <v>4644</v>
      </c>
      <c r="D554" s="1">
        <v>2020</v>
      </c>
      <c r="E554" s="1" t="str">
        <f t="shared" si="2"/>
        <v>F-150F150 LARIAT 4X4 5.0 AUT2020</v>
      </c>
      <c r="F554" s="1" t="s">
        <v>1668</v>
      </c>
      <c r="G554" s="1">
        <v>30390000</v>
      </c>
      <c r="H554" s="1">
        <v>26455000</v>
      </c>
    </row>
    <row r="555" spans="1:8" ht="13.5" customHeight="1" x14ac:dyDescent="0.3">
      <c r="A555" s="1" t="s">
        <v>93</v>
      </c>
      <c r="B555" s="1" t="s">
        <v>118</v>
      </c>
      <c r="C555" s="1" t="s">
        <v>4644</v>
      </c>
      <c r="D555" s="1">
        <v>2020</v>
      </c>
      <c r="E555" s="1" t="str">
        <f t="shared" si="2"/>
        <v>F-150F150 LARIAT 4X4 5.0 AUT2020</v>
      </c>
      <c r="F555" s="1" t="s">
        <v>2219</v>
      </c>
      <c r="G555" s="1">
        <v>26912770</v>
      </c>
      <c r="H555" s="1">
        <v>25000000</v>
      </c>
    </row>
    <row r="556" spans="1:8" ht="13.5" customHeight="1" x14ac:dyDescent="0.3">
      <c r="A556" s="1" t="s">
        <v>93</v>
      </c>
      <c r="B556" s="1" t="s">
        <v>118</v>
      </c>
      <c r="C556" s="1" t="s">
        <v>4645</v>
      </c>
      <c r="D556" s="1">
        <v>2022</v>
      </c>
      <c r="E556" s="1" t="str">
        <f t="shared" si="2"/>
        <v>F-150F150 LARIAT LUXURY 4X4 3.0 AUT2022</v>
      </c>
      <c r="F556" s="1" t="s">
        <v>4646</v>
      </c>
      <c r="G556" s="1">
        <v>50000000</v>
      </c>
      <c r="H556" s="1">
        <v>50000000</v>
      </c>
    </row>
    <row r="557" spans="1:8" ht="13.5" customHeight="1" x14ac:dyDescent="0.3">
      <c r="A557" s="1" t="s">
        <v>93</v>
      </c>
      <c r="B557" s="1" t="s">
        <v>118</v>
      </c>
      <c r="C557" s="1" t="s">
        <v>4645</v>
      </c>
      <c r="D557" s="1">
        <v>2022</v>
      </c>
      <c r="E557" s="1" t="str">
        <f t="shared" si="2"/>
        <v>F-150F150 LARIAT LUXURY 4X4 3.0 AUT2022</v>
      </c>
      <c r="F557" s="1" t="s">
        <v>1372</v>
      </c>
      <c r="G557" s="1">
        <v>42470000</v>
      </c>
      <c r="H557" s="1">
        <v>37000000</v>
      </c>
    </row>
    <row r="558" spans="1:8" ht="13.5" customHeight="1" x14ac:dyDescent="0.3">
      <c r="A558" s="1" t="s">
        <v>93</v>
      </c>
      <c r="B558" s="1" t="s">
        <v>118</v>
      </c>
      <c r="C558" s="1" t="s">
        <v>121</v>
      </c>
      <c r="D558" s="1">
        <v>2022</v>
      </c>
      <c r="E558" s="1" t="str">
        <f t="shared" si="2"/>
        <v>F-150F150 LARIAT LUXURY 4X4 5.0L AUT2022</v>
      </c>
      <c r="F558" s="1" t="s">
        <v>607</v>
      </c>
      <c r="G558" s="1">
        <v>33990000</v>
      </c>
      <c r="H558" s="1">
        <v>27500000</v>
      </c>
    </row>
    <row r="559" spans="1:8" ht="13.5" customHeight="1" x14ac:dyDescent="0.3">
      <c r="A559" s="1" t="s">
        <v>93</v>
      </c>
      <c r="B559" s="1" t="s">
        <v>118</v>
      </c>
      <c r="C559" s="1" t="s">
        <v>121</v>
      </c>
      <c r="D559" s="1">
        <v>2022</v>
      </c>
      <c r="E559" s="1" t="str">
        <f t="shared" si="2"/>
        <v>F-150F150 LARIAT LUXURY 4X4 5.0L AUT2022</v>
      </c>
      <c r="F559" s="1" t="s">
        <v>2441</v>
      </c>
      <c r="G559" s="1">
        <v>43590000</v>
      </c>
      <c r="H559" s="1">
        <v>54000000</v>
      </c>
    </row>
    <row r="560" spans="1:8" ht="13.5" customHeight="1" x14ac:dyDescent="0.3">
      <c r="A560" s="1" t="s">
        <v>93</v>
      </c>
      <c r="B560" s="1" t="s">
        <v>118</v>
      </c>
      <c r="C560" s="1" t="s">
        <v>4647</v>
      </c>
      <c r="D560" s="1">
        <v>2017</v>
      </c>
      <c r="E560" s="1" t="str">
        <f t="shared" si="2"/>
        <v>F-150F150 LARIAT SPORT 4X4 5.0 AUT2017</v>
      </c>
      <c r="F560" s="1" t="s">
        <v>2795</v>
      </c>
      <c r="G560" s="1">
        <v>30490000</v>
      </c>
      <c r="H560" s="1">
        <v>28000000</v>
      </c>
    </row>
    <row r="561" spans="1:8" ht="13.5" customHeight="1" x14ac:dyDescent="0.3">
      <c r="A561" s="1" t="s">
        <v>93</v>
      </c>
      <c r="B561" s="1" t="s">
        <v>118</v>
      </c>
      <c r="C561" s="1" t="s">
        <v>4647</v>
      </c>
      <c r="D561" s="1">
        <v>2019</v>
      </c>
      <c r="E561" s="1" t="str">
        <f t="shared" si="2"/>
        <v>F-150F150 LARIAT SPORT 4X4 5.0 AUT2019</v>
      </c>
      <c r="F561" s="1" t="s">
        <v>2025</v>
      </c>
      <c r="G561" s="1">
        <v>27690000</v>
      </c>
      <c r="H561" s="1">
        <v>22200000</v>
      </c>
    </row>
    <row r="562" spans="1:8" ht="13.5" customHeight="1" x14ac:dyDescent="0.3">
      <c r="A562" s="1" t="s">
        <v>93</v>
      </c>
      <c r="B562" s="1" t="s">
        <v>118</v>
      </c>
      <c r="C562" s="1" t="s">
        <v>4647</v>
      </c>
      <c r="D562" s="1">
        <v>2020</v>
      </c>
      <c r="E562" s="1" t="str">
        <f t="shared" si="2"/>
        <v>F-150F150 LARIAT SPORT 4X4 5.0 AUT2020</v>
      </c>
      <c r="F562" s="1" t="s">
        <v>1437</v>
      </c>
      <c r="G562" s="1">
        <v>26990000</v>
      </c>
      <c r="H562" s="1">
        <v>22000000</v>
      </c>
    </row>
    <row r="563" spans="1:8" ht="13.5" customHeight="1" x14ac:dyDescent="0.3">
      <c r="A563" s="1" t="s">
        <v>93</v>
      </c>
      <c r="B563" s="1" t="s">
        <v>118</v>
      </c>
      <c r="C563" s="1" t="s">
        <v>4648</v>
      </c>
      <c r="D563" s="1">
        <v>2022</v>
      </c>
      <c r="E563" s="1" t="str">
        <f t="shared" si="2"/>
        <v>F-150F150 LARIAT SPORT 4X4 5.0L AUT2022</v>
      </c>
      <c r="F563" s="1" t="s">
        <v>1348</v>
      </c>
      <c r="G563" s="1">
        <v>38190000</v>
      </c>
      <c r="H563" s="1">
        <v>33000000</v>
      </c>
    </row>
    <row r="564" spans="1:8" ht="13.5" customHeight="1" x14ac:dyDescent="0.3">
      <c r="A564" s="1" t="s">
        <v>93</v>
      </c>
      <c r="B564" s="1" t="s">
        <v>118</v>
      </c>
      <c r="C564" s="1" t="s">
        <v>4648</v>
      </c>
      <c r="D564" s="1">
        <v>2022</v>
      </c>
      <c r="E564" s="1" t="str">
        <f t="shared" si="2"/>
        <v>F-150F150 LARIAT SPORT 4X4 5.0L AUT2022</v>
      </c>
      <c r="F564" s="1" t="s">
        <v>1109</v>
      </c>
      <c r="G564" s="1">
        <v>74980000</v>
      </c>
      <c r="H564" s="1">
        <v>64000000</v>
      </c>
    </row>
    <row r="565" spans="1:8" ht="13.5" customHeight="1" x14ac:dyDescent="0.3">
      <c r="A565" s="1" t="s">
        <v>93</v>
      </c>
      <c r="B565" s="1" t="s">
        <v>118</v>
      </c>
      <c r="C565" s="1" t="s">
        <v>4648</v>
      </c>
      <c r="D565" s="1">
        <v>2024</v>
      </c>
      <c r="E565" s="1" t="str">
        <f t="shared" si="2"/>
        <v>F-150F150 LARIAT SPORT 4X4 5.0L AUT2024</v>
      </c>
      <c r="F565" s="1" t="s">
        <v>505</v>
      </c>
      <c r="G565" s="1">
        <v>42490000</v>
      </c>
      <c r="H565" s="1">
        <v>37300000</v>
      </c>
    </row>
    <row r="566" spans="1:8" ht="13.5" customHeight="1" x14ac:dyDescent="0.3">
      <c r="A566" s="1" t="s">
        <v>93</v>
      </c>
      <c r="B566" s="1" t="s">
        <v>118</v>
      </c>
      <c r="C566" s="1" t="s">
        <v>4649</v>
      </c>
      <c r="D566" s="1">
        <v>2021</v>
      </c>
      <c r="E566" s="1" t="str">
        <f t="shared" si="2"/>
        <v>F-150F150 PLATINIUM 4X4 3.5 AT2021</v>
      </c>
      <c r="F566" s="1" t="s">
        <v>1173</v>
      </c>
      <c r="G566" s="1">
        <v>71180000</v>
      </c>
      <c r="H566" s="1">
        <v>60200000</v>
      </c>
    </row>
    <row r="567" spans="1:8" ht="13.5" customHeight="1" x14ac:dyDescent="0.3">
      <c r="A567" s="1" t="s">
        <v>93</v>
      </c>
      <c r="B567" s="1" t="s">
        <v>118</v>
      </c>
      <c r="C567" s="1" t="s">
        <v>4649</v>
      </c>
      <c r="D567" s="1">
        <v>2022</v>
      </c>
      <c r="E567" s="1" t="str">
        <f t="shared" si="2"/>
        <v>F-150F150 PLATINIUM 4X4 3.5 AT2022</v>
      </c>
      <c r="F567" s="1" t="s">
        <v>744</v>
      </c>
      <c r="G567" s="1">
        <v>42190000</v>
      </c>
      <c r="H567" s="1">
        <v>37000000</v>
      </c>
    </row>
    <row r="568" spans="1:8" ht="13.5" customHeight="1" x14ac:dyDescent="0.3">
      <c r="A568" s="1" t="s">
        <v>93</v>
      </c>
      <c r="B568" s="1" t="s">
        <v>118</v>
      </c>
      <c r="C568" s="1" t="s">
        <v>4649</v>
      </c>
      <c r="D568" s="1">
        <v>2023</v>
      </c>
      <c r="E568" s="1" t="str">
        <f t="shared" si="2"/>
        <v>F-150F150 PLATINIUM 4X4 3.5 AT2023</v>
      </c>
      <c r="F568" s="1" t="s">
        <v>721</v>
      </c>
      <c r="G568" s="1">
        <v>42990000</v>
      </c>
      <c r="H568" s="1">
        <v>31626783</v>
      </c>
    </row>
    <row r="569" spans="1:8" ht="13.5" customHeight="1" x14ac:dyDescent="0.3">
      <c r="A569" s="1" t="s">
        <v>93</v>
      </c>
      <c r="B569" s="1" t="s">
        <v>118</v>
      </c>
      <c r="C569" s="1" t="s">
        <v>4649</v>
      </c>
      <c r="D569" s="1">
        <v>2024</v>
      </c>
      <c r="E569" s="1" t="str">
        <f t="shared" si="2"/>
        <v>F-150F150 PLATINIUM 4X4 3.5 AT2024</v>
      </c>
      <c r="F569" s="1" t="s">
        <v>707</v>
      </c>
      <c r="G569" s="1">
        <v>47990000</v>
      </c>
      <c r="H569" s="1">
        <v>45000000</v>
      </c>
    </row>
    <row r="570" spans="1:8" ht="13.5" customHeight="1" x14ac:dyDescent="0.3">
      <c r="A570" s="1" t="s">
        <v>93</v>
      </c>
      <c r="B570" s="1" t="s">
        <v>118</v>
      </c>
      <c r="C570" s="1" t="s">
        <v>4650</v>
      </c>
      <c r="D570" s="1">
        <v>2016</v>
      </c>
      <c r="E570" s="1" t="str">
        <f t="shared" si="2"/>
        <v>F-150F150 PLATINUM 4X4 3.5 AUT2016</v>
      </c>
      <c r="F570" s="1" t="s">
        <v>2455</v>
      </c>
      <c r="G570" s="1">
        <v>33990000</v>
      </c>
      <c r="H570" s="1">
        <v>32970300</v>
      </c>
    </row>
    <row r="571" spans="1:8" ht="13.5" customHeight="1" x14ac:dyDescent="0.3">
      <c r="A571" s="1" t="s">
        <v>93</v>
      </c>
      <c r="B571" s="1" t="s">
        <v>118</v>
      </c>
      <c r="C571" s="1" t="s">
        <v>4650</v>
      </c>
      <c r="D571" s="1">
        <v>2018</v>
      </c>
      <c r="E571" s="1" t="str">
        <f t="shared" si="2"/>
        <v>F-150F150 PLATINUM 4X4 3.5 AUT2018</v>
      </c>
      <c r="F571" s="1" t="s">
        <v>2243</v>
      </c>
      <c r="G571" s="1">
        <v>25000000</v>
      </c>
      <c r="H571" s="1">
        <v>27500000</v>
      </c>
    </row>
    <row r="572" spans="1:8" ht="13.5" customHeight="1" x14ac:dyDescent="0.3">
      <c r="A572" s="1" t="s">
        <v>93</v>
      </c>
      <c r="B572" s="1" t="s">
        <v>118</v>
      </c>
      <c r="C572" s="1" t="s">
        <v>4650</v>
      </c>
      <c r="D572" s="1">
        <v>2019</v>
      </c>
      <c r="E572" s="1" t="str">
        <f t="shared" si="2"/>
        <v>F-150F150 PLATINUM 4X4 3.5 AUT2019</v>
      </c>
      <c r="F572" s="1" t="s">
        <v>2564</v>
      </c>
      <c r="G572" s="1">
        <v>30490000</v>
      </c>
      <c r="H572" s="1">
        <v>34000000</v>
      </c>
    </row>
    <row r="573" spans="1:8" ht="13.5" customHeight="1" x14ac:dyDescent="0.3">
      <c r="A573" s="1" t="s">
        <v>93</v>
      </c>
      <c r="B573" s="1" t="s">
        <v>118</v>
      </c>
      <c r="C573" s="1" t="s">
        <v>4651</v>
      </c>
      <c r="D573" s="1">
        <v>2022</v>
      </c>
      <c r="E573" s="1" t="str">
        <f t="shared" si="2"/>
        <v>F-150F150 XLT 3.3 AUT2022</v>
      </c>
      <c r="F573" s="1" t="s">
        <v>1696</v>
      </c>
      <c r="G573" s="1">
        <v>28500000</v>
      </c>
      <c r="H573" s="1">
        <v>25000000</v>
      </c>
    </row>
    <row r="574" spans="1:8" ht="13.5" customHeight="1" x14ac:dyDescent="0.3">
      <c r="A574" s="1" t="s">
        <v>93</v>
      </c>
      <c r="B574" s="1" t="s">
        <v>118</v>
      </c>
      <c r="C574" s="1" t="s">
        <v>4652</v>
      </c>
      <c r="D574" s="1">
        <v>2017</v>
      </c>
      <c r="E574" s="1" t="str">
        <f t="shared" si="2"/>
        <v>F-150F150 XLT 3.5 AUT2017</v>
      </c>
      <c r="F574" s="1" t="s">
        <v>2272</v>
      </c>
      <c r="G574" s="1">
        <v>17800000</v>
      </c>
      <c r="H574" s="1">
        <v>15500000</v>
      </c>
    </row>
    <row r="575" spans="1:8" ht="13.5" customHeight="1" x14ac:dyDescent="0.3">
      <c r="A575" s="1" t="s">
        <v>93</v>
      </c>
      <c r="B575" s="1" t="s">
        <v>118</v>
      </c>
      <c r="C575" s="1" t="s">
        <v>4653</v>
      </c>
      <c r="D575" s="1">
        <v>2014</v>
      </c>
      <c r="E575" s="1" t="str">
        <f t="shared" si="2"/>
        <v>F-150F150 XLT 3.72014</v>
      </c>
      <c r="F575" s="1" t="s">
        <v>1637</v>
      </c>
      <c r="G575" s="1">
        <v>13990000</v>
      </c>
      <c r="H575" s="1">
        <v>12000000</v>
      </c>
    </row>
    <row r="576" spans="1:8" ht="13.5" customHeight="1" x14ac:dyDescent="0.3">
      <c r="A576" s="1" t="s">
        <v>93</v>
      </c>
      <c r="B576" s="1" t="s">
        <v>118</v>
      </c>
      <c r="C576" s="1" t="s">
        <v>127</v>
      </c>
      <c r="D576" s="1">
        <v>2011</v>
      </c>
      <c r="E576" s="1" t="str">
        <f t="shared" si="2"/>
        <v>F-150F150 XLT 4X4 5.02011</v>
      </c>
      <c r="F576" s="1" t="s">
        <v>4654</v>
      </c>
      <c r="G576" s="1">
        <v>9690000</v>
      </c>
      <c r="H576" s="1">
        <v>10500000</v>
      </c>
    </row>
    <row r="577" spans="1:8" ht="13.5" customHeight="1" x14ac:dyDescent="0.3">
      <c r="A577" s="1" t="s">
        <v>93</v>
      </c>
      <c r="B577" s="1" t="s">
        <v>118</v>
      </c>
      <c r="C577" s="1" t="s">
        <v>127</v>
      </c>
      <c r="D577" s="1">
        <v>2018</v>
      </c>
      <c r="E577" s="1" t="str">
        <f t="shared" si="2"/>
        <v>F-150F150 XLT 4X4 5.02018</v>
      </c>
      <c r="F577" s="1" t="s">
        <v>128</v>
      </c>
      <c r="G577" s="1">
        <v>21490000</v>
      </c>
      <c r="H577" s="1">
        <v>18000000</v>
      </c>
    </row>
    <row r="578" spans="1:8" ht="13.5" customHeight="1" x14ac:dyDescent="0.3">
      <c r="A578" s="1" t="s">
        <v>93</v>
      </c>
      <c r="B578" s="1" t="s">
        <v>118</v>
      </c>
      <c r="C578" s="1" t="s">
        <v>4655</v>
      </c>
      <c r="D578" s="1">
        <v>2017</v>
      </c>
      <c r="E578" s="1" t="str">
        <f t="shared" si="2"/>
        <v>F-150F150 XLT 4X4 5.0 AUT2017</v>
      </c>
      <c r="F578" s="1" t="s">
        <v>2719</v>
      </c>
      <c r="G578" s="1">
        <v>21490000</v>
      </c>
      <c r="H578" s="1">
        <v>25500000</v>
      </c>
    </row>
    <row r="579" spans="1:8" ht="13.5" customHeight="1" x14ac:dyDescent="0.3">
      <c r="A579" s="1" t="s">
        <v>93</v>
      </c>
      <c r="B579" s="1" t="s">
        <v>118</v>
      </c>
      <c r="C579" s="1" t="s">
        <v>4655</v>
      </c>
      <c r="D579" s="1">
        <v>2018</v>
      </c>
      <c r="E579" s="1" t="str">
        <f t="shared" si="2"/>
        <v>F-150F150 XLT 4X4 5.0 AUT2018</v>
      </c>
      <c r="F579" s="1" t="s">
        <v>2121</v>
      </c>
      <c r="G579" s="1">
        <v>23990000</v>
      </c>
      <c r="H579" s="1">
        <v>19000000</v>
      </c>
    </row>
    <row r="580" spans="1:8" ht="13.5" customHeight="1" x14ac:dyDescent="0.3">
      <c r="A580" s="1" t="s">
        <v>93</v>
      </c>
      <c r="B580" s="1" t="s">
        <v>118</v>
      </c>
      <c r="C580" s="1" t="s">
        <v>4655</v>
      </c>
      <c r="D580" s="1">
        <v>2020</v>
      </c>
      <c r="E580" s="1" t="str">
        <f t="shared" si="2"/>
        <v>F-150F150 XLT 4X4 5.0 AUT2020</v>
      </c>
      <c r="F580" s="1" t="s">
        <v>1307</v>
      </c>
      <c r="G580" s="1">
        <v>27690000</v>
      </c>
      <c r="H580" s="1">
        <v>23000000</v>
      </c>
    </row>
    <row r="581" spans="1:8" ht="13.5" customHeight="1" x14ac:dyDescent="0.3">
      <c r="A581" s="1" t="s">
        <v>93</v>
      </c>
      <c r="B581" s="1" t="s">
        <v>118</v>
      </c>
      <c r="C581" s="1" t="s">
        <v>4655</v>
      </c>
      <c r="D581" s="1">
        <v>2020</v>
      </c>
      <c r="E581" s="1" t="str">
        <f t="shared" si="2"/>
        <v>F-150F150 XLT 4X4 5.0 AUT2020</v>
      </c>
      <c r="F581" s="1" t="s">
        <v>2307</v>
      </c>
      <c r="G581" s="1">
        <v>27490000</v>
      </c>
      <c r="H581" s="1">
        <v>27400000</v>
      </c>
    </row>
    <row r="582" spans="1:8" ht="13.5" customHeight="1" x14ac:dyDescent="0.3">
      <c r="A582" s="1" t="s">
        <v>93</v>
      </c>
      <c r="B582" s="1" t="s">
        <v>118</v>
      </c>
      <c r="C582" s="1" t="s">
        <v>4655</v>
      </c>
      <c r="D582" s="1">
        <v>2023</v>
      </c>
      <c r="E582" s="1" t="str">
        <f t="shared" si="2"/>
        <v>F-150F150 XLT 4X4 5.0 AUT2023</v>
      </c>
      <c r="F582" s="1" t="s">
        <v>1249</v>
      </c>
      <c r="G582" s="1">
        <v>34990000</v>
      </c>
      <c r="H582" s="1">
        <v>31000000</v>
      </c>
    </row>
    <row r="583" spans="1:8" ht="13.5" customHeight="1" x14ac:dyDescent="0.3">
      <c r="A583" s="1" t="s">
        <v>93</v>
      </c>
      <c r="B583" s="1" t="s">
        <v>118</v>
      </c>
      <c r="C583" s="1" t="s">
        <v>4655</v>
      </c>
      <c r="D583" s="1">
        <v>2024</v>
      </c>
      <c r="E583" s="1" t="str">
        <f t="shared" si="2"/>
        <v>F-150F150 XLT 4X4 5.0 AUT2024</v>
      </c>
      <c r="F583" s="1" t="s">
        <v>1271</v>
      </c>
      <c r="G583" s="1">
        <v>35669620</v>
      </c>
      <c r="H583" s="1">
        <v>31000000</v>
      </c>
    </row>
    <row r="584" spans="1:8" ht="13.5" customHeight="1" x14ac:dyDescent="0.3">
      <c r="A584" s="1" t="s">
        <v>93</v>
      </c>
      <c r="B584" s="1" t="s">
        <v>118</v>
      </c>
      <c r="C584" s="1" t="s">
        <v>129</v>
      </c>
      <c r="D584" s="1">
        <v>2022</v>
      </c>
      <c r="E584" s="1" t="str">
        <f t="shared" si="2"/>
        <v>F-150F150 XLT 4X4 5.0L AUT2022</v>
      </c>
      <c r="F584" s="1" t="s">
        <v>577</v>
      </c>
      <c r="G584" s="1">
        <v>33413970</v>
      </c>
      <c r="H584" s="1">
        <v>30000000</v>
      </c>
    </row>
    <row r="585" spans="1:8" ht="13.5" customHeight="1" x14ac:dyDescent="0.3">
      <c r="A585" s="1" t="s">
        <v>93</v>
      </c>
      <c r="B585" s="1" t="s">
        <v>118</v>
      </c>
      <c r="C585" s="1" t="s">
        <v>4656</v>
      </c>
      <c r="D585" s="1">
        <v>2021</v>
      </c>
      <c r="E585" s="1" t="str">
        <f t="shared" si="2"/>
        <v>F-150F150 XLT CC 3.3 AUT2021</v>
      </c>
      <c r="F585" s="1" t="s">
        <v>1827</v>
      </c>
      <c r="G585" s="1">
        <v>26190000</v>
      </c>
      <c r="H585" s="1">
        <v>22000000</v>
      </c>
    </row>
    <row r="586" spans="1:8" ht="13.5" customHeight="1" x14ac:dyDescent="0.3">
      <c r="A586" s="1" t="s">
        <v>93</v>
      </c>
      <c r="B586" s="1" t="s">
        <v>118</v>
      </c>
      <c r="C586" s="1" t="s">
        <v>4657</v>
      </c>
      <c r="D586" s="1">
        <v>2019</v>
      </c>
      <c r="E586" s="1" t="str">
        <f t="shared" si="2"/>
        <v>F-150F150 XLT DCAB 3.3 AUT2019</v>
      </c>
      <c r="F586" s="1" t="s">
        <v>2003</v>
      </c>
      <c r="G586" s="1">
        <v>19690000</v>
      </c>
      <c r="H586" s="1">
        <v>15000000</v>
      </c>
    </row>
    <row r="587" spans="1:8" ht="13.5" customHeight="1" x14ac:dyDescent="0.3">
      <c r="A587" s="1" t="s">
        <v>93</v>
      </c>
      <c r="B587" s="1" t="s">
        <v>118</v>
      </c>
      <c r="C587" s="1" t="s">
        <v>4658</v>
      </c>
      <c r="D587" s="1">
        <v>2019</v>
      </c>
      <c r="E587" s="1" t="str">
        <f t="shared" si="2"/>
        <v>F-150F150 XLT PICKUP 4X4 3.3 AUT2019</v>
      </c>
      <c r="F587" s="1" t="s">
        <v>2854</v>
      </c>
      <c r="G587" s="1">
        <v>21990000</v>
      </c>
      <c r="H587" s="1">
        <v>25000000</v>
      </c>
    </row>
    <row r="588" spans="1:8" ht="13.5" customHeight="1" x14ac:dyDescent="0.3">
      <c r="A588" s="1" t="s">
        <v>93</v>
      </c>
      <c r="B588" s="1" t="s">
        <v>4223</v>
      </c>
      <c r="C588" s="1" t="s">
        <v>4659</v>
      </c>
      <c r="D588" s="1">
        <v>2018</v>
      </c>
      <c r="E588" s="1" t="str">
        <f t="shared" si="2"/>
        <v>FIESTAFIESTA 1.62018</v>
      </c>
      <c r="F588" s="1" t="s">
        <v>1937</v>
      </c>
      <c r="G588" s="1">
        <v>5790000</v>
      </c>
      <c r="H588" s="1">
        <v>5150000</v>
      </c>
    </row>
    <row r="589" spans="1:8" ht="13.5" customHeight="1" x14ac:dyDescent="0.3">
      <c r="A589" s="1" t="s">
        <v>93</v>
      </c>
      <c r="B589" s="1" t="s">
        <v>3935</v>
      </c>
      <c r="C589" s="1" t="s">
        <v>4660</v>
      </c>
      <c r="D589" s="1">
        <v>2018</v>
      </c>
      <c r="E589" s="1" t="str">
        <f t="shared" si="2"/>
        <v>FOCUSFOCUS 2.02018</v>
      </c>
      <c r="F589" s="1" t="s">
        <v>1709</v>
      </c>
      <c r="G589" s="1">
        <v>7850000</v>
      </c>
      <c r="H589" s="1">
        <v>6200000</v>
      </c>
    </row>
    <row r="590" spans="1:8" ht="13.5" customHeight="1" x14ac:dyDescent="0.3">
      <c r="A590" s="1" t="s">
        <v>93</v>
      </c>
      <c r="B590" s="1" t="s">
        <v>3935</v>
      </c>
      <c r="C590" s="1" t="s">
        <v>4661</v>
      </c>
      <c r="D590" s="1">
        <v>2019</v>
      </c>
      <c r="E590" s="1" t="str">
        <f t="shared" si="2"/>
        <v>FOCUSFOCUS 2.0 AUT2019</v>
      </c>
      <c r="F590" s="1" t="s">
        <v>870</v>
      </c>
      <c r="G590" s="1">
        <v>8490000</v>
      </c>
      <c r="H590" s="1">
        <v>6700000</v>
      </c>
    </row>
    <row r="591" spans="1:8" ht="13.5" customHeight="1" x14ac:dyDescent="0.3">
      <c r="A591" s="1" t="s">
        <v>93</v>
      </c>
      <c r="B591" s="1" t="s">
        <v>3935</v>
      </c>
      <c r="C591" s="1" t="s">
        <v>4661</v>
      </c>
      <c r="D591" s="1">
        <v>2019</v>
      </c>
      <c r="E591" s="1" t="str">
        <f t="shared" si="2"/>
        <v>FOCUSFOCUS 2.0 AUT2019</v>
      </c>
      <c r="F591" s="1" t="s">
        <v>4662</v>
      </c>
      <c r="G591" s="1">
        <v>9700000</v>
      </c>
      <c r="H591" s="1">
        <v>9409000</v>
      </c>
    </row>
    <row r="592" spans="1:8" ht="13.5" customHeight="1" x14ac:dyDescent="0.3">
      <c r="A592" s="1" t="s">
        <v>93</v>
      </c>
      <c r="B592" s="1" t="s">
        <v>4663</v>
      </c>
      <c r="C592" s="1" t="s">
        <v>4664</v>
      </c>
      <c r="D592" s="1">
        <v>2017</v>
      </c>
      <c r="E592" s="1" t="str">
        <f t="shared" si="2"/>
        <v>FUSIONFUSION 2.0 AUT2017</v>
      </c>
      <c r="F592" s="1" t="s">
        <v>696</v>
      </c>
      <c r="G592" s="1">
        <v>10560000</v>
      </c>
      <c r="H592" s="1">
        <v>9000000</v>
      </c>
    </row>
    <row r="593" spans="1:8" ht="13.5" customHeight="1" x14ac:dyDescent="0.3">
      <c r="A593" s="1" t="s">
        <v>93</v>
      </c>
      <c r="B593" s="1" t="s">
        <v>4252</v>
      </c>
      <c r="C593" s="1" t="s">
        <v>4665</v>
      </c>
      <c r="D593" s="1">
        <v>2022</v>
      </c>
      <c r="E593" s="1" t="str">
        <f t="shared" si="2"/>
        <v>MAVERICKMAVERICK LARIAT 4X4 2.0 AUT2022</v>
      </c>
      <c r="F593" s="1" t="s">
        <v>1915</v>
      </c>
      <c r="G593" s="1">
        <v>24990000</v>
      </c>
      <c r="H593" s="1">
        <v>21090000</v>
      </c>
    </row>
    <row r="594" spans="1:8" ht="13.5" customHeight="1" x14ac:dyDescent="0.3">
      <c r="A594" s="1" t="s">
        <v>93</v>
      </c>
      <c r="B594" s="1" t="s">
        <v>4252</v>
      </c>
      <c r="C594" s="1" t="s">
        <v>4665</v>
      </c>
      <c r="D594" s="1">
        <v>2024</v>
      </c>
      <c r="E594" s="1" t="str">
        <f t="shared" si="2"/>
        <v>MAVERICKMAVERICK LARIAT 4X4 2.0 AUT2024</v>
      </c>
      <c r="F594" s="1" t="s">
        <v>761</v>
      </c>
      <c r="G594" s="1">
        <v>26990000</v>
      </c>
      <c r="H594" s="1">
        <v>23000000</v>
      </c>
    </row>
    <row r="595" spans="1:8" ht="13.5" customHeight="1" x14ac:dyDescent="0.3">
      <c r="A595" s="1" t="s">
        <v>93</v>
      </c>
      <c r="B595" s="1" t="s">
        <v>4666</v>
      </c>
      <c r="C595" s="1" t="s">
        <v>4667</v>
      </c>
      <c r="D595" s="1">
        <v>2022</v>
      </c>
      <c r="E595" s="1" t="str">
        <f t="shared" si="2"/>
        <v>MUSTANGMUSTANG COUPE 5.0 AUT2022</v>
      </c>
      <c r="F595" s="1" t="s">
        <v>1519</v>
      </c>
      <c r="G595" s="1">
        <v>40000000</v>
      </c>
      <c r="H595" s="1">
        <v>35000000</v>
      </c>
    </row>
    <row r="596" spans="1:8" ht="13.5" customHeight="1" x14ac:dyDescent="0.3">
      <c r="A596" s="1" t="s">
        <v>93</v>
      </c>
      <c r="B596" s="1" t="s">
        <v>4666</v>
      </c>
      <c r="C596" s="1" t="s">
        <v>4668</v>
      </c>
      <c r="D596" s="1">
        <v>2019</v>
      </c>
      <c r="E596" s="1" t="str">
        <f t="shared" si="2"/>
        <v>MUSTANGMUSTANG COUPE GT 5.0 AT2019</v>
      </c>
      <c r="F596" s="1" t="s">
        <v>910</v>
      </c>
      <c r="G596" s="1">
        <v>28890000</v>
      </c>
      <c r="H596" s="1">
        <v>25500000</v>
      </c>
    </row>
    <row r="597" spans="1:8" ht="13.5" customHeight="1" x14ac:dyDescent="0.3">
      <c r="A597" s="1" t="s">
        <v>93</v>
      </c>
      <c r="B597" s="1" t="s">
        <v>131</v>
      </c>
      <c r="C597" s="1" t="s">
        <v>4669</v>
      </c>
      <c r="D597" s="1">
        <v>2020</v>
      </c>
      <c r="E597" s="1" t="str">
        <f t="shared" si="2"/>
        <v>RANGERNEW RANGER RAPTOR 4X4 2.0 AUT2020</v>
      </c>
      <c r="F597" s="1" t="s">
        <v>2260</v>
      </c>
      <c r="G597" s="1">
        <v>35000000</v>
      </c>
      <c r="H597" s="1">
        <v>28500000</v>
      </c>
    </row>
    <row r="598" spans="1:8" ht="13.5" customHeight="1" x14ac:dyDescent="0.3">
      <c r="A598" s="1" t="s">
        <v>93</v>
      </c>
      <c r="B598" s="1" t="s">
        <v>131</v>
      </c>
      <c r="C598" s="1" t="s">
        <v>4669</v>
      </c>
      <c r="D598" s="1">
        <v>2021</v>
      </c>
      <c r="E598" s="1" t="str">
        <f t="shared" si="2"/>
        <v>RANGERNEW RANGER RAPTOR 4X4 2.0 AUT2021</v>
      </c>
      <c r="F598" s="1" t="s">
        <v>472</v>
      </c>
      <c r="G598" s="1">
        <v>32290000</v>
      </c>
      <c r="H598" s="1">
        <v>25350000</v>
      </c>
    </row>
    <row r="599" spans="1:8" ht="13.5" customHeight="1" x14ac:dyDescent="0.3">
      <c r="A599" s="1" t="s">
        <v>93</v>
      </c>
      <c r="B599" s="1" t="s">
        <v>131</v>
      </c>
      <c r="C599" s="1" t="s">
        <v>4669</v>
      </c>
      <c r="D599" s="1">
        <v>2022</v>
      </c>
      <c r="E599" s="1" t="str">
        <f t="shared" si="2"/>
        <v>RANGERNEW RANGER RAPTOR 4X4 2.0 AUT2022</v>
      </c>
      <c r="F599" s="1" t="s">
        <v>4670</v>
      </c>
      <c r="G599" s="1">
        <v>39000000</v>
      </c>
      <c r="H599" s="1">
        <v>39000000</v>
      </c>
    </row>
    <row r="600" spans="1:8" ht="13.5" customHeight="1" x14ac:dyDescent="0.3">
      <c r="A600" s="1" t="s">
        <v>93</v>
      </c>
      <c r="B600" s="1" t="s">
        <v>131</v>
      </c>
      <c r="C600" s="1" t="s">
        <v>4671</v>
      </c>
      <c r="D600" s="1">
        <v>2014</v>
      </c>
      <c r="E600" s="1" t="str">
        <f t="shared" si="2"/>
        <v>RANGERRANGER  XL  2.52014</v>
      </c>
      <c r="F600" s="1" t="s">
        <v>2017</v>
      </c>
      <c r="G600" s="1">
        <v>10990000</v>
      </c>
      <c r="H600" s="1">
        <v>8500000</v>
      </c>
    </row>
    <row r="601" spans="1:8" ht="13.5" customHeight="1" x14ac:dyDescent="0.3">
      <c r="A601" s="1" t="s">
        <v>93</v>
      </c>
      <c r="B601" s="1" t="s">
        <v>131</v>
      </c>
      <c r="C601" s="1" t="s">
        <v>4672</v>
      </c>
      <c r="D601" s="1">
        <v>2020</v>
      </c>
      <c r="E601" s="1" t="str">
        <f t="shared" si="2"/>
        <v>RANGERRANGER 3.22020</v>
      </c>
      <c r="F601" s="1" t="s">
        <v>2820</v>
      </c>
      <c r="G601" s="1">
        <v>20990000</v>
      </c>
      <c r="H601" s="1">
        <v>25500001</v>
      </c>
    </row>
    <row r="602" spans="1:8" ht="13.5" customHeight="1" x14ac:dyDescent="0.3">
      <c r="A602" s="1" t="s">
        <v>93</v>
      </c>
      <c r="B602" s="1" t="s">
        <v>131</v>
      </c>
      <c r="C602" s="1" t="s">
        <v>4673</v>
      </c>
      <c r="D602" s="1">
        <v>2021</v>
      </c>
      <c r="E602" s="1" t="str">
        <f t="shared" si="2"/>
        <v>RANGERRANGER 4X2 2.52021</v>
      </c>
      <c r="F602" s="1" t="s">
        <v>1663</v>
      </c>
      <c r="G602" s="1">
        <v>17990000</v>
      </c>
      <c r="H602" s="1">
        <v>15000000</v>
      </c>
    </row>
    <row r="603" spans="1:8" ht="13.5" customHeight="1" x14ac:dyDescent="0.3">
      <c r="A603" s="1" t="s">
        <v>93</v>
      </c>
      <c r="B603" s="1" t="s">
        <v>131</v>
      </c>
      <c r="C603" s="1" t="s">
        <v>4674</v>
      </c>
      <c r="D603" s="1">
        <v>2019</v>
      </c>
      <c r="E603" s="1" t="str">
        <f t="shared" si="2"/>
        <v>RANGERRANGER DCAB 4X4 3.2 AUT2019</v>
      </c>
      <c r="F603" s="1" t="s">
        <v>1227</v>
      </c>
      <c r="G603" s="1">
        <v>14000000</v>
      </c>
      <c r="H603" s="1">
        <v>13500000</v>
      </c>
    </row>
    <row r="604" spans="1:8" ht="13.5" customHeight="1" x14ac:dyDescent="0.3">
      <c r="A604" s="1" t="s">
        <v>93</v>
      </c>
      <c r="B604" s="1" t="s">
        <v>131</v>
      </c>
      <c r="C604" s="1" t="s">
        <v>4674</v>
      </c>
      <c r="D604" s="1">
        <v>2022</v>
      </c>
      <c r="E604" s="1" t="str">
        <f t="shared" si="2"/>
        <v>RANGERRANGER DCAB 4X4 3.2 AUT2022</v>
      </c>
      <c r="F604" s="1" t="s">
        <v>2134</v>
      </c>
      <c r="G604" s="1">
        <v>28890000</v>
      </c>
      <c r="H604" s="1">
        <v>24000000</v>
      </c>
    </row>
    <row r="605" spans="1:8" ht="13.5" customHeight="1" x14ac:dyDescent="0.3">
      <c r="A605" s="1" t="s">
        <v>93</v>
      </c>
      <c r="B605" s="1" t="s">
        <v>131</v>
      </c>
      <c r="C605" s="1" t="s">
        <v>4674</v>
      </c>
      <c r="D605" s="1">
        <v>2022</v>
      </c>
      <c r="E605" s="1" t="str">
        <f t="shared" si="2"/>
        <v>RANGERRANGER DCAB 4X4 3.2 AUT2022</v>
      </c>
      <c r="F605" s="1" t="s">
        <v>1723</v>
      </c>
      <c r="G605" s="1">
        <v>25190000</v>
      </c>
      <c r="H605" s="1">
        <v>21500000</v>
      </c>
    </row>
    <row r="606" spans="1:8" ht="13.5" customHeight="1" x14ac:dyDescent="0.3">
      <c r="A606" s="1" t="s">
        <v>93</v>
      </c>
      <c r="B606" s="1" t="s">
        <v>131</v>
      </c>
      <c r="C606" s="1" t="s">
        <v>4674</v>
      </c>
      <c r="D606" s="1">
        <v>2022</v>
      </c>
      <c r="E606" s="1" t="str">
        <f t="shared" si="2"/>
        <v>RANGERRANGER DCAB 4X4 3.2 AUT2022</v>
      </c>
      <c r="F606" s="1" t="s">
        <v>1295</v>
      </c>
      <c r="G606" s="1">
        <v>23990000</v>
      </c>
      <c r="H606" s="1">
        <v>22000000</v>
      </c>
    </row>
    <row r="607" spans="1:8" ht="13.5" customHeight="1" x14ac:dyDescent="0.3">
      <c r="A607" s="1" t="s">
        <v>93</v>
      </c>
      <c r="B607" s="1" t="s">
        <v>131</v>
      </c>
      <c r="C607" s="1" t="s">
        <v>4675</v>
      </c>
      <c r="D607" s="1">
        <v>2020</v>
      </c>
      <c r="E607" s="1" t="str">
        <f t="shared" si="2"/>
        <v>RANGERRANGER DCAB XLS 4X4 3.22020</v>
      </c>
      <c r="F607" s="1" t="s">
        <v>1433</v>
      </c>
      <c r="G607" s="1">
        <v>15990000</v>
      </c>
      <c r="H607" s="1">
        <v>13500000</v>
      </c>
    </row>
    <row r="608" spans="1:8" ht="13.5" customHeight="1" x14ac:dyDescent="0.3">
      <c r="A608" s="1" t="s">
        <v>93</v>
      </c>
      <c r="B608" s="1" t="s">
        <v>131</v>
      </c>
      <c r="C608" s="1" t="s">
        <v>4676</v>
      </c>
      <c r="D608" s="1">
        <v>2021</v>
      </c>
      <c r="E608" s="1" t="str">
        <f t="shared" si="2"/>
        <v>RANGERRANGER DCAB XLT 3.22021</v>
      </c>
      <c r="F608" s="1" t="s">
        <v>2271</v>
      </c>
      <c r="G608" s="1">
        <v>19990000</v>
      </c>
      <c r="H608" s="1">
        <v>17000000</v>
      </c>
    </row>
    <row r="609" spans="1:8" ht="13.5" customHeight="1" x14ac:dyDescent="0.3">
      <c r="A609" s="1" t="s">
        <v>93</v>
      </c>
      <c r="B609" s="1" t="s">
        <v>131</v>
      </c>
      <c r="C609" s="1" t="s">
        <v>4676</v>
      </c>
      <c r="D609" s="1">
        <v>2022</v>
      </c>
      <c r="E609" s="1" t="str">
        <f t="shared" si="2"/>
        <v>RANGERRANGER DCAB XLT 3.22022</v>
      </c>
      <c r="F609" s="1" t="s">
        <v>2046</v>
      </c>
      <c r="G609" s="1">
        <v>21990000</v>
      </c>
      <c r="H609" s="1">
        <v>20000000</v>
      </c>
    </row>
    <row r="610" spans="1:8" ht="13.5" customHeight="1" x14ac:dyDescent="0.3">
      <c r="A610" s="1" t="s">
        <v>93</v>
      </c>
      <c r="B610" s="1" t="s">
        <v>131</v>
      </c>
      <c r="C610" s="1" t="s">
        <v>4677</v>
      </c>
      <c r="D610" s="1">
        <v>2022</v>
      </c>
      <c r="E610" s="1" t="str">
        <f t="shared" si="2"/>
        <v>RANGERRANGER DCAB XLT 4X4 3.22022</v>
      </c>
      <c r="G610" s="1">
        <v>22690000</v>
      </c>
      <c r="H610" s="1">
        <v>0</v>
      </c>
    </row>
    <row r="611" spans="1:8" ht="13.5" customHeight="1" x14ac:dyDescent="0.3">
      <c r="A611" s="1" t="s">
        <v>93</v>
      </c>
      <c r="B611" s="1" t="s">
        <v>131</v>
      </c>
      <c r="C611" s="1" t="s">
        <v>4677</v>
      </c>
      <c r="D611" s="1">
        <v>2022</v>
      </c>
      <c r="E611" s="1" t="str">
        <f t="shared" si="2"/>
        <v>RANGERRANGER DCAB XLT 4X4 3.22022</v>
      </c>
      <c r="F611" s="1" t="s">
        <v>1432</v>
      </c>
      <c r="G611" s="1">
        <v>20890000</v>
      </c>
      <c r="H611" s="1">
        <v>19500000</v>
      </c>
    </row>
    <row r="612" spans="1:8" ht="13.5" customHeight="1" x14ac:dyDescent="0.3">
      <c r="A612" s="1" t="s">
        <v>93</v>
      </c>
      <c r="B612" s="1" t="s">
        <v>131</v>
      </c>
      <c r="C612" s="1" t="s">
        <v>4677</v>
      </c>
      <c r="D612" s="1">
        <v>2023</v>
      </c>
      <c r="E612" s="1" t="str">
        <f t="shared" si="2"/>
        <v>RANGERRANGER DCAB XLT 4X4 3.22023</v>
      </c>
      <c r="F612" s="1" t="s">
        <v>1789</v>
      </c>
      <c r="G612" s="1">
        <v>24490000</v>
      </c>
      <c r="H612" s="1">
        <v>22500000</v>
      </c>
    </row>
    <row r="613" spans="1:8" ht="13.5" customHeight="1" x14ac:dyDescent="0.3">
      <c r="A613" s="1" t="s">
        <v>93</v>
      </c>
      <c r="B613" s="1" t="s">
        <v>131</v>
      </c>
      <c r="C613" s="1" t="s">
        <v>4678</v>
      </c>
      <c r="D613" s="1">
        <v>2023</v>
      </c>
      <c r="E613" s="1" t="str">
        <f t="shared" si="2"/>
        <v>RANGERRANGER FX4 4X4 3.2 AT2023</v>
      </c>
      <c r="F613" s="1" t="s">
        <v>507</v>
      </c>
      <c r="G613" s="1">
        <v>26990000</v>
      </c>
      <c r="H613" s="1">
        <v>22100000</v>
      </c>
    </row>
    <row r="614" spans="1:8" ht="13.5" customHeight="1" x14ac:dyDescent="0.3">
      <c r="A614" s="1" t="s">
        <v>93</v>
      </c>
      <c r="B614" s="1" t="s">
        <v>131</v>
      </c>
      <c r="C614" s="1" t="s">
        <v>132</v>
      </c>
      <c r="D614" s="1">
        <v>2024</v>
      </c>
      <c r="E614" s="1" t="str">
        <f t="shared" si="2"/>
        <v>RANGERRANGER LTD 4X4 3.0 AUT2024</v>
      </c>
      <c r="F614" s="1" t="s">
        <v>1082</v>
      </c>
      <c r="G614" s="1">
        <v>35990000</v>
      </c>
      <c r="H614" s="1">
        <v>37000000</v>
      </c>
    </row>
    <row r="615" spans="1:8" ht="13.5" customHeight="1" x14ac:dyDescent="0.3">
      <c r="A615" s="1" t="s">
        <v>93</v>
      </c>
      <c r="B615" s="1" t="s">
        <v>131</v>
      </c>
      <c r="C615" s="1" t="s">
        <v>132</v>
      </c>
      <c r="D615" s="1">
        <v>2025</v>
      </c>
      <c r="E615" s="1" t="str">
        <f t="shared" si="2"/>
        <v>RANGERRANGER LTD 4X4 3.0 AUT2025</v>
      </c>
      <c r="F615" s="1" t="s">
        <v>483</v>
      </c>
      <c r="G615" s="1">
        <v>40000000</v>
      </c>
      <c r="H615" s="1">
        <v>36000000</v>
      </c>
    </row>
    <row r="616" spans="1:8" ht="13.5" customHeight="1" x14ac:dyDescent="0.3">
      <c r="A616" s="1" t="s">
        <v>93</v>
      </c>
      <c r="B616" s="1" t="s">
        <v>131</v>
      </c>
      <c r="C616" s="1" t="s">
        <v>132</v>
      </c>
      <c r="D616" s="1">
        <v>2025</v>
      </c>
      <c r="E616" s="1" t="str">
        <f t="shared" si="2"/>
        <v>RANGERRANGER LTD 4X4 3.0 AUT2025</v>
      </c>
      <c r="F616" s="1" t="s">
        <v>486</v>
      </c>
      <c r="G616" s="1">
        <v>40190000</v>
      </c>
      <c r="H616" s="1">
        <v>36000000</v>
      </c>
    </row>
    <row r="617" spans="1:8" ht="13.5" customHeight="1" x14ac:dyDescent="0.3">
      <c r="A617" s="1" t="s">
        <v>93</v>
      </c>
      <c r="B617" s="1" t="s">
        <v>131</v>
      </c>
      <c r="C617" s="1" t="s">
        <v>4679</v>
      </c>
      <c r="D617" s="1">
        <v>2019</v>
      </c>
      <c r="E617" s="1" t="str">
        <f t="shared" si="2"/>
        <v>RANGERRANGER LTD 4X4 3.22019</v>
      </c>
      <c r="F617" s="1" t="s">
        <v>1825</v>
      </c>
      <c r="G617" s="1">
        <v>13690000</v>
      </c>
      <c r="H617" s="1">
        <v>12200000</v>
      </c>
    </row>
    <row r="618" spans="1:8" ht="13.5" customHeight="1" x14ac:dyDescent="0.3">
      <c r="A618" s="1" t="s">
        <v>93</v>
      </c>
      <c r="B618" s="1" t="s">
        <v>131</v>
      </c>
      <c r="C618" s="1" t="s">
        <v>4679</v>
      </c>
      <c r="D618" s="1">
        <v>2020</v>
      </c>
      <c r="E618" s="1" t="str">
        <f t="shared" si="2"/>
        <v>RANGERRANGER LTD 4X4 3.22020</v>
      </c>
      <c r="F618" s="1" t="s">
        <v>2100</v>
      </c>
      <c r="G618" s="1">
        <v>19990000</v>
      </c>
      <c r="H618" s="1">
        <v>19390038</v>
      </c>
    </row>
    <row r="619" spans="1:8" ht="13.5" customHeight="1" x14ac:dyDescent="0.3">
      <c r="A619" s="1" t="s">
        <v>93</v>
      </c>
      <c r="B619" s="1" t="s">
        <v>131</v>
      </c>
      <c r="C619" s="1" t="s">
        <v>4680</v>
      </c>
      <c r="D619" s="1">
        <v>2019</v>
      </c>
      <c r="E619" s="1" t="str">
        <f t="shared" si="2"/>
        <v>RANGERRANGER LTD 4X4 3.2 AUT2019</v>
      </c>
      <c r="F619" s="1" t="s">
        <v>2349</v>
      </c>
      <c r="G619" s="1">
        <v>21190000</v>
      </c>
      <c r="H619" s="1">
        <v>18000000</v>
      </c>
    </row>
    <row r="620" spans="1:8" ht="13.5" customHeight="1" x14ac:dyDescent="0.3">
      <c r="A620" s="1" t="s">
        <v>93</v>
      </c>
      <c r="B620" s="1" t="s">
        <v>131</v>
      </c>
      <c r="C620" s="1" t="s">
        <v>134</v>
      </c>
      <c r="D620" s="1">
        <v>2021</v>
      </c>
      <c r="E620" s="1" t="str">
        <f t="shared" si="2"/>
        <v>RANGERRANGER RAPTOR 4X4 2.0 AUT2021</v>
      </c>
      <c r="F620" s="1" t="s">
        <v>1530</v>
      </c>
      <c r="G620" s="1">
        <v>34192120</v>
      </c>
      <c r="H620" s="1">
        <v>30000000</v>
      </c>
    </row>
    <row r="621" spans="1:8" ht="13.5" customHeight="1" x14ac:dyDescent="0.3">
      <c r="A621" s="1" t="s">
        <v>93</v>
      </c>
      <c r="B621" s="1" t="s">
        <v>131</v>
      </c>
      <c r="C621" s="1" t="s">
        <v>134</v>
      </c>
      <c r="D621" s="1">
        <v>2021</v>
      </c>
      <c r="E621" s="1" t="str">
        <f t="shared" si="2"/>
        <v>RANGERRANGER RAPTOR 4X4 2.0 AUT2021</v>
      </c>
      <c r="F621" s="1" t="s">
        <v>1886</v>
      </c>
      <c r="G621" s="1">
        <v>37990000</v>
      </c>
      <c r="H621" s="1">
        <v>32000000</v>
      </c>
    </row>
    <row r="622" spans="1:8" ht="13.5" customHeight="1" x14ac:dyDescent="0.3">
      <c r="A622" s="1" t="s">
        <v>93</v>
      </c>
      <c r="B622" s="1" t="s">
        <v>131</v>
      </c>
      <c r="C622" s="1" t="s">
        <v>134</v>
      </c>
      <c r="D622" s="1">
        <v>2021</v>
      </c>
      <c r="E622" s="1" t="str">
        <f t="shared" si="2"/>
        <v>RANGERRANGER RAPTOR 4X4 2.0 AUT2021</v>
      </c>
      <c r="F622" s="1" t="s">
        <v>1364</v>
      </c>
      <c r="G622" s="1">
        <v>37541120</v>
      </c>
      <c r="H622" s="1">
        <v>32500000</v>
      </c>
    </row>
    <row r="623" spans="1:8" ht="13.5" customHeight="1" x14ac:dyDescent="0.3">
      <c r="A623" s="1" t="s">
        <v>93</v>
      </c>
      <c r="B623" s="1" t="s">
        <v>131</v>
      </c>
      <c r="C623" s="1" t="s">
        <v>134</v>
      </c>
      <c r="D623" s="1">
        <v>2022</v>
      </c>
      <c r="E623" s="1" t="str">
        <f t="shared" si="2"/>
        <v>RANGERRANGER RAPTOR 4X4 2.0 AUT2022</v>
      </c>
      <c r="F623" s="1" t="s">
        <v>1694</v>
      </c>
      <c r="G623" s="1">
        <v>35890000</v>
      </c>
      <c r="H623" s="1">
        <v>31000000</v>
      </c>
    </row>
    <row r="624" spans="1:8" ht="13.5" customHeight="1" x14ac:dyDescent="0.3">
      <c r="A624" s="1" t="s">
        <v>93</v>
      </c>
      <c r="B624" s="1" t="s">
        <v>131</v>
      </c>
      <c r="C624" s="1" t="s">
        <v>134</v>
      </c>
      <c r="D624" s="1">
        <v>2022</v>
      </c>
      <c r="E624" s="1" t="str">
        <f t="shared" si="2"/>
        <v>RANGERRANGER RAPTOR 4X4 2.0 AUT2022</v>
      </c>
      <c r="F624" s="1" t="s">
        <v>1101</v>
      </c>
      <c r="G624" s="1">
        <v>35990000</v>
      </c>
      <c r="H624" s="1">
        <v>30000000</v>
      </c>
    </row>
    <row r="625" spans="1:8" ht="13.5" customHeight="1" x14ac:dyDescent="0.3">
      <c r="A625" s="1" t="s">
        <v>93</v>
      </c>
      <c r="B625" s="1" t="s">
        <v>131</v>
      </c>
      <c r="C625" s="1" t="s">
        <v>134</v>
      </c>
      <c r="D625" s="1">
        <v>2022</v>
      </c>
      <c r="E625" s="1" t="str">
        <f t="shared" si="2"/>
        <v>RANGERRANGER RAPTOR 4X4 2.0 AUT2022</v>
      </c>
      <c r="F625" s="1" t="s">
        <v>1024</v>
      </c>
      <c r="G625" s="1">
        <v>29990000</v>
      </c>
      <c r="H625" s="1">
        <v>28650000</v>
      </c>
    </row>
    <row r="626" spans="1:8" ht="13.5" customHeight="1" x14ac:dyDescent="0.3">
      <c r="A626" s="1" t="s">
        <v>93</v>
      </c>
      <c r="B626" s="1" t="s">
        <v>131</v>
      </c>
      <c r="C626" s="1" t="s">
        <v>136</v>
      </c>
      <c r="D626" s="1">
        <v>2024</v>
      </c>
      <c r="E626" s="1" t="str">
        <f t="shared" si="2"/>
        <v>RANGERRANGER RAPTOR 4X4 3.0 AT2024</v>
      </c>
      <c r="F626" s="1" t="s">
        <v>138</v>
      </c>
      <c r="G626" s="1">
        <v>49990000</v>
      </c>
      <c r="H626" s="1">
        <v>44000000</v>
      </c>
    </row>
    <row r="627" spans="1:8" ht="13.5" customHeight="1" x14ac:dyDescent="0.3">
      <c r="A627" s="1" t="s">
        <v>93</v>
      </c>
      <c r="B627" s="1" t="s">
        <v>131</v>
      </c>
      <c r="C627" s="1" t="s">
        <v>136</v>
      </c>
      <c r="D627" s="1">
        <v>2025</v>
      </c>
      <c r="E627" s="1" t="str">
        <f t="shared" si="2"/>
        <v>RANGERRANGER RAPTOR 4X4 3.0 AT2025</v>
      </c>
      <c r="F627" s="1" t="s">
        <v>510</v>
      </c>
      <c r="G627" s="1">
        <v>48990000</v>
      </c>
      <c r="H627" s="1">
        <v>41200000</v>
      </c>
    </row>
    <row r="628" spans="1:8" ht="13.5" customHeight="1" x14ac:dyDescent="0.3">
      <c r="A628" s="1" t="s">
        <v>93</v>
      </c>
      <c r="B628" s="1" t="s">
        <v>131</v>
      </c>
      <c r="C628" s="1" t="s">
        <v>4681</v>
      </c>
      <c r="D628" s="1">
        <v>2022</v>
      </c>
      <c r="E628" s="1" t="str">
        <f t="shared" si="2"/>
        <v>RANGERRANGER STORM 4X4 3.22022</v>
      </c>
      <c r="F628" s="1" t="s">
        <v>1021</v>
      </c>
      <c r="G628" s="1">
        <v>22590000</v>
      </c>
      <c r="H628" s="1">
        <v>19400000</v>
      </c>
    </row>
    <row r="629" spans="1:8" ht="13.5" customHeight="1" x14ac:dyDescent="0.3">
      <c r="A629" s="1" t="s">
        <v>93</v>
      </c>
      <c r="B629" s="1" t="s">
        <v>131</v>
      </c>
      <c r="C629" s="1" t="s">
        <v>4682</v>
      </c>
      <c r="D629" s="1">
        <v>2023</v>
      </c>
      <c r="E629" s="1" t="str">
        <f t="shared" si="2"/>
        <v>RANGERRANGER XL 4X4 2.22023</v>
      </c>
      <c r="F629" s="1" t="s">
        <v>1666</v>
      </c>
      <c r="G629" s="1">
        <v>22570120</v>
      </c>
      <c r="H629" s="1">
        <v>19000000</v>
      </c>
    </row>
    <row r="630" spans="1:8" ht="13.5" customHeight="1" x14ac:dyDescent="0.3">
      <c r="A630" s="1" t="s">
        <v>93</v>
      </c>
      <c r="B630" s="1" t="s">
        <v>131</v>
      </c>
      <c r="C630" s="1" t="s">
        <v>4683</v>
      </c>
      <c r="D630" s="1">
        <v>2023</v>
      </c>
      <c r="E630" s="1" t="str">
        <f t="shared" si="2"/>
        <v>RANGERRANGER XL M 4X4 2.22023</v>
      </c>
      <c r="F630" s="1" t="s">
        <v>1654</v>
      </c>
      <c r="G630" s="1">
        <v>19990000</v>
      </c>
      <c r="H630" s="1">
        <v>17950000</v>
      </c>
    </row>
    <row r="631" spans="1:8" ht="13.5" customHeight="1" x14ac:dyDescent="0.3">
      <c r="A631" s="1" t="s">
        <v>93</v>
      </c>
      <c r="B631" s="1" t="s">
        <v>131</v>
      </c>
      <c r="C631" s="1" t="s">
        <v>4683</v>
      </c>
      <c r="D631" s="1">
        <v>2023</v>
      </c>
      <c r="E631" s="1" t="str">
        <f t="shared" si="2"/>
        <v>RANGERRANGER XL M 4X4 2.22023</v>
      </c>
      <c r="F631" s="1" t="s">
        <v>565</v>
      </c>
      <c r="G631" s="1">
        <v>18990000</v>
      </c>
      <c r="H631" s="1">
        <v>16500000</v>
      </c>
    </row>
    <row r="632" spans="1:8" ht="13.5" customHeight="1" x14ac:dyDescent="0.3">
      <c r="A632" s="1" t="s">
        <v>93</v>
      </c>
      <c r="B632" s="1" t="s">
        <v>131</v>
      </c>
      <c r="C632" s="1" t="s">
        <v>4683</v>
      </c>
      <c r="D632" s="1">
        <v>2024</v>
      </c>
      <c r="E632" s="1" t="str">
        <f t="shared" si="2"/>
        <v>RANGERRANGER XL M 4X4 2.22024</v>
      </c>
      <c r="F632" s="1" t="s">
        <v>1425</v>
      </c>
      <c r="G632" s="1">
        <v>20490000</v>
      </c>
      <c r="H632" s="1">
        <v>17500000</v>
      </c>
    </row>
    <row r="633" spans="1:8" ht="13.5" customHeight="1" x14ac:dyDescent="0.3">
      <c r="A633" s="1" t="s">
        <v>93</v>
      </c>
      <c r="B633" s="1" t="s">
        <v>131</v>
      </c>
      <c r="C633" s="1" t="s">
        <v>4684</v>
      </c>
      <c r="D633" s="1">
        <v>2023</v>
      </c>
      <c r="E633" s="1" t="str">
        <f t="shared" si="2"/>
        <v>RANGERRANGER XLS DCAB 4X4 3.22023</v>
      </c>
      <c r="F633" s="1" t="s">
        <v>623</v>
      </c>
      <c r="G633" s="1">
        <v>20990000</v>
      </c>
      <c r="H633" s="1">
        <v>17700000</v>
      </c>
    </row>
    <row r="634" spans="1:8" ht="13.5" customHeight="1" x14ac:dyDescent="0.3">
      <c r="A634" s="1" t="s">
        <v>93</v>
      </c>
      <c r="B634" s="1" t="s">
        <v>131</v>
      </c>
      <c r="C634" s="1" t="s">
        <v>4685</v>
      </c>
      <c r="D634" s="1">
        <v>2023</v>
      </c>
      <c r="E634" s="1" t="str">
        <f t="shared" si="2"/>
        <v>RANGERRANGER XLT 2.0 AUT2023</v>
      </c>
      <c r="F634" s="1" t="s">
        <v>1612</v>
      </c>
      <c r="G634" s="1">
        <v>30190000</v>
      </c>
      <c r="H634" s="1">
        <v>26000000</v>
      </c>
    </row>
    <row r="635" spans="1:8" ht="13.5" customHeight="1" x14ac:dyDescent="0.3">
      <c r="A635" s="1" t="s">
        <v>93</v>
      </c>
      <c r="B635" s="1" t="s">
        <v>131</v>
      </c>
      <c r="C635" s="1" t="s">
        <v>4685</v>
      </c>
      <c r="D635" s="1">
        <v>2024</v>
      </c>
      <c r="E635" s="1" t="str">
        <f t="shared" si="2"/>
        <v>RANGERRANGER XLT 2.0 AUT2024</v>
      </c>
      <c r="F635" s="1" t="s">
        <v>851</v>
      </c>
      <c r="G635" s="1">
        <v>30290000</v>
      </c>
      <c r="H635" s="1">
        <v>21848740</v>
      </c>
    </row>
    <row r="636" spans="1:8" ht="13.5" customHeight="1" x14ac:dyDescent="0.3">
      <c r="A636" s="1" t="s">
        <v>93</v>
      </c>
      <c r="B636" s="1" t="s">
        <v>131</v>
      </c>
      <c r="C636" s="1" t="s">
        <v>141</v>
      </c>
      <c r="D636" s="1">
        <v>2019</v>
      </c>
      <c r="E636" s="1" t="str">
        <f t="shared" si="2"/>
        <v>RANGERRANGER XLT 2.52019</v>
      </c>
      <c r="F636" s="1" t="s">
        <v>1506</v>
      </c>
      <c r="G636" s="1">
        <v>12390000</v>
      </c>
      <c r="H636" s="1">
        <v>10500000</v>
      </c>
    </row>
    <row r="637" spans="1:8" ht="13.5" customHeight="1" x14ac:dyDescent="0.3">
      <c r="A637" s="1" t="s">
        <v>93</v>
      </c>
      <c r="B637" s="1" t="s">
        <v>131</v>
      </c>
      <c r="C637" s="1" t="s">
        <v>4686</v>
      </c>
      <c r="D637" s="1">
        <v>2018</v>
      </c>
      <c r="E637" s="1" t="str">
        <f t="shared" si="2"/>
        <v>RANGERRANGER XLT 3.22018</v>
      </c>
      <c r="F637" s="1" t="s">
        <v>2203</v>
      </c>
      <c r="G637" s="1">
        <v>15790000</v>
      </c>
      <c r="H637" s="1">
        <v>13000000</v>
      </c>
    </row>
    <row r="638" spans="1:8" ht="13.5" customHeight="1" x14ac:dyDescent="0.3">
      <c r="A638" s="1" t="s">
        <v>93</v>
      </c>
      <c r="B638" s="1" t="s">
        <v>131</v>
      </c>
      <c r="C638" s="1" t="s">
        <v>4686</v>
      </c>
      <c r="D638" s="1">
        <v>2018</v>
      </c>
      <c r="E638" s="1" t="str">
        <f t="shared" si="2"/>
        <v>RANGERRANGER XLT 3.22018</v>
      </c>
      <c r="F638" s="1" t="s">
        <v>435</v>
      </c>
      <c r="G638" s="1">
        <v>12990000</v>
      </c>
      <c r="H638" s="1">
        <v>10990000</v>
      </c>
    </row>
    <row r="639" spans="1:8" ht="13.5" customHeight="1" x14ac:dyDescent="0.3">
      <c r="A639" s="1" t="s">
        <v>93</v>
      </c>
      <c r="B639" s="1" t="s">
        <v>131</v>
      </c>
      <c r="C639" s="1" t="s">
        <v>4686</v>
      </c>
      <c r="D639" s="1">
        <v>2019</v>
      </c>
      <c r="E639" s="1" t="str">
        <f t="shared" si="2"/>
        <v>RANGERRANGER XLT 3.22019</v>
      </c>
      <c r="F639" s="1" t="s">
        <v>2095</v>
      </c>
      <c r="G639" s="1">
        <v>16490000</v>
      </c>
      <c r="H639" s="1">
        <v>14200000</v>
      </c>
    </row>
    <row r="640" spans="1:8" ht="13.5" customHeight="1" x14ac:dyDescent="0.3">
      <c r="A640" s="1" t="s">
        <v>93</v>
      </c>
      <c r="B640" s="1" t="s">
        <v>131</v>
      </c>
      <c r="C640" s="1" t="s">
        <v>4686</v>
      </c>
      <c r="D640" s="1">
        <v>2019</v>
      </c>
      <c r="E640" s="1" t="str">
        <f t="shared" si="2"/>
        <v>RANGERRANGER XLT 3.22019</v>
      </c>
      <c r="F640" s="1" t="s">
        <v>2030</v>
      </c>
      <c r="G640" s="1">
        <v>16390000</v>
      </c>
      <c r="H640" s="1">
        <v>13500000</v>
      </c>
    </row>
    <row r="641" spans="1:8" ht="13.5" customHeight="1" x14ac:dyDescent="0.3">
      <c r="A641" s="1" t="s">
        <v>93</v>
      </c>
      <c r="B641" s="1" t="s">
        <v>131</v>
      </c>
      <c r="C641" s="1" t="s">
        <v>4686</v>
      </c>
      <c r="D641" s="1">
        <v>2020</v>
      </c>
      <c r="E641" s="1" t="str">
        <f t="shared" si="2"/>
        <v>RANGERRANGER XLT 3.22020</v>
      </c>
      <c r="F641" s="1" t="s">
        <v>1896</v>
      </c>
      <c r="G641" s="1">
        <v>16990000</v>
      </c>
      <c r="H641" s="1">
        <v>13980618</v>
      </c>
    </row>
    <row r="642" spans="1:8" ht="13.5" customHeight="1" x14ac:dyDescent="0.3">
      <c r="A642" s="1" t="s">
        <v>93</v>
      </c>
      <c r="B642" s="1" t="s">
        <v>131</v>
      </c>
      <c r="C642" s="1" t="s">
        <v>4686</v>
      </c>
      <c r="D642" s="1">
        <v>2023</v>
      </c>
      <c r="E642" s="1" t="str">
        <f t="shared" si="2"/>
        <v>RANGERRANGER XLT 3.22023</v>
      </c>
      <c r="F642" s="1" t="s">
        <v>1918</v>
      </c>
      <c r="G642" s="1">
        <v>26720620</v>
      </c>
      <c r="H642" s="1">
        <v>22500000</v>
      </c>
    </row>
    <row r="643" spans="1:8" ht="13.5" customHeight="1" x14ac:dyDescent="0.3">
      <c r="A643" s="1" t="s">
        <v>93</v>
      </c>
      <c r="B643" s="1" t="s">
        <v>131</v>
      </c>
      <c r="C643" s="1" t="s">
        <v>4687</v>
      </c>
      <c r="D643" s="1">
        <v>2024</v>
      </c>
      <c r="E643" s="1" t="str">
        <f t="shared" si="2"/>
        <v>RANGERRANGER XLT 4X4 2.02024</v>
      </c>
      <c r="F643" s="1" t="s">
        <v>1223</v>
      </c>
      <c r="G643" s="1">
        <v>32490000</v>
      </c>
      <c r="H643" s="1">
        <v>29000000</v>
      </c>
    </row>
    <row r="644" spans="1:8" ht="13.5" customHeight="1" x14ac:dyDescent="0.3">
      <c r="A644" s="1" t="s">
        <v>93</v>
      </c>
      <c r="B644" s="1" t="s">
        <v>131</v>
      </c>
      <c r="C644" s="1" t="s">
        <v>4687</v>
      </c>
      <c r="D644" s="1">
        <v>2024</v>
      </c>
      <c r="E644" s="1" t="str">
        <f t="shared" si="2"/>
        <v>RANGERRANGER XLT 4X4 2.02024</v>
      </c>
      <c r="F644" s="1" t="s">
        <v>738</v>
      </c>
      <c r="G644" s="1">
        <v>28000000</v>
      </c>
      <c r="H644" s="1">
        <v>25000000</v>
      </c>
    </row>
    <row r="645" spans="1:8" ht="13.5" customHeight="1" x14ac:dyDescent="0.3">
      <c r="A645" s="1" t="s">
        <v>93</v>
      </c>
      <c r="B645" s="1" t="s">
        <v>131</v>
      </c>
      <c r="C645" s="1" t="s">
        <v>4687</v>
      </c>
      <c r="D645" s="1">
        <v>2024</v>
      </c>
      <c r="E645" s="1" t="str">
        <f t="shared" si="2"/>
        <v>RANGERRANGER XLT 4X4 2.02024</v>
      </c>
      <c r="F645" s="1" t="s">
        <v>1237</v>
      </c>
      <c r="G645" s="1">
        <v>32419120</v>
      </c>
      <c r="H645" s="1">
        <v>29000000</v>
      </c>
    </row>
    <row r="646" spans="1:8" ht="13.5" customHeight="1" x14ac:dyDescent="0.3">
      <c r="A646" s="1" t="s">
        <v>93</v>
      </c>
      <c r="B646" s="1" t="s">
        <v>131</v>
      </c>
      <c r="C646" s="1" t="s">
        <v>4687</v>
      </c>
      <c r="D646" s="1">
        <v>2024</v>
      </c>
      <c r="E646" s="1" t="str">
        <f t="shared" si="2"/>
        <v>RANGERRANGER XLT 4X4 2.02024</v>
      </c>
      <c r="F646" s="1" t="s">
        <v>560</v>
      </c>
      <c r="G646" s="1">
        <v>28790000</v>
      </c>
      <c r="H646" s="1">
        <v>25000000</v>
      </c>
    </row>
    <row r="647" spans="1:8" ht="13.5" customHeight="1" x14ac:dyDescent="0.3">
      <c r="A647" s="1" t="s">
        <v>93</v>
      </c>
      <c r="B647" s="1" t="s">
        <v>131</v>
      </c>
      <c r="C647" s="1" t="s">
        <v>4688</v>
      </c>
      <c r="D647" s="1">
        <v>2024</v>
      </c>
      <c r="E647" s="1" t="str">
        <f t="shared" si="2"/>
        <v>RANGERRANGER XLT 4X4 2.0 AUT2024</v>
      </c>
      <c r="F647" s="1" t="s">
        <v>1068</v>
      </c>
      <c r="G647" s="1">
        <v>33990000</v>
      </c>
      <c r="H647" s="1">
        <v>29000000</v>
      </c>
    </row>
    <row r="648" spans="1:8" ht="13.5" customHeight="1" x14ac:dyDescent="0.3">
      <c r="A648" s="1" t="s">
        <v>93</v>
      </c>
      <c r="B648" s="1" t="s">
        <v>131</v>
      </c>
      <c r="C648" s="1" t="s">
        <v>4688</v>
      </c>
      <c r="D648" s="1">
        <v>2024</v>
      </c>
      <c r="E648" s="1" t="str">
        <f t="shared" si="2"/>
        <v>RANGERRANGER XLT 4X4 2.0 AUT2024</v>
      </c>
      <c r="F648" s="1" t="s">
        <v>1190</v>
      </c>
      <c r="G648" s="1">
        <v>34990000</v>
      </c>
      <c r="H648" s="1">
        <v>31500000</v>
      </c>
    </row>
    <row r="649" spans="1:8" ht="13.5" customHeight="1" x14ac:dyDescent="0.3">
      <c r="A649" s="1" t="s">
        <v>93</v>
      </c>
      <c r="B649" s="1" t="s">
        <v>131</v>
      </c>
      <c r="C649" s="1" t="s">
        <v>4688</v>
      </c>
      <c r="D649" s="1">
        <v>2025</v>
      </c>
      <c r="E649" s="1" t="str">
        <f t="shared" si="2"/>
        <v>RANGERRANGER XLT 4X4 2.0 AUT2025</v>
      </c>
      <c r="F649" s="1" t="s">
        <v>481</v>
      </c>
      <c r="G649" s="1">
        <v>34590000</v>
      </c>
      <c r="H649" s="1">
        <v>30000000</v>
      </c>
    </row>
    <row r="650" spans="1:8" ht="13.5" customHeight="1" x14ac:dyDescent="0.3">
      <c r="A650" s="1" t="s">
        <v>93</v>
      </c>
      <c r="B650" s="1" t="s">
        <v>131</v>
      </c>
      <c r="C650" s="1" t="s">
        <v>4689</v>
      </c>
      <c r="D650" s="1">
        <v>2018</v>
      </c>
      <c r="E650" s="1" t="str">
        <f t="shared" si="2"/>
        <v>RANGERRANGER XLT 4X4 3.22018</v>
      </c>
      <c r="F650" s="1" t="s">
        <v>2082</v>
      </c>
      <c r="G650" s="1">
        <v>16490000</v>
      </c>
      <c r="H650" s="1">
        <v>13500000</v>
      </c>
    </row>
    <row r="651" spans="1:8" ht="13.5" customHeight="1" x14ac:dyDescent="0.3">
      <c r="A651" s="1" t="s">
        <v>93</v>
      </c>
      <c r="B651" s="1" t="s">
        <v>131</v>
      </c>
      <c r="C651" s="1" t="s">
        <v>4689</v>
      </c>
      <c r="D651" s="1">
        <v>2019</v>
      </c>
      <c r="E651" s="1" t="str">
        <f t="shared" si="2"/>
        <v>RANGERRANGER XLT 4X4 3.22019</v>
      </c>
      <c r="F651" s="1" t="s">
        <v>2472</v>
      </c>
      <c r="G651" s="1">
        <v>21290000</v>
      </c>
      <c r="H651" s="1">
        <v>18500000</v>
      </c>
    </row>
    <row r="652" spans="1:8" ht="13.5" customHeight="1" x14ac:dyDescent="0.3">
      <c r="A652" s="1" t="s">
        <v>93</v>
      </c>
      <c r="B652" s="1" t="s">
        <v>143</v>
      </c>
      <c r="C652" s="1" t="s">
        <v>4690</v>
      </c>
      <c r="D652" s="1">
        <v>2021</v>
      </c>
      <c r="E652" s="1" t="str">
        <f t="shared" si="2"/>
        <v>TERRITORYNEW TERRITORY TITANIUM 1.5 AUT2021</v>
      </c>
      <c r="F652" s="1" t="s">
        <v>595</v>
      </c>
      <c r="G652" s="1">
        <v>11990000</v>
      </c>
      <c r="H652" s="1">
        <v>9150000</v>
      </c>
    </row>
    <row r="653" spans="1:8" ht="13.5" customHeight="1" x14ac:dyDescent="0.3">
      <c r="A653" s="1" t="s">
        <v>93</v>
      </c>
      <c r="B653" s="1" t="s">
        <v>143</v>
      </c>
      <c r="C653" s="1" t="s">
        <v>4691</v>
      </c>
      <c r="D653" s="1">
        <v>2021</v>
      </c>
      <c r="E653" s="1" t="str">
        <f t="shared" si="2"/>
        <v>TERRITORYNEW TERRITORY TREND 1.5 AUT2021</v>
      </c>
      <c r="F653" s="1" t="s">
        <v>1633</v>
      </c>
      <c r="G653" s="1">
        <v>11890000</v>
      </c>
      <c r="H653" s="1">
        <v>10000000</v>
      </c>
    </row>
    <row r="654" spans="1:8" ht="13.5" customHeight="1" x14ac:dyDescent="0.3">
      <c r="A654" s="1" t="s">
        <v>93</v>
      </c>
      <c r="B654" s="1" t="s">
        <v>143</v>
      </c>
      <c r="C654" s="1" t="s">
        <v>144</v>
      </c>
      <c r="D654" s="1">
        <v>2021</v>
      </c>
      <c r="E654" s="1" t="str">
        <f t="shared" si="2"/>
        <v>TERRITORYTERRITORY 1.5 AUT2021</v>
      </c>
      <c r="F654" s="1" t="s">
        <v>1795</v>
      </c>
      <c r="G654" s="1">
        <v>15190000</v>
      </c>
      <c r="H654" s="1">
        <v>12500000</v>
      </c>
    </row>
    <row r="655" spans="1:8" ht="13.5" customHeight="1" x14ac:dyDescent="0.3">
      <c r="A655" s="1" t="s">
        <v>93</v>
      </c>
      <c r="B655" s="1" t="s">
        <v>143</v>
      </c>
      <c r="C655" s="1" t="s">
        <v>144</v>
      </c>
      <c r="D655" s="1">
        <v>2021</v>
      </c>
      <c r="E655" s="1" t="str">
        <f t="shared" si="2"/>
        <v>TERRITORYTERRITORY 1.5 AUT2021</v>
      </c>
      <c r="F655" s="1" t="s">
        <v>2453</v>
      </c>
      <c r="G655" s="1">
        <v>19300000</v>
      </c>
      <c r="H655" s="1">
        <v>16900000</v>
      </c>
    </row>
    <row r="656" spans="1:8" ht="13.5" customHeight="1" x14ac:dyDescent="0.3">
      <c r="A656" s="1" t="s">
        <v>93</v>
      </c>
      <c r="B656" s="1" t="s">
        <v>143</v>
      </c>
      <c r="C656" s="1" t="s">
        <v>144</v>
      </c>
      <c r="D656" s="1">
        <v>2021</v>
      </c>
      <c r="E656" s="1" t="str">
        <f t="shared" si="2"/>
        <v>TERRITORYTERRITORY 1.5 AUT2021</v>
      </c>
      <c r="F656" s="1" t="s">
        <v>1286</v>
      </c>
      <c r="G656" s="1">
        <v>13790000</v>
      </c>
      <c r="H656" s="1">
        <v>11700000</v>
      </c>
    </row>
    <row r="657" spans="1:8" ht="13.5" customHeight="1" x14ac:dyDescent="0.3">
      <c r="A657" s="1" t="s">
        <v>93</v>
      </c>
      <c r="B657" s="1" t="s">
        <v>143</v>
      </c>
      <c r="C657" s="1" t="s">
        <v>144</v>
      </c>
      <c r="D657" s="1">
        <v>2021</v>
      </c>
      <c r="E657" s="1" t="str">
        <f t="shared" si="2"/>
        <v>TERRITORYTERRITORY 1.5 AUT2021</v>
      </c>
      <c r="F657" s="1" t="s">
        <v>2615</v>
      </c>
      <c r="G657" s="1">
        <v>17990000</v>
      </c>
      <c r="H657" s="1">
        <v>16000000</v>
      </c>
    </row>
    <row r="658" spans="1:8" ht="13.5" customHeight="1" x14ac:dyDescent="0.3">
      <c r="A658" s="1" t="s">
        <v>93</v>
      </c>
      <c r="B658" s="1" t="s">
        <v>143</v>
      </c>
      <c r="C658" s="1" t="s">
        <v>144</v>
      </c>
      <c r="D658" s="1">
        <v>2021</v>
      </c>
      <c r="E658" s="1" t="str">
        <f t="shared" si="2"/>
        <v>TERRITORYTERRITORY 1.5 AUT2021</v>
      </c>
      <c r="F658" s="1" t="s">
        <v>1347</v>
      </c>
      <c r="G658" s="1">
        <v>13014620</v>
      </c>
      <c r="H658" s="1">
        <v>11000000</v>
      </c>
    </row>
    <row r="659" spans="1:8" ht="13.5" customHeight="1" x14ac:dyDescent="0.3">
      <c r="A659" s="1" t="s">
        <v>93</v>
      </c>
      <c r="B659" s="1" t="s">
        <v>143</v>
      </c>
      <c r="C659" s="1" t="s">
        <v>144</v>
      </c>
      <c r="D659" s="1">
        <v>2021</v>
      </c>
      <c r="E659" s="1" t="str">
        <f t="shared" si="2"/>
        <v>TERRITORYTERRITORY 1.5 AUT2021</v>
      </c>
      <c r="F659" s="1" t="s">
        <v>2223</v>
      </c>
      <c r="G659" s="1">
        <v>14690000</v>
      </c>
      <c r="H659" s="1">
        <v>12990000</v>
      </c>
    </row>
    <row r="660" spans="1:8" ht="13.5" customHeight="1" x14ac:dyDescent="0.3">
      <c r="A660" s="1" t="s">
        <v>93</v>
      </c>
      <c r="B660" s="1" t="s">
        <v>143</v>
      </c>
      <c r="C660" s="1" t="s">
        <v>144</v>
      </c>
      <c r="D660" s="1">
        <v>2021</v>
      </c>
      <c r="E660" s="1" t="str">
        <f t="shared" si="2"/>
        <v>TERRITORYTERRITORY 1.5 AUT2021</v>
      </c>
      <c r="F660" s="1" t="s">
        <v>1861</v>
      </c>
      <c r="G660" s="1">
        <v>29980000</v>
      </c>
      <c r="H660" s="1">
        <v>27990000</v>
      </c>
    </row>
    <row r="661" spans="1:8" ht="13.5" customHeight="1" x14ac:dyDescent="0.3">
      <c r="A661" s="1" t="s">
        <v>93</v>
      </c>
      <c r="B661" s="1" t="s">
        <v>143</v>
      </c>
      <c r="C661" s="1" t="s">
        <v>144</v>
      </c>
      <c r="D661" s="1">
        <v>2021</v>
      </c>
      <c r="E661" s="1" t="str">
        <f t="shared" si="2"/>
        <v>TERRITORYTERRITORY 1.5 AUT2021</v>
      </c>
      <c r="F661" s="1" t="s">
        <v>2084</v>
      </c>
      <c r="G661" s="1">
        <v>15190000</v>
      </c>
      <c r="H661" s="1">
        <v>11500000</v>
      </c>
    </row>
    <row r="662" spans="1:8" ht="13.5" customHeight="1" x14ac:dyDescent="0.3">
      <c r="A662" s="1" t="s">
        <v>93</v>
      </c>
      <c r="B662" s="1" t="s">
        <v>143</v>
      </c>
      <c r="C662" s="1" t="s">
        <v>144</v>
      </c>
      <c r="D662" s="1">
        <v>2021</v>
      </c>
      <c r="E662" s="1" t="str">
        <f t="shared" si="2"/>
        <v>TERRITORYTERRITORY 1.5 AUT2021</v>
      </c>
      <c r="F662" s="1" t="s">
        <v>1520</v>
      </c>
      <c r="G662" s="1">
        <v>12990000</v>
      </c>
      <c r="H662" s="1">
        <v>11000000</v>
      </c>
    </row>
    <row r="663" spans="1:8" ht="13.5" customHeight="1" x14ac:dyDescent="0.3">
      <c r="A663" s="1" t="s">
        <v>93</v>
      </c>
      <c r="B663" s="1" t="s">
        <v>143</v>
      </c>
      <c r="C663" s="1" t="s">
        <v>144</v>
      </c>
      <c r="D663" s="1">
        <v>2021</v>
      </c>
      <c r="E663" s="1" t="str">
        <f t="shared" si="2"/>
        <v>TERRITORYTERRITORY 1.5 AUT2021</v>
      </c>
      <c r="F663" s="1" t="s">
        <v>1244</v>
      </c>
      <c r="G663" s="1">
        <v>12590000</v>
      </c>
      <c r="H663" s="1">
        <v>10500000</v>
      </c>
    </row>
    <row r="664" spans="1:8" ht="13.5" customHeight="1" x14ac:dyDescent="0.3">
      <c r="A664" s="1" t="s">
        <v>93</v>
      </c>
      <c r="B664" s="1" t="s">
        <v>143</v>
      </c>
      <c r="C664" s="1" t="s">
        <v>144</v>
      </c>
      <c r="D664" s="1">
        <v>2021</v>
      </c>
      <c r="E664" s="1" t="str">
        <f t="shared" si="2"/>
        <v>TERRITORYTERRITORY 1.5 AUT2021</v>
      </c>
      <c r="F664" s="1" t="s">
        <v>2404</v>
      </c>
      <c r="G664" s="1">
        <v>16990000</v>
      </c>
      <c r="H664" s="1">
        <v>17000000</v>
      </c>
    </row>
    <row r="665" spans="1:8" ht="13.5" customHeight="1" x14ac:dyDescent="0.3">
      <c r="A665" s="1" t="s">
        <v>93</v>
      </c>
      <c r="B665" s="1" t="s">
        <v>143</v>
      </c>
      <c r="C665" s="1" t="s">
        <v>144</v>
      </c>
      <c r="D665" s="1">
        <v>2021</v>
      </c>
      <c r="E665" s="1" t="str">
        <f t="shared" si="2"/>
        <v>TERRITORYTERRITORY 1.5 AUT2021</v>
      </c>
      <c r="F665" s="1" t="s">
        <v>1123</v>
      </c>
      <c r="G665" s="1">
        <v>12192120</v>
      </c>
      <c r="H665" s="1">
        <v>10489616</v>
      </c>
    </row>
    <row r="666" spans="1:8" ht="13.5" customHeight="1" x14ac:dyDescent="0.3">
      <c r="A666" s="1" t="s">
        <v>93</v>
      </c>
      <c r="B666" s="1" t="s">
        <v>143</v>
      </c>
      <c r="C666" s="1" t="s">
        <v>144</v>
      </c>
      <c r="D666" s="1">
        <v>2021</v>
      </c>
      <c r="E666" s="1" t="str">
        <f t="shared" si="2"/>
        <v>TERRITORYTERRITORY 1.5 AUT2021</v>
      </c>
      <c r="F666" s="1" t="s">
        <v>694</v>
      </c>
      <c r="G666" s="1">
        <v>12590000</v>
      </c>
      <c r="H666" s="1">
        <v>10300000</v>
      </c>
    </row>
    <row r="667" spans="1:8" ht="13.5" customHeight="1" x14ac:dyDescent="0.3">
      <c r="A667" s="1" t="s">
        <v>93</v>
      </c>
      <c r="B667" s="1" t="s">
        <v>143</v>
      </c>
      <c r="C667" s="1" t="s">
        <v>144</v>
      </c>
      <c r="D667" s="1">
        <v>2022</v>
      </c>
      <c r="E667" s="1" t="str">
        <f t="shared" si="2"/>
        <v>TERRITORYTERRITORY 1.5 AUT2022</v>
      </c>
      <c r="G667" s="1">
        <v>12290000</v>
      </c>
      <c r="H667" s="1">
        <v>0</v>
      </c>
    </row>
    <row r="668" spans="1:8" ht="13.5" customHeight="1" x14ac:dyDescent="0.3">
      <c r="A668" s="1" t="s">
        <v>93</v>
      </c>
      <c r="B668" s="1" t="s">
        <v>143</v>
      </c>
      <c r="C668" s="1" t="s">
        <v>144</v>
      </c>
      <c r="D668" s="1">
        <v>2022</v>
      </c>
      <c r="E668" s="1" t="str">
        <f t="shared" si="2"/>
        <v>TERRITORYTERRITORY 1.5 AUT2022</v>
      </c>
      <c r="F668" s="1" t="s">
        <v>759</v>
      </c>
      <c r="G668" s="1">
        <v>12490000</v>
      </c>
      <c r="H668" s="1">
        <v>10300000</v>
      </c>
    </row>
    <row r="669" spans="1:8" ht="13.5" customHeight="1" x14ac:dyDescent="0.3">
      <c r="A669" s="1" t="s">
        <v>93</v>
      </c>
      <c r="B669" s="1" t="s">
        <v>143</v>
      </c>
      <c r="C669" s="1" t="s">
        <v>144</v>
      </c>
      <c r="D669" s="1">
        <v>2022</v>
      </c>
      <c r="E669" s="1" t="str">
        <f t="shared" si="2"/>
        <v>TERRITORYTERRITORY 1.5 AUT2022</v>
      </c>
      <c r="F669" s="1" t="s">
        <v>1071</v>
      </c>
      <c r="G669" s="1">
        <v>12290000</v>
      </c>
      <c r="H669" s="1">
        <v>10000000</v>
      </c>
    </row>
    <row r="670" spans="1:8" ht="13.5" customHeight="1" x14ac:dyDescent="0.3">
      <c r="A670" s="1" t="s">
        <v>93</v>
      </c>
      <c r="B670" s="1" t="s">
        <v>143</v>
      </c>
      <c r="C670" s="1" t="s">
        <v>144</v>
      </c>
      <c r="D670" s="1">
        <v>2022</v>
      </c>
      <c r="E670" s="1" t="str">
        <f t="shared" si="2"/>
        <v>TERRITORYTERRITORY 1.5 AUT2022</v>
      </c>
      <c r="F670" s="1" t="s">
        <v>1849</v>
      </c>
      <c r="G670" s="1">
        <v>14790000</v>
      </c>
      <c r="H670" s="1">
        <v>12000000</v>
      </c>
    </row>
    <row r="671" spans="1:8" ht="13.5" customHeight="1" x14ac:dyDescent="0.3">
      <c r="A671" s="1" t="s">
        <v>93</v>
      </c>
      <c r="B671" s="1" t="s">
        <v>143</v>
      </c>
      <c r="C671" s="1" t="s">
        <v>144</v>
      </c>
      <c r="D671" s="1">
        <v>2022</v>
      </c>
      <c r="E671" s="1" t="str">
        <f t="shared" si="2"/>
        <v>TERRITORYTERRITORY 1.5 AUT2022</v>
      </c>
      <c r="F671" s="1" t="s">
        <v>1486</v>
      </c>
      <c r="G671" s="1">
        <v>15890000</v>
      </c>
      <c r="H671" s="1">
        <v>13500000</v>
      </c>
    </row>
    <row r="672" spans="1:8" ht="13.5" customHeight="1" x14ac:dyDescent="0.3">
      <c r="A672" s="1" t="s">
        <v>93</v>
      </c>
      <c r="B672" s="1" t="s">
        <v>143</v>
      </c>
      <c r="C672" s="1" t="s">
        <v>144</v>
      </c>
      <c r="D672" s="1">
        <v>2022</v>
      </c>
      <c r="E672" s="1" t="str">
        <f t="shared" si="2"/>
        <v>TERRITORYTERRITORY 1.5 AUT2022</v>
      </c>
      <c r="F672" s="1" t="s">
        <v>2408</v>
      </c>
      <c r="G672" s="1">
        <v>17590000</v>
      </c>
      <c r="H672" s="1">
        <v>17000000</v>
      </c>
    </row>
    <row r="673" spans="1:8" ht="13.5" customHeight="1" x14ac:dyDescent="0.3">
      <c r="A673" s="1" t="s">
        <v>93</v>
      </c>
      <c r="B673" s="1" t="s">
        <v>143</v>
      </c>
      <c r="C673" s="1" t="s">
        <v>144</v>
      </c>
      <c r="D673" s="1">
        <v>2022</v>
      </c>
      <c r="E673" s="1" t="str">
        <f t="shared" si="2"/>
        <v>TERRITORYTERRITORY 1.5 AUT2022</v>
      </c>
      <c r="F673" s="1" t="s">
        <v>1554</v>
      </c>
      <c r="G673" s="1">
        <v>14332150</v>
      </c>
      <c r="H673" s="1">
        <v>12000000</v>
      </c>
    </row>
    <row r="674" spans="1:8" ht="13.5" customHeight="1" x14ac:dyDescent="0.3">
      <c r="A674" s="1" t="s">
        <v>93</v>
      </c>
      <c r="B674" s="1" t="s">
        <v>143</v>
      </c>
      <c r="C674" s="1" t="s">
        <v>144</v>
      </c>
      <c r="D674" s="1">
        <v>2022</v>
      </c>
      <c r="E674" s="1" t="str">
        <f t="shared" si="2"/>
        <v>TERRITORYTERRITORY 1.5 AUT2022</v>
      </c>
      <c r="F674" s="1" t="s">
        <v>1204</v>
      </c>
      <c r="G674" s="1">
        <v>13990000</v>
      </c>
      <c r="H674" s="1">
        <v>11500000</v>
      </c>
    </row>
    <row r="675" spans="1:8" ht="13.5" customHeight="1" x14ac:dyDescent="0.3">
      <c r="A675" s="1" t="s">
        <v>93</v>
      </c>
      <c r="B675" s="1" t="s">
        <v>143</v>
      </c>
      <c r="C675" s="1" t="s">
        <v>144</v>
      </c>
      <c r="D675" s="1">
        <v>2022</v>
      </c>
      <c r="E675" s="1" t="str">
        <f t="shared" si="2"/>
        <v>TERRITORYTERRITORY 1.5 AUT2022</v>
      </c>
      <c r="F675" s="1" t="s">
        <v>544</v>
      </c>
      <c r="G675" s="1">
        <v>13350000</v>
      </c>
      <c r="H675" s="1">
        <v>11200000</v>
      </c>
    </row>
    <row r="676" spans="1:8" ht="13.5" customHeight="1" x14ac:dyDescent="0.3">
      <c r="A676" s="1" t="s">
        <v>93</v>
      </c>
      <c r="B676" s="1" t="s">
        <v>143</v>
      </c>
      <c r="C676" s="1" t="s">
        <v>144</v>
      </c>
      <c r="D676" s="1">
        <v>2022</v>
      </c>
      <c r="E676" s="1" t="str">
        <f t="shared" si="2"/>
        <v>TERRITORYTERRITORY 1.5 AUT2022</v>
      </c>
      <c r="F676" s="1" t="s">
        <v>855</v>
      </c>
      <c r="G676" s="1">
        <v>12590000</v>
      </c>
      <c r="H676" s="1">
        <v>10500000</v>
      </c>
    </row>
    <row r="677" spans="1:8" ht="13.5" customHeight="1" x14ac:dyDescent="0.3">
      <c r="A677" s="1" t="s">
        <v>93</v>
      </c>
      <c r="B677" s="1" t="s">
        <v>143</v>
      </c>
      <c r="C677" s="1" t="s">
        <v>144</v>
      </c>
      <c r="D677" s="1">
        <v>2023</v>
      </c>
      <c r="E677" s="1" t="str">
        <f t="shared" si="2"/>
        <v>TERRITORYTERRITORY 1.5 AUT2023</v>
      </c>
      <c r="F677" s="1" t="s">
        <v>1161</v>
      </c>
      <c r="G677" s="1">
        <v>15990000</v>
      </c>
      <c r="H677" s="1">
        <v>14300000</v>
      </c>
    </row>
    <row r="678" spans="1:8" ht="13.5" customHeight="1" x14ac:dyDescent="0.3">
      <c r="A678" s="1" t="s">
        <v>93</v>
      </c>
      <c r="B678" s="1" t="s">
        <v>143</v>
      </c>
      <c r="C678" s="1" t="s">
        <v>144</v>
      </c>
      <c r="D678" s="1">
        <v>2023</v>
      </c>
      <c r="E678" s="1" t="str">
        <f t="shared" si="2"/>
        <v>TERRITORYTERRITORY 1.5 AUT2023</v>
      </c>
      <c r="F678" s="1" t="s">
        <v>762</v>
      </c>
      <c r="G678" s="1">
        <v>12522120</v>
      </c>
      <c r="H678" s="1">
        <v>10750000</v>
      </c>
    </row>
    <row r="679" spans="1:8" ht="13.5" customHeight="1" x14ac:dyDescent="0.3">
      <c r="A679" s="1" t="s">
        <v>93</v>
      </c>
      <c r="B679" s="1" t="s">
        <v>143</v>
      </c>
      <c r="C679" s="1" t="s">
        <v>144</v>
      </c>
      <c r="D679" s="1">
        <v>2023</v>
      </c>
      <c r="E679" s="1" t="str">
        <f t="shared" si="2"/>
        <v>TERRITORYTERRITORY 1.5 AUT2023</v>
      </c>
      <c r="F679" s="1" t="s">
        <v>1104</v>
      </c>
      <c r="G679" s="1">
        <v>14990000</v>
      </c>
      <c r="H679" s="1">
        <v>12500000</v>
      </c>
    </row>
    <row r="680" spans="1:8" ht="13.5" customHeight="1" x14ac:dyDescent="0.3">
      <c r="A680" s="1" t="s">
        <v>93</v>
      </c>
      <c r="B680" s="1" t="s">
        <v>143</v>
      </c>
      <c r="C680" s="1" t="s">
        <v>144</v>
      </c>
      <c r="D680" s="1">
        <v>2023</v>
      </c>
      <c r="E680" s="1" t="str">
        <f t="shared" si="2"/>
        <v>TERRITORYTERRITORY 1.5 AUT2023</v>
      </c>
      <c r="F680" s="1" t="s">
        <v>1820</v>
      </c>
      <c r="G680" s="1">
        <v>16290000</v>
      </c>
      <c r="H680" s="1">
        <v>14415966</v>
      </c>
    </row>
    <row r="681" spans="1:8" ht="13.5" customHeight="1" x14ac:dyDescent="0.3">
      <c r="A681" s="1" t="s">
        <v>93</v>
      </c>
      <c r="B681" s="1" t="s">
        <v>143</v>
      </c>
      <c r="C681" s="1" t="s">
        <v>144</v>
      </c>
      <c r="D681" s="1">
        <v>2023</v>
      </c>
      <c r="E681" s="1" t="str">
        <f t="shared" si="2"/>
        <v>TERRITORYTERRITORY 1.5 AUT2023</v>
      </c>
      <c r="F681" s="1" t="s">
        <v>1616</v>
      </c>
      <c r="G681" s="1">
        <v>15590000</v>
      </c>
      <c r="H681" s="1">
        <v>13000000</v>
      </c>
    </row>
    <row r="682" spans="1:8" ht="13.5" customHeight="1" x14ac:dyDescent="0.3">
      <c r="A682" s="1" t="s">
        <v>93</v>
      </c>
      <c r="B682" s="1" t="s">
        <v>143</v>
      </c>
      <c r="C682" s="1" t="s">
        <v>144</v>
      </c>
      <c r="D682" s="1">
        <v>2023</v>
      </c>
      <c r="E682" s="1" t="str">
        <f t="shared" si="2"/>
        <v>TERRITORYTERRITORY 1.5 AUT2023</v>
      </c>
      <c r="F682" s="1" t="s">
        <v>1497</v>
      </c>
      <c r="G682" s="1">
        <v>14490000</v>
      </c>
      <c r="H682" s="1">
        <v>12300000</v>
      </c>
    </row>
    <row r="683" spans="1:8" ht="13.5" customHeight="1" x14ac:dyDescent="0.3">
      <c r="A683" s="1" t="s">
        <v>93</v>
      </c>
      <c r="B683" s="1" t="s">
        <v>143</v>
      </c>
      <c r="C683" s="1" t="s">
        <v>144</v>
      </c>
      <c r="D683" s="1">
        <v>2023</v>
      </c>
      <c r="E683" s="1" t="str">
        <f t="shared" si="2"/>
        <v>TERRITORYTERRITORY 1.5 AUT2023</v>
      </c>
      <c r="F683" s="1" t="s">
        <v>638</v>
      </c>
      <c r="G683" s="1">
        <v>12490000</v>
      </c>
      <c r="H683" s="1">
        <v>10500000</v>
      </c>
    </row>
    <row r="684" spans="1:8" ht="13.5" customHeight="1" x14ac:dyDescent="0.3">
      <c r="A684" s="1" t="s">
        <v>93</v>
      </c>
      <c r="B684" s="1" t="s">
        <v>143</v>
      </c>
      <c r="C684" s="1" t="s">
        <v>144</v>
      </c>
      <c r="D684" s="1">
        <v>2023</v>
      </c>
      <c r="E684" s="1" t="str">
        <f t="shared" si="2"/>
        <v>TERRITORYTERRITORY 1.5 AUT2023</v>
      </c>
      <c r="F684" s="1" t="s">
        <v>826</v>
      </c>
      <c r="G684" s="1">
        <v>13290000</v>
      </c>
      <c r="H684" s="1">
        <v>11000000</v>
      </c>
    </row>
    <row r="685" spans="1:8" ht="13.5" customHeight="1" x14ac:dyDescent="0.3">
      <c r="A685" s="1" t="s">
        <v>93</v>
      </c>
      <c r="B685" s="1" t="s">
        <v>143</v>
      </c>
      <c r="C685" s="1" t="s">
        <v>144</v>
      </c>
      <c r="D685" s="1">
        <v>2023</v>
      </c>
      <c r="E685" s="1" t="str">
        <f t="shared" si="2"/>
        <v>TERRITORYTERRITORY 1.5 AUT2023</v>
      </c>
      <c r="F685" s="1" t="s">
        <v>425</v>
      </c>
      <c r="G685" s="1">
        <v>13490000</v>
      </c>
      <c r="H685" s="1">
        <v>10600000</v>
      </c>
    </row>
    <row r="686" spans="1:8" ht="13.5" customHeight="1" x14ac:dyDescent="0.3">
      <c r="A686" s="1" t="s">
        <v>93</v>
      </c>
      <c r="B686" s="1" t="s">
        <v>143</v>
      </c>
      <c r="C686" s="1" t="s">
        <v>144</v>
      </c>
      <c r="D686" s="1">
        <v>2024</v>
      </c>
      <c r="E686" s="1" t="str">
        <f t="shared" si="2"/>
        <v>TERRITORYTERRITORY 1.5 AUT2024</v>
      </c>
      <c r="F686" s="1" t="s">
        <v>1060</v>
      </c>
      <c r="G686" s="1">
        <v>17990000</v>
      </c>
      <c r="H686" s="1">
        <v>15500000</v>
      </c>
    </row>
    <row r="687" spans="1:8" ht="13.5" customHeight="1" x14ac:dyDescent="0.3">
      <c r="A687" s="1" t="s">
        <v>93</v>
      </c>
      <c r="B687" s="1" t="s">
        <v>143</v>
      </c>
      <c r="C687" s="1" t="s">
        <v>4692</v>
      </c>
      <c r="D687" s="1">
        <v>2024</v>
      </c>
      <c r="E687" s="1" t="str">
        <f t="shared" si="2"/>
        <v>TERRITORYTERRITORY 4X2 1.5 AUT2024</v>
      </c>
      <c r="F687" s="1" t="s">
        <v>716</v>
      </c>
      <c r="G687" s="1">
        <v>17890000</v>
      </c>
      <c r="H687" s="1">
        <v>16500000</v>
      </c>
    </row>
    <row r="688" spans="1:8" ht="13.5" customHeight="1" x14ac:dyDescent="0.3">
      <c r="A688" s="1" t="s">
        <v>93</v>
      </c>
      <c r="B688" s="1" t="s">
        <v>143</v>
      </c>
      <c r="C688" s="1" t="s">
        <v>4692</v>
      </c>
      <c r="D688" s="1">
        <v>2024</v>
      </c>
      <c r="E688" s="1" t="str">
        <f t="shared" si="2"/>
        <v>TERRITORYTERRITORY 4X2 1.5 AUT2024</v>
      </c>
      <c r="F688" s="1" t="s">
        <v>690</v>
      </c>
      <c r="G688" s="1">
        <v>14990000</v>
      </c>
      <c r="H688" s="1">
        <v>12800000</v>
      </c>
    </row>
    <row r="689" spans="1:8" ht="13.5" customHeight="1" x14ac:dyDescent="0.3">
      <c r="A689" s="1" t="s">
        <v>93</v>
      </c>
      <c r="B689" s="1" t="s">
        <v>143</v>
      </c>
      <c r="C689" s="1" t="s">
        <v>4692</v>
      </c>
      <c r="D689" s="1">
        <v>2024</v>
      </c>
      <c r="E689" s="1" t="str">
        <f t="shared" si="2"/>
        <v>TERRITORYTERRITORY 4X2 1.5 AUT2024</v>
      </c>
      <c r="F689" s="1" t="s">
        <v>1722</v>
      </c>
      <c r="G689" s="1">
        <v>18290000</v>
      </c>
      <c r="H689" s="1">
        <v>16100000</v>
      </c>
    </row>
    <row r="690" spans="1:8" ht="13.5" customHeight="1" x14ac:dyDescent="0.3">
      <c r="A690" s="1" t="s">
        <v>93</v>
      </c>
      <c r="B690" s="1" t="s">
        <v>143</v>
      </c>
      <c r="C690" s="1" t="s">
        <v>4693</v>
      </c>
      <c r="D690" s="1">
        <v>2022</v>
      </c>
      <c r="E690" s="1" t="str">
        <f t="shared" si="2"/>
        <v>TERRITORYTERRITORY TITANIUM 1.5 AUT2022</v>
      </c>
      <c r="F690" s="1" t="s">
        <v>1189</v>
      </c>
      <c r="G690" s="1">
        <v>12990000</v>
      </c>
      <c r="H690" s="1">
        <v>10900000</v>
      </c>
    </row>
    <row r="691" spans="1:8" ht="13.5" customHeight="1" x14ac:dyDescent="0.3">
      <c r="A691" s="1" t="s">
        <v>93</v>
      </c>
      <c r="B691" s="1" t="s">
        <v>143</v>
      </c>
      <c r="C691" s="1" t="s">
        <v>4693</v>
      </c>
      <c r="D691" s="1">
        <v>2022</v>
      </c>
      <c r="E691" s="1" t="str">
        <f t="shared" si="2"/>
        <v>TERRITORYTERRITORY TITANIUM 1.5 AUT2022</v>
      </c>
      <c r="F691" s="1" t="s">
        <v>1217</v>
      </c>
      <c r="G691" s="1">
        <v>14140000</v>
      </c>
      <c r="H691" s="1">
        <v>11750000</v>
      </c>
    </row>
    <row r="692" spans="1:8" ht="13.5" customHeight="1" x14ac:dyDescent="0.3">
      <c r="A692" s="1" t="s">
        <v>93</v>
      </c>
      <c r="B692" s="1" t="s">
        <v>143</v>
      </c>
      <c r="C692" s="1" t="s">
        <v>4693</v>
      </c>
      <c r="D692" s="1">
        <v>2022</v>
      </c>
      <c r="E692" s="1" t="str">
        <f t="shared" si="2"/>
        <v>TERRITORYTERRITORY TITANIUM 1.5 AUT2022</v>
      </c>
      <c r="F692" s="1" t="s">
        <v>1923</v>
      </c>
      <c r="G692" s="1">
        <v>14990000</v>
      </c>
      <c r="H692" s="1">
        <v>13000000</v>
      </c>
    </row>
    <row r="693" spans="1:8" ht="13.5" customHeight="1" x14ac:dyDescent="0.3">
      <c r="A693" s="1" t="s">
        <v>93</v>
      </c>
      <c r="B693" s="1" t="s">
        <v>143</v>
      </c>
      <c r="C693" s="1" t="s">
        <v>4693</v>
      </c>
      <c r="D693" s="1">
        <v>2022</v>
      </c>
      <c r="E693" s="1" t="str">
        <f t="shared" si="2"/>
        <v>TERRITORYTERRITORY TITANIUM 1.5 AUT2022</v>
      </c>
      <c r="F693" s="1" t="s">
        <v>1442</v>
      </c>
      <c r="G693" s="1">
        <v>13690000</v>
      </c>
      <c r="H693" s="1">
        <v>11500000</v>
      </c>
    </row>
    <row r="694" spans="1:8" ht="13.5" customHeight="1" x14ac:dyDescent="0.3">
      <c r="A694" s="1" t="s">
        <v>93</v>
      </c>
      <c r="B694" s="1" t="s">
        <v>143</v>
      </c>
      <c r="C694" s="1" t="s">
        <v>147</v>
      </c>
      <c r="D694" s="1">
        <v>2025</v>
      </c>
      <c r="E694" s="1" t="str">
        <f t="shared" si="2"/>
        <v>TERRITORYTERRITORY TITANIUM 4X2 1.5 AUT2025</v>
      </c>
      <c r="F694" s="1" t="s">
        <v>909</v>
      </c>
      <c r="G694" s="1">
        <v>19990000</v>
      </c>
      <c r="H694" s="1">
        <v>17800000</v>
      </c>
    </row>
    <row r="695" spans="1:8" ht="13.5" customHeight="1" x14ac:dyDescent="0.3">
      <c r="A695" s="1" t="s">
        <v>93</v>
      </c>
      <c r="B695" s="1" t="s">
        <v>143</v>
      </c>
      <c r="C695" s="1" t="s">
        <v>147</v>
      </c>
      <c r="D695" s="1">
        <v>2025</v>
      </c>
      <c r="E695" s="1" t="str">
        <f t="shared" si="2"/>
        <v>TERRITORYTERRITORY TITANIUM 4X2 1.5 AUT2025</v>
      </c>
      <c r="F695" s="1" t="s">
        <v>440</v>
      </c>
      <c r="G695" s="1">
        <v>19490000</v>
      </c>
      <c r="H695" s="1">
        <v>16000000</v>
      </c>
    </row>
    <row r="696" spans="1:8" ht="13.5" customHeight="1" x14ac:dyDescent="0.3">
      <c r="A696" s="1" t="s">
        <v>93</v>
      </c>
      <c r="B696" s="1" t="s">
        <v>143</v>
      </c>
      <c r="C696" s="1" t="s">
        <v>147</v>
      </c>
      <c r="D696" s="1">
        <v>2025</v>
      </c>
      <c r="E696" s="1" t="str">
        <f t="shared" si="2"/>
        <v>TERRITORYTERRITORY TITANIUM 4X2 1.5 AUT2025</v>
      </c>
      <c r="F696" s="1" t="s">
        <v>591</v>
      </c>
      <c r="G696" s="1">
        <v>17990000</v>
      </c>
      <c r="H696" s="1">
        <v>15500000</v>
      </c>
    </row>
    <row r="697" spans="1:8" ht="13.5" customHeight="1" x14ac:dyDescent="0.3">
      <c r="A697" s="1" t="s">
        <v>93</v>
      </c>
      <c r="B697" s="1" t="s">
        <v>143</v>
      </c>
      <c r="C697" s="1" t="s">
        <v>4694</v>
      </c>
      <c r="D697" s="1">
        <v>2021</v>
      </c>
      <c r="E697" s="1" t="str">
        <f t="shared" si="2"/>
        <v>TERRITORYTERRITORY TREND 1.5 AT2021</v>
      </c>
      <c r="F697" s="1" t="s">
        <v>1610</v>
      </c>
      <c r="G697" s="1">
        <v>13390000</v>
      </c>
      <c r="H697" s="1">
        <v>11500000</v>
      </c>
    </row>
    <row r="698" spans="1:8" ht="13.5" customHeight="1" x14ac:dyDescent="0.3">
      <c r="A698" s="1" t="s">
        <v>93</v>
      </c>
      <c r="B698" s="1" t="s">
        <v>143</v>
      </c>
      <c r="C698" s="1" t="s">
        <v>4694</v>
      </c>
      <c r="D698" s="1">
        <v>2021</v>
      </c>
      <c r="E698" s="1" t="str">
        <f t="shared" si="2"/>
        <v>TERRITORYTERRITORY TREND 1.5 AT2021</v>
      </c>
      <c r="F698" s="1" t="s">
        <v>988</v>
      </c>
      <c r="G698" s="1">
        <v>12796338</v>
      </c>
      <c r="H698" s="1">
        <v>9300000</v>
      </c>
    </row>
    <row r="699" spans="1:8" ht="13.5" customHeight="1" x14ac:dyDescent="0.3">
      <c r="A699" s="1" t="s">
        <v>93</v>
      </c>
      <c r="B699" s="1" t="s">
        <v>143</v>
      </c>
      <c r="C699" s="1" t="s">
        <v>4694</v>
      </c>
      <c r="D699" s="1">
        <v>2022</v>
      </c>
      <c r="E699" s="1" t="str">
        <f t="shared" si="2"/>
        <v>TERRITORYTERRITORY TREND 1.5 AT2022</v>
      </c>
      <c r="F699" s="1" t="s">
        <v>715</v>
      </c>
      <c r="G699" s="1">
        <v>11990000</v>
      </c>
      <c r="H699" s="1">
        <v>9800000</v>
      </c>
    </row>
    <row r="700" spans="1:8" ht="13.5" customHeight="1" x14ac:dyDescent="0.3">
      <c r="A700" s="1" t="s">
        <v>93</v>
      </c>
      <c r="B700" s="1" t="s">
        <v>143</v>
      </c>
      <c r="C700" s="1" t="s">
        <v>4694</v>
      </c>
      <c r="D700" s="1">
        <v>2022</v>
      </c>
      <c r="E700" s="1" t="str">
        <f t="shared" si="2"/>
        <v>TERRITORYTERRITORY TREND 1.5 AT2022</v>
      </c>
      <c r="F700" s="1" t="s">
        <v>2444</v>
      </c>
      <c r="G700" s="1">
        <v>20390000</v>
      </c>
      <c r="H700" s="1">
        <v>18000000</v>
      </c>
    </row>
    <row r="701" spans="1:8" ht="13.5" customHeight="1" x14ac:dyDescent="0.3">
      <c r="A701" s="1" t="s">
        <v>93</v>
      </c>
      <c r="B701" s="1" t="s">
        <v>143</v>
      </c>
      <c r="C701" s="1" t="s">
        <v>4695</v>
      </c>
      <c r="D701" s="1">
        <v>2021</v>
      </c>
      <c r="E701" s="1" t="str">
        <f t="shared" si="2"/>
        <v>TERRITORYTERRITORY TREND 1.5 AUT2021</v>
      </c>
      <c r="F701" s="1" t="s">
        <v>905</v>
      </c>
      <c r="G701" s="1">
        <v>17290000</v>
      </c>
      <c r="H701" s="1">
        <v>14300000</v>
      </c>
    </row>
    <row r="702" spans="1:8" ht="13.5" customHeight="1" x14ac:dyDescent="0.3">
      <c r="A702" s="1" t="s">
        <v>93</v>
      </c>
      <c r="B702" s="1" t="s">
        <v>143</v>
      </c>
      <c r="C702" s="1" t="s">
        <v>4695</v>
      </c>
      <c r="D702" s="1">
        <v>2025</v>
      </c>
      <c r="E702" s="1" t="str">
        <f t="shared" si="2"/>
        <v>TERRITORYTERRITORY TREND 1.5 AUT2025</v>
      </c>
      <c r="F702" s="1" t="s">
        <v>376</v>
      </c>
      <c r="G702" s="1">
        <v>15690000</v>
      </c>
      <c r="H702" s="1">
        <v>12500000</v>
      </c>
    </row>
    <row r="703" spans="1:8" ht="13.5" customHeight="1" x14ac:dyDescent="0.3">
      <c r="A703" s="1" t="s">
        <v>93</v>
      </c>
      <c r="B703" s="1" t="s">
        <v>143</v>
      </c>
      <c r="C703" s="1" t="s">
        <v>4696</v>
      </c>
      <c r="D703" s="1">
        <v>2025</v>
      </c>
      <c r="E703" s="1" t="str">
        <f t="shared" si="2"/>
        <v>TERRITORYTERRITORY TREND 4X2 1.5 AUT2025</v>
      </c>
      <c r="F703" s="1" t="s">
        <v>1264</v>
      </c>
      <c r="G703" s="1">
        <v>15990000</v>
      </c>
      <c r="H703" s="1">
        <v>15500000</v>
      </c>
    </row>
    <row r="704" spans="1:8" ht="13.5" customHeight="1" x14ac:dyDescent="0.3">
      <c r="A704" s="1" t="s">
        <v>93</v>
      </c>
      <c r="B704" s="1" t="s">
        <v>3542</v>
      </c>
      <c r="C704" s="1" t="s">
        <v>4697</v>
      </c>
      <c r="D704" s="1">
        <v>2018</v>
      </c>
      <c r="E704" s="1" t="str">
        <f t="shared" si="2"/>
        <v>TRANSITTRANSIT 2.22018</v>
      </c>
      <c r="F704" s="1" t="s">
        <v>4698</v>
      </c>
      <c r="G704" s="1">
        <v>28500000</v>
      </c>
      <c r="H704" s="1">
        <v>26505000</v>
      </c>
    </row>
    <row r="705" spans="1:8" ht="13.5" customHeight="1" x14ac:dyDescent="0.3">
      <c r="A705" s="1" t="s">
        <v>93</v>
      </c>
      <c r="B705" s="1" t="s">
        <v>3542</v>
      </c>
      <c r="C705" s="1" t="s">
        <v>4697</v>
      </c>
      <c r="D705" s="1">
        <v>2021</v>
      </c>
      <c r="E705" s="1" t="str">
        <f t="shared" si="2"/>
        <v>TRANSITTRANSIT 2.22021</v>
      </c>
      <c r="F705" s="1" t="s">
        <v>2019</v>
      </c>
      <c r="G705" s="1">
        <v>21190000</v>
      </c>
      <c r="H705" s="1">
        <v>16500000</v>
      </c>
    </row>
    <row r="706" spans="1:8" ht="13.5" customHeight="1" x14ac:dyDescent="0.3">
      <c r="A706" s="1" t="s">
        <v>93</v>
      </c>
      <c r="B706" s="1" t="s">
        <v>3542</v>
      </c>
      <c r="C706" s="1" t="s">
        <v>4699</v>
      </c>
      <c r="D706" s="1">
        <v>2021</v>
      </c>
      <c r="E706" s="1" t="str">
        <f t="shared" si="2"/>
        <v>TRANSITTRANSIT CUSTOM FURGON 2.22021</v>
      </c>
      <c r="F706" s="1" t="s">
        <v>2151</v>
      </c>
      <c r="G706" s="1">
        <v>21190000</v>
      </c>
      <c r="H706" s="1">
        <v>20000000</v>
      </c>
    </row>
    <row r="707" spans="1:8" ht="13.5" customHeight="1" x14ac:dyDescent="0.3">
      <c r="A707" s="1" t="s">
        <v>4700</v>
      </c>
      <c r="B707" s="1" t="s">
        <v>4700</v>
      </c>
      <c r="C707" s="1" t="s">
        <v>4701</v>
      </c>
      <c r="D707" s="1">
        <v>2022</v>
      </c>
      <c r="E707" s="1" t="str">
        <f t="shared" si="2"/>
        <v>FOTONTM3 MAS 1.52022</v>
      </c>
      <c r="F707" s="1" t="s">
        <v>1728</v>
      </c>
      <c r="G707" s="1">
        <v>7290000</v>
      </c>
      <c r="H707" s="1">
        <v>6000000</v>
      </c>
    </row>
    <row r="708" spans="1:8" ht="13.5" customHeight="1" x14ac:dyDescent="0.3">
      <c r="A708" s="1" t="s">
        <v>4700</v>
      </c>
      <c r="B708" s="1" t="s">
        <v>4702</v>
      </c>
      <c r="C708" s="1" t="s">
        <v>4703</v>
      </c>
      <c r="D708" s="1">
        <v>2024</v>
      </c>
      <c r="E708" s="1" t="str">
        <f t="shared" si="2"/>
        <v>G7G7 MT 4X2 2.02024</v>
      </c>
      <c r="F708" s="1" t="s">
        <v>642</v>
      </c>
      <c r="G708" s="1">
        <v>11990000</v>
      </c>
      <c r="H708" s="1">
        <v>9500000</v>
      </c>
    </row>
    <row r="709" spans="1:8" ht="13.5" customHeight="1" x14ac:dyDescent="0.3">
      <c r="A709" s="1" t="s">
        <v>149</v>
      </c>
      <c r="B709" s="1" t="s">
        <v>4704</v>
      </c>
      <c r="C709" s="1" t="s">
        <v>4705</v>
      </c>
      <c r="D709" s="1">
        <v>2025</v>
      </c>
      <c r="E709" s="1" t="str">
        <f t="shared" si="2"/>
        <v>EMZOOM 1.5 TEMZOOM 1.5 AUT2025</v>
      </c>
      <c r="F709" s="1" t="s">
        <v>778</v>
      </c>
      <c r="G709" s="1">
        <v>14290000</v>
      </c>
      <c r="H709" s="1">
        <v>11800000</v>
      </c>
    </row>
    <row r="710" spans="1:8" ht="13.5" customHeight="1" x14ac:dyDescent="0.3">
      <c r="A710" s="1" t="s">
        <v>149</v>
      </c>
      <c r="B710" s="1" t="s">
        <v>149</v>
      </c>
      <c r="C710" s="1" t="s">
        <v>4706</v>
      </c>
      <c r="D710" s="1">
        <v>2022</v>
      </c>
      <c r="E710" s="1" t="str">
        <f t="shared" si="2"/>
        <v>GACGS4 POWER 1.52022</v>
      </c>
      <c r="F710" s="1" t="s">
        <v>2361</v>
      </c>
      <c r="G710" s="1">
        <v>11990000</v>
      </c>
      <c r="H710" s="1">
        <v>10000000</v>
      </c>
    </row>
    <row r="711" spans="1:8" ht="13.5" customHeight="1" x14ac:dyDescent="0.3">
      <c r="A711" s="1" t="s">
        <v>149</v>
      </c>
      <c r="B711" s="1" t="s">
        <v>149</v>
      </c>
      <c r="C711" s="1" t="s">
        <v>4707</v>
      </c>
      <c r="D711" s="1">
        <v>2022</v>
      </c>
      <c r="E711" s="1" t="str">
        <f t="shared" si="2"/>
        <v>GACGS4 POWER 1.5 AUT2022</v>
      </c>
      <c r="F711" s="1" t="s">
        <v>825</v>
      </c>
      <c r="G711" s="1">
        <v>10990000</v>
      </c>
      <c r="H711" s="1">
        <v>9000000</v>
      </c>
    </row>
    <row r="712" spans="1:8" ht="13.5" customHeight="1" x14ac:dyDescent="0.3">
      <c r="A712" s="1" t="s">
        <v>149</v>
      </c>
      <c r="B712" s="1" t="s">
        <v>4708</v>
      </c>
      <c r="C712" s="1" t="s">
        <v>4709</v>
      </c>
      <c r="D712" s="1">
        <v>2023</v>
      </c>
      <c r="E712" s="1" t="str">
        <f t="shared" si="2"/>
        <v>GS3 1.5LGS3 GE 1.3 AUT2023</v>
      </c>
      <c r="F712" s="1" t="s">
        <v>444</v>
      </c>
      <c r="G712" s="1">
        <v>11290000</v>
      </c>
      <c r="H712" s="1">
        <v>9000000</v>
      </c>
    </row>
    <row r="713" spans="1:8" ht="13.5" customHeight="1" x14ac:dyDescent="0.3">
      <c r="A713" s="1" t="s">
        <v>149</v>
      </c>
      <c r="B713" s="1" t="s">
        <v>4708</v>
      </c>
      <c r="C713" s="1" t="s">
        <v>4710</v>
      </c>
      <c r="D713" s="1">
        <v>2023</v>
      </c>
      <c r="E713" s="1" t="str">
        <f t="shared" si="2"/>
        <v>GS3 1.5LGS3 MT 1.52023</v>
      </c>
      <c r="F713" s="1" t="s">
        <v>443</v>
      </c>
      <c r="G713" s="1">
        <v>8290000</v>
      </c>
      <c r="H713" s="1">
        <v>7000000</v>
      </c>
    </row>
    <row r="714" spans="1:8" ht="13.5" customHeight="1" x14ac:dyDescent="0.3">
      <c r="A714" s="1" t="s">
        <v>149</v>
      </c>
      <c r="B714" s="1" t="s">
        <v>4708</v>
      </c>
      <c r="C714" s="1" t="s">
        <v>4711</v>
      </c>
      <c r="D714" s="1">
        <v>2024</v>
      </c>
      <c r="E714" s="1" t="str">
        <f t="shared" si="2"/>
        <v>GS3 1.5LGS3 POWER 1.52024</v>
      </c>
      <c r="F714" s="1" t="s">
        <v>1247</v>
      </c>
      <c r="G714" s="1">
        <v>11790000</v>
      </c>
      <c r="H714" s="1">
        <v>11000000</v>
      </c>
    </row>
    <row r="715" spans="1:8" ht="13.5" customHeight="1" x14ac:dyDescent="0.3">
      <c r="A715" s="1" t="s">
        <v>149</v>
      </c>
      <c r="B715" s="1" t="s">
        <v>4708</v>
      </c>
      <c r="C715" s="1" t="s">
        <v>4711</v>
      </c>
      <c r="D715" s="1">
        <v>2024</v>
      </c>
      <c r="E715" s="1" t="str">
        <f t="shared" si="2"/>
        <v>GS3 1.5LGS3 POWER 1.52024</v>
      </c>
      <c r="F715" s="1" t="s">
        <v>644</v>
      </c>
      <c r="G715" s="1">
        <v>10190000</v>
      </c>
      <c r="H715" s="1">
        <v>8500000</v>
      </c>
    </row>
    <row r="716" spans="1:8" ht="13.5" customHeight="1" x14ac:dyDescent="0.3">
      <c r="A716" s="1" t="s">
        <v>149</v>
      </c>
      <c r="B716" s="1" t="s">
        <v>4712</v>
      </c>
      <c r="C716" s="1" t="s">
        <v>4706</v>
      </c>
      <c r="D716" s="1">
        <v>2023</v>
      </c>
      <c r="E716" s="1" t="str">
        <f t="shared" si="2"/>
        <v>GS4 POWER 1.5TGS4 POWER 1.52023</v>
      </c>
      <c r="F716" s="1" t="s">
        <v>1535</v>
      </c>
      <c r="G716" s="1">
        <v>10990000</v>
      </c>
      <c r="H716" s="1">
        <v>9500000</v>
      </c>
    </row>
    <row r="717" spans="1:8" ht="13.5" customHeight="1" x14ac:dyDescent="0.3">
      <c r="A717" s="1" t="s">
        <v>3839</v>
      </c>
      <c r="B717" s="1" t="s">
        <v>3839</v>
      </c>
      <c r="C717" s="1" t="s">
        <v>4713</v>
      </c>
      <c r="D717" s="1">
        <v>2022</v>
      </c>
      <c r="E717" s="1" t="str">
        <f t="shared" si="2"/>
        <v>GEELYAZKARRA 1.5 AUT2022</v>
      </c>
      <c r="F717" s="1" t="s">
        <v>609</v>
      </c>
      <c r="G717" s="1">
        <v>10390000</v>
      </c>
      <c r="H717" s="1">
        <v>8500000</v>
      </c>
    </row>
    <row r="718" spans="1:8" ht="13.5" customHeight="1" x14ac:dyDescent="0.3">
      <c r="A718" s="1" t="s">
        <v>3839</v>
      </c>
      <c r="B718" s="1" t="s">
        <v>3839</v>
      </c>
      <c r="C718" s="1" t="s">
        <v>4713</v>
      </c>
      <c r="D718" s="1">
        <v>2023</v>
      </c>
      <c r="E718" s="1" t="str">
        <f t="shared" si="2"/>
        <v>GEELYAZKARRA 1.5 AUT2023</v>
      </c>
      <c r="F718" s="1" t="s">
        <v>1794</v>
      </c>
      <c r="G718" s="1">
        <v>13211620</v>
      </c>
      <c r="H718" s="1">
        <v>11500000</v>
      </c>
    </row>
    <row r="719" spans="1:8" ht="13.5" customHeight="1" x14ac:dyDescent="0.3">
      <c r="A719" s="1" t="s">
        <v>3839</v>
      </c>
      <c r="B719" s="1" t="s">
        <v>3839</v>
      </c>
      <c r="C719" s="1" t="s">
        <v>4714</v>
      </c>
      <c r="D719" s="1">
        <v>2022</v>
      </c>
      <c r="E719" s="1" t="str">
        <f t="shared" si="2"/>
        <v>GEELYCOOLRAY 1.5 AUT2022</v>
      </c>
      <c r="F719" s="1" t="s">
        <v>1283</v>
      </c>
      <c r="G719" s="1">
        <v>11890000</v>
      </c>
      <c r="H719" s="1">
        <v>10000000</v>
      </c>
    </row>
    <row r="720" spans="1:8" ht="13.5" customHeight="1" x14ac:dyDescent="0.3">
      <c r="A720" s="1" t="s">
        <v>3839</v>
      </c>
      <c r="B720" s="1" t="s">
        <v>3839</v>
      </c>
      <c r="C720" s="1" t="s">
        <v>4714</v>
      </c>
      <c r="D720" s="1">
        <v>2022</v>
      </c>
      <c r="E720" s="1" t="str">
        <f t="shared" si="2"/>
        <v>GEELYCOOLRAY 1.5 AUT2022</v>
      </c>
      <c r="F720" s="1" t="s">
        <v>1824</v>
      </c>
      <c r="G720" s="1">
        <v>13490000</v>
      </c>
      <c r="H720" s="1">
        <v>11000000</v>
      </c>
    </row>
    <row r="721" spans="1:8" ht="13.5" customHeight="1" x14ac:dyDescent="0.3">
      <c r="A721" s="1" t="s">
        <v>151</v>
      </c>
      <c r="B721" s="1" t="s">
        <v>151</v>
      </c>
      <c r="C721" s="1" t="s">
        <v>4715</v>
      </c>
      <c r="D721" s="1">
        <v>2019</v>
      </c>
      <c r="E721" s="1" t="str">
        <f t="shared" si="2"/>
        <v>GREAT WALL3 2.02019</v>
      </c>
      <c r="F721" s="1" t="s">
        <v>2380</v>
      </c>
      <c r="G721" s="1">
        <v>7990000</v>
      </c>
      <c r="H721" s="1">
        <v>6500000</v>
      </c>
    </row>
    <row r="722" spans="1:8" ht="13.5" customHeight="1" x14ac:dyDescent="0.3">
      <c r="A722" s="1" t="s">
        <v>151</v>
      </c>
      <c r="B722" s="1" t="s">
        <v>151</v>
      </c>
      <c r="C722" s="1" t="s">
        <v>4716</v>
      </c>
      <c r="D722" s="1">
        <v>2021</v>
      </c>
      <c r="E722" s="1" t="str">
        <f t="shared" si="2"/>
        <v>GREAT WALLC30 ELITE 1.52021</v>
      </c>
      <c r="F722" s="1" t="s">
        <v>453</v>
      </c>
      <c r="G722" s="1">
        <v>6890000</v>
      </c>
      <c r="H722" s="1">
        <v>5200000</v>
      </c>
    </row>
    <row r="723" spans="1:8" ht="13.5" customHeight="1" x14ac:dyDescent="0.3">
      <c r="A723" s="1" t="s">
        <v>151</v>
      </c>
      <c r="B723" s="1" t="s">
        <v>151</v>
      </c>
      <c r="C723" s="1" t="s">
        <v>4717</v>
      </c>
      <c r="D723" s="1">
        <v>2018</v>
      </c>
      <c r="E723" s="1" t="str">
        <f t="shared" si="2"/>
        <v>GREAT WALLH6 1.52018</v>
      </c>
      <c r="F723" s="1" t="s">
        <v>1760</v>
      </c>
      <c r="G723" s="1">
        <v>7900000</v>
      </c>
      <c r="H723" s="1">
        <v>6399159</v>
      </c>
    </row>
    <row r="724" spans="1:8" ht="13.5" customHeight="1" x14ac:dyDescent="0.3">
      <c r="A724" s="1" t="s">
        <v>151</v>
      </c>
      <c r="B724" s="1" t="s">
        <v>151</v>
      </c>
      <c r="C724" s="1" t="s">
        <v>4718</v>
      </c>
      <c r="D724" s="1">
        <v>2018</v>
      </c>
      <c r="E724" s="1" t="str">
        <f t="shared" si="2"/>
        <v>GREAT WALLH6 LUXURY 1.52018</v>
      </c>
      <c r="F724" s="1" t="s">
        <v>2177</v>
      </c>
      <c r="G724" s="1">
        <v>8990000</v>
      </c>
      <c r="H724" s="1">
        <v>7700000</v>
      </c>
    </row>
    <row r="725" spans="1:8" ht="13.5" customHeight="1" x14ac:dyDescent="0.3">
      <c r="A725" s="1" t="s">
        <v>151</v>
      </c>
      <c r="B725" s="1" t="s">
        <v>151</v>
      </c>
      <c r="C725" s="1" t="s">
        <v>4719</v>
      </c>
      <c r="D725" s="1">
        <v>2021</v>
      </c>
      <c r="E725" s="1" t="str">
        <f t="shared" si="2"/>
        <v>GREAT WALLM4 HB 1.52021</v>
      </c>
      <c r="F725" s="1" t="s">
        <v>1343</v>
      </c>
      <c r="G725" s="1">
        <v>7595000</v>
      </c>
      <c r="H725" s="1">
        <v>6000000</v>
      </c>
    </row>
    <row r="726" spans="1:8" ht="13.5" customHeight="1" x14ac:dyDescent="0.3">
      <c r="A726" s="1" t="s">
        <v>151</v>
      </c>
      <c r="B726" s="1" t="s">
        <v>151</v>
      </c>
      <c r="C726" s="1" t="s">
        <v>4719</v>
      </c>
      <c r="D726" s="1">
        <v>2021</v>
      </c>
      <c r="E726" s="1" t="str">
        <f t="shared" si="2"/>
        <v>GREAT WALLM4 HB 1.52021</v>
      </c>
      <c r="F726" s="1" t="s">
        <v>1573</v>
      </c>
      <c r="G726" s="1">
        <v>6890000</v>
      </c>
      <c r="H726" s="1">
        <v>5700000</v>
      </c>
    </row>
    <row r="727" spans="1:8" ht="13.5" customHeight="1" x14ac:dyDescent="0.3">
      <c r="A727" s="1" t="s">
        <v>151</v>
      </c>
      <c r="B727" s="1" t="s">
        <v>151</v>
      </c>
      <c r="C727" s="1" t="s">
        <v>4720</v>
      </c>
      <c r="D727" s="1">
        <v>2021</v>
      </c>
      <c r="E727" s="1" t="str">
        <f t="shared" si="2"/>
        <v>GREAT WALLM4 LE 1.52021</v>
      </c>
      <c r="F727" s="1" t="s">
        <v>1671</v>
      </c>
      <c r="G727" s="1">
        <v>6711620</v>
      </c>
      <c r="H727" s="1">
        <v>5700000</v>
      </c>
    </row>
    <row r="728" spans="1:8" ht="13.5" customHeight="1" x14ac:dyDescent="0.3">
      <c r="A728" s="1" t="s">
        <v>151</v>
      </c>
      <c r="B728" s="1" t="s">
        <v>151</v>
      </c>
      <c r="C728" s="1" t="s">
        <v>4721</v>
      </c>
      <c r="D728" s="1">
        <v>2017</v>
      </c>
      <c r="E728" s="1" t="str">
        <f t="shared" si="2"/>
        <v>GREAT WALLNEW HAVAL H3 LE 2.02017</v>
      </c>
      <c r="F728" s="1" t="s">
        <v>1974</v>
      </c>
      <c r="G728" s="1">
        <v>6990000</v>
      </c>
      <c r="H728" s="1">
        <v>4900000</v>
      </c>
    </row>
    <row r="729" spans="1:8" ht="13.5" customHeight="1" x14ac:dyDescent="0.3">
      <c r="A729" s="1" t="s">
        <v>151</v>
      </c>
      <c r="B729" s="1" t="s">
        <v>151</v>
      </c>
      <c r="C729" s="1" t="s">
        <v>4722</v>
      </c>
      <c r="D729" s="1">
        <v>2022</v>
      </c>
      <c r="E729" s="1" t="str">
        <f t="shared" si="2"/>
        <v>GREAT WALLPOER 4X4 2.02022</v>
      </c>
      <c r="F729" s="1" t="s">
        <v>1512</v>
      </c>
      <c r="G729" s="1">
        <v>15990000</v>
      </c>
      <c r="H729" s="1">
        <v>13500000</v>
      </c>
    </row>
    <row r="730" spans="1:8" ht="13.5" customHeight="1" x14ac:dyDescent="0.3">
      <c r="A730" s="1" t="s">
        <v>151</v>
      </c>
      <c r="B730" s="1" t="s">
        <v>151</v>
      </c>
      <c r="C730" s="1" t="s">
        <v>4723</v>
      </c>
      <c r="D730" s="1">
        <v>2022</v>
      </c>
      <c r="E730" s="1" t="str">
        <f t="shared" si="2"/>
        <v>GREAT WALLPOER DELUXE 2.02022</v>
      </c>
      <c r="F730" s="1" t="s">
        <v>1155</v>
      </c>
      <c r="G730" s="1">
        <v>13590000</v>
      </c>
      <c r="H730" s="1">
        <v>11500000</v>
      </c>
    </row>
    <row r="731" spans="1:8" ht="13.5" customHeight="1" x14ac:dyDescent="0.3">
      <c r="A731" s="1" t="s">
        <v>151</v>
      </c>
      <c r="B731" s="1" t="s">
        <v>151</v>
      </c>
      <c r="C731" s="1" t="s">
        <v>4724</v>
      </c>
      <c r="D731" s="1">
        <v>2022</v>
      </c>
      <c r="E731" s="1" t="str">
        <f t="shared" si="2"/>
        <v>GREAT WALLPOER DELUXE 4X4 2.02022</v>
      </c>
      <c r="F731" s="1" t="s">
        <v>574</v>
      </c>
      <c r="G731" s="1">
        <v>14490000</v>
      </c>
      <c r="H731" s="1">
        <v>12200000</v>
      </c>
    </row>
    <row r="732" spans="1:8" ht="13.5" customHeight="1" x14ac:dyDescent="0.3">
      <c r="A732" s="1" t="s">
        <v>151</v>
      </c>
      <c r="B732" s="1" t="s">
        <v>151</v>
      </c>
      <c r="C732" s="1" t="s">
        <v>152</v>
      </c>
      <c r="D732" s="1">
        <v>2024</v>
      </c>
      <c r="E732" s="1" t="str">
        <f t="shared" si="2"/>
        <v>GREAT WALLPOER MT 4X4 2.02024</v>
      </c>
      <c r="F732" s="1" t="s">
        <v>901</v>
      </c>
      <c r="G732" s="1">
        <v>19590000</v>
      </c>
      <c r="H732" s="1">
        <v>17000000</v>
      </c>
    </row>
    <row r="733" spans="1:8" ht="13.5" customHeight="1" x14ac:dyDescent="0.3">
      <c r="A733" s="1" t="s">
        <v>151</v>
      </c>
      <c r="B733" s="1" t="s">
        <v>151</v>
      </c>
      <c r="C733" s="1" t="s">
        <v>152</v>
      </c>
      <c r="D733" s="1">
        <v>2024</v>
      </c>
      <c r="E733" s="1" t="str">
        <f t="shared" si="2"/>
        <v>GREAT WALLPOER MT 4X4 2.02024</v>
      </c>
      <c r="F733" s="1" t="s">
        <v>915</v>
      </c>
      <c r="G733" s="1">
        <v>17990000</v>
      </c>
      <c r="H733" s="1">
        <v>16200000</v>
      </c>
    </row>
    <row r="734" spans="1:8" ht="13.5" customHeight="1" x14ac:dyDescent="0.3">
      <c r="A734" s="1" t="s">
        <v>151</v>
      </c>
      <c r="B734" s="1" t="s">
        <v>151</v>
      </c>
      <c r="C734" s="1" t="s">
        <v>152</v>
      </c>
      <c r="D734" s="1">
        <v>2024</v>
      </c>
      <c r="E734" s="1" t="str">
        <f t="shared" si="2"/>
        <v>GREAT WALLPOER MT 4X4 2.02024</v>
      </c>
      <c r="F734" s="1" t="s">
        <v>914</v>
      </c>
      <c r="G734" s="1">
        <v>17990000</v>
      </c>
      <c r="H734" s="1">
        <v>15800000</v>
      </c>
    </row>
    <row r="735" spans="1:8" ht="13.5" customHeight="1" x14ac:dyDescent="0.3">
      <c r="A735" s="1" t="s">
        <v>151</v>
      </c>
      <c r="B735" s="1" t="s">
        <v>151</v>
      </c>
      <c r="C735" s="1" t="s">
        <v>152</v>
      </c>
      <c r="D735" s="1">
        <v>2024</v>
      </c>
      <c r="E735" s="1" t="str">
        <f t="shared" si="2"/>
        <v>GREAT WALLPOER MT 4X4 2.02024</v>
      </c>
      <c r="F735" s="1" t="s">
        <v>913</v>
      </c>
      <c r="G735" s="1">
        <v>17990000</v>
      </c>
      <c r="H735" s="1">
        <v>16200000</v>
      </c>
    </row>
    <row r="736" spans="1:8" ht="13.5" customHeight="1" x14ac:dyDescent="0.3">
      <c r="A736" s="1" t="s">
        <v>151</v>
      </c>
      <c r="B736" s="1" t="s">
        <v>151</v>
      </c>
      <c r="C736" s="1" t="s">
        <v>4725</v>
      </c>
      <c r="D736" s="1">
        <v>2025</v>
      </c>
      <c r="E736" s="1" t="str">
        <f t="shared" si="2"/>
        <v>GREAT WALLPOER PLUS 4X4 2.0 AUT2025</v>
      </c>
      <c r="F736" s="1" t="s">
        <v>999</v>
      </c>
      <c r="G736" s="1">
        <v>23990000</v>
      </c>
      <c r="H736" s="1">
        <v>22000000</v>
      </c>
    </row>
    <row r="737" spans="1:8" ht="13.5" customHeight="1" x14ac:dyDescent="0.3">
      <c r="A737" s="1" t="s">
        <v>151</v>
      </c>
      <c r="B737" s="1" t="s">
        <v>151</v>
      </c>
      <c r="C737" s="1" t="s">
        <v>4726</v>
      </c>
      <c r="D737" s="1">
        <v>2022</v>
      </c>
      <c r="E737" s="1" t="str">
        <f t="shared" si="2"/>
        <v>GREAT WALLWINGLE 4P 2.22022</v>
      </c>
      <c r="F737" s="1" t="s">
        <v>1370</v>
      </c>
      <c r="G737" s="1">
        <v>8490000</v>
      </c>
      <c r="H737" s="1">
        <v>7000000</v>
      </c>
    </row>
    <row r="738" spans="1:8" ht="13.5" customHeight="1" x14ac:dyDescent="0.3">
      <c r="A738" s="1" t="s">
        <v>151</v>
      </c>
      <c r="B738" s="1" t="s">
        <v>151</v>
      </c>
      <c r="C738" s="1" t="s">
        <v>4727</v>
      </c>
      <c r="D738" s="1">
        <v>2021</v>
      </c>
      <c r="E738" s="1" t="str">
        <f t="shared" si="2"/>
        <v>GREAT WALLWINGLE 5 2.22021</v>
      </c>
      <c r="F738" s="1" t="s">
        <v>1184</v>
      </c>
      <c r="G738" s="1">
        <v>7990000</v>
      </c>
      <c r="H738" s="1">
        <v>6000000</v>
      </c>
    </row>
    <row r="739" spans="1:8" ht="13.5" customHeight="1" x14ac:dyDescent="0.3">
      <c r="A739" s="1" t="s">
        <v>151</v>
      </c>
      <c r="B739" s="1" t="s">
        <v>151</v>
      </c>
      <c r="C739" s="1" t="s">
        <v>4728</v>
      </c>
      <c r="D739" s="1">
        <v>2020</v>
      </c>
      <c r="E739" s="1" t="str">
        <f t="shared" si="2"/>
        <v>GREAT WALLWINGLE 5 G ELITE 2.22020</v>
      </c>
      <c r="F739" s="1" t="s">
        <v>2345</v>
      </c>
      <c r="G739" s="1">
        <v>8290000</v>
      </c>
      <c r="H739" s="1">
        <v>7200000</v>
      </c>
    </row>
    <row r="740" spans="1:8" ht="13.5" customHeight="1" x14ac:dyDescent="0.3">
      <c r="A740" s="1" t="s">
        <v>151</v>
      </c>
      <c r="B740" s="1" t="s">
        <v>151</v>
      </c>
      <c r="C740" s="1" t="s">
        <v>4728</v>
      </c>
      <c r="D740" s="1">
        <v>2020</v>
      </c>
      <c r="E740" s="1" t="str">
        <f t="shared" si="2"/>
        <v>GREAT WALLWINGLE 5 G ELITE 2.22020</v>
      </c>
      <c r="F740" s="1" t="s">
        <v>1589</v>
      </c>
      <c r="G740" s="1">
        <v>8990000</v>
      </c>
      <c r="H740" s="1">
        <v>5900000</v>
      </c>
    </row>
    <row r="741" spans="1:8" ht="13.5" customHeight="1" x14ac:dyDescent="0.3">
      <c r="A741" s="1" t="s">
        <v>151</v>
      </c>
      <c r="B741" s="1" t="s">
        <v>151</v>
      </c>
      <c r="C741" s="1" t="s">
        <v>4729</v>
      </c>
      <c r="D741" s="1">
        <v>2024</v>
      </c>
      <c r="E741" s="1" t="str">
        <f t="shared" si="2"/>
        <v>GREAT WALLWINGLE 7 2.42024</v>
      </c>
      <c r="F741" s="1" t="s">
        <v>899</v>
      </c>
      <c r="G741" s="1">
        <v>11990000</v>
      </c>
      <c r="H741" s="1">
        <v>10000000</v>
      </c>
    </row>
    <row r="742" spans="1:8" ht="13.5" customHeight="1" x14ac:dyDescent="0.3">
      <c r="A742" s="1" t="s">
        <v>151</v>
      </c>
      <c r="B742" s="1" t="s">
        <v>151</v>
      </c>
      <c r="C742" s="1" t="s">
        <v>4730</v>
      </c>
      <c r="D742" s="1">
        <v>2024</v>
      </c>
      <c r="E742" s="1" t="str">
        <f t="shared" si="2"/>
        <v>GREAT WALLWINGLE 7 TM 4X4 2.42024</v>
      </c>
      <c r="F742" s="1" t="s">
        <v>1258</v>
      </c>
      <c r="G742" s="1">
        <v>13990000</v>
      </c>
      <c r="H742" s="1">
        <v>11200000</v>
      </c>
    </row>
    <row r="743" spans="1:8" ht="13.5" customHeight="1" x14ac:dyDescent="0.3">
      <c r="A743" s="1" t="s">
        <v>151</v>
      </c>
      <c r="B743" s="1" t="s">
        <v>4731</v>
      </c>
      <c r="C743" s="1" t="s">
        <v>4732</v>
      </c>
      <c r="D743" s="1">
        <v>2023</v>
      </c>
      <c r="E743" s="1" t="str">
        <f t="shared" si="2"/>
        <v>WINGLEWINGLE 5 ELITE 2.02023</v>
      </c>
      <c r="F743" s="1" t="s">
        <v>473</v>
      </c>
      <c r="G743" s="1">
        <v>10590000</v>
      </c>
      <c r="H743" s="1">
        <v>9000000</v>
      </c>
    </row>
    <row r="744" spans="1:8" ht="13.5" customHeight="1" x14ac:dyDescent="0.3">
      <c r="A744" s="1" t="s">
        <v>157</v>
      </c>
      <c r="B744" s="1" t="s">
        <v>4733</v>
      </c>
      <c r="C744" s="1" t="s">
        <v>4734</v>
      </c>
      <c r="D744" s="1">
        <v>2022</v>
      </c>
      <c r="E744" s="1" t="str">
        <f t="shared" si="2"/>
        <v>DARGODARGO 4X4 2.0 AUT2022</v>
      </c>
      <c r="F744" s="1" t="s">
        <v>1404</v>
      </c>
      <c r="G744" s="1">
        <v>19990000</v>
      </c>
      <c r="H744" s="1">
        <v>18000000</v>
      </c>
    </row>
    <row r="745" spans="1:8" ht="13.5" customHeight="1" x14ac:dyDescent="0.3">
      <c r="A745" s="1" t="s">
        <v>157</v>
      </c>
      <c r="B745" s="1" t="s">
        <v>161</v>
      </c>
      <c r="C745" s="1" t="s">
        <v>4735</v>
      </c>
      <c r="D745" s="1">
        <v>2022</v>
      </c>
      <c r="E745" s="1" t="str">
        <f t="shared" si="2"/>
        <v>H6H6 DELUXE 2.0 AUT2022</v>
      </c>
      <c r="F745" s="1" t="s">
        <v>1107</v>
      </c>
      <c r="G745" s="1">
        <v>15575620</v>
      </c>
      <c r="H745" s="1">
        <v>13500000</v>
      </c>
    </row>
    <row r="746" spans="1:8" ht="13.5" customHeight="1" x14ac:dyDescent="0.3">
      <c r="A746" s="1" t="s">
        <v>157</v>
      </c>
      <c r="B746" s="1" t="s">
        <v>161</v>
      </c>
      <c r="C746" s="1" t="s">
        <v>4736</v>
      </c>
      <c r="D746" s="1">
        <v>2021</v>
      </c>
      <c r="E746" s="1" t="str">
        <f t="shared" si="2"/>
        <v>H6H6 ELITE 1.52021</v>
      </c>
      <c r="F746" s="1" t="s">
        <v>421</v>
      </c>
      <c r="G746" s="1">
        <v>10290000</v>
      </c>
      <c r="H746" s="1">
        <v>8000000</v>
      </c>
    </row>
    <row r="747" spans="1:8" ht="13.5" customHeight="1" x14ac:dyDescent="0.3">
      <c r="A747" s="1" t="s">
        <v>157</v>
      </c>
      <c r="B747" s="1" t="s">
        <v>161</v>
      </c>
      <c r="C747" s="1" t="s">
        <v>4737</v>
      </c>
      <c r="D747" s="1">
        <v>2021</v>
      </c>
      <c r="E747" s="1" t="str">
        <f t="shared" si="2"/>
        <v>H6H6 ELITE 2.0 AUT2021</v>
      </c>
      <c r="F747" s="1" t="s">
        <v>1912</v>
      </c>
      <c r="G747" s="1">
        <v>12490000</v>
      </c>
      <c r="H747" s="1">
        <v>11500000</v>
      </c>
    </row>
    <row r="748" spans="1:8" ht="13.5" customHeight="1" x14ac:dyDescent="0.3">
      <c r="A748" s="1" t="s">
        <v>157</v>
      </c>
      <c r="B748" s="1" t="s">
        <v>161</v>
      </c>
      <c r="C748" s="1" t="s">
        <v>4737</v>
      </c>
      <c r="D748" s="1">
        <v>2021</v>
      </c>
      <c r="E748" s="1" t="str">
        <f t="shared" si="2"/>
        <v>H6H6 ELITE 2.0 AUT2021</v>
      </c>
      <c r="F748" s="1" t="s">
        <v>671</v>
      </c>
      <c r="G748" s="1">
        <v>13390000</v>
      </c>
      <c r="H748" s="1">
        <v>11300000</v>
      </c>
    </row>
    <row r="749" spans="1:8" ht="13.5" customHeight="1" x14ac:dyDescent="0.3">
      <c r="A749" s="1" t="s">
        <v>157</v>
      </c>
      <c r="B749" s="1" t="s">
        <v>161</v>
      </c>
      <c r="C749" s="1" t="s">
        <v>162</v>
      </c>
      <c r="D749" s="1">
        <v>2024</v>
      </c>
      <c r="E749" s="1" t="str">
        <f t="shared" si="2"/>
        <v>H6H6 GT DCT 4X4 2.0 AUT2024</v>
      </c>
      <c r="F749" s="1" t="s">
        <v>597</v>
      </c>
      <c r="G749" s="1">
        <v>18690000</v>
      </c>
      <c r="H749" s="1">
        <v>16000000</v>
      </c>
    </row>
    <row r="750" spans="1:8" ht="13.5" customHeight="1" x14ac:dyDescent="0.3">
      <c r="A750" s="1" t="s">
        <v>157</v>
      </c>
      <c r="B750" s="1" t="s">
        <v>161</v>
      </c>
      <c r="C750" s="1" t="s">
        <v>4738</v>
      </c>
      <c r="D750" s="1">
        <v>2024</v>
      </c>
      <c r="E750" s="1" t="str">
        <f t="shared" si="2"/>
        <v>H6H6 HEV TURBO 1.5 AUT2024</v>
      </c>
      <c r="F750" s="1" t="s">
        <v>982</v>
      </c>
      <c r="G750" s="1">
        <v>21990000</v>
      </c>
      <c r="H750" s="1">
        <v>18800000</v>
      </c>
    </row>
    <row r="751" spans="1:8" ht="13.5" customHeight="1" x14ac:dyDescent="0.3">
      <c r="A751" s="1" t="s">
        <v>157</v>
      </c>
      <c r="B751" s="1" t="s">
        <v>161</v>
      </c>
      <c r="C751" s="1" t="s">
        <v>4739</v>
      </c>
      <c r="D751" s="1">
        <v>2021</v>
      </c>
      <c r="E751" s="1" t="str">
        <f t="shared" si="2"/>
        <v>H6H6 TURBO DCT 2.0 AUT2021</v>
      </c>
      <c r="F751" s="1" t="s">
        <v>748</v>
      </c>
      <c r="G751" s="1">
        <v>13990000</v>
      </c>
      <c r="H751" s="1">
        <v>12000000</v>
      </c>
    </row>
    <row r="752" spans="1:8" ht="13.5" customHeight="1" x14ac:dyDescent="0.3">
      <c r="A752" s="1" t="s">
        <v>157</v>
      </c>
      <c r="B752" s="1" t="s">
        <v>161</v>
      </c>
      <c r="C752" s="1" t="s">
        <v>4739</v>
      </c>
      <c r="D752" s="1">
        <v>2022</v>
      </c>
      <c r="E752" s="1" t="str">
        <f t="shared" si="2"/>
        <v>H6H6 TURBO DCT 2.0 AUT2022</v>
      </c>
      <c r="F752" s="1" t="s">
        <v>1290</v>
      </c>
      <c r="G752" s="1">
        <v>16490000</v>
      </c>
      <c r="H752" s="1">
        <v>14000000</v>
      </c>
    </row>
    <row r="753" spans="1:8" ht="13.5" customHeight="1" x14ac:dyDescent="0.3">
      <c r="A753" s="1" t="s">
        <v>157</v>
      </c>
      <c r="B753" s="1" t="s">
        <v>164</v>
      </c>
      <c r="C753" s="1" t="s">
        <v>4740</v>
      </c>
      <c r="D753" s="1">
        <v>2024</v>
      </c>
      <c r="E753" s="1" t="str">
        <f t="shared" si="2"/>
        <v>JOLIONJOLION 4X2 1.5 AUT2024</v>
      </c>
      <c r="F753" s="1" t="s">
        <v>1821</v>
      </c>
      <c r="G753" s="1">
        <v>19490000</v>
      </c>
      <c r="H753" s="1">
        <v>16500000</v>
      </c>
    </row>
    <row r="754" spans="1:8" ht="13.5" customHeight="1" x14ac:dyDescent="0.3">
      <c r="A754" s="1" t="s">
        <v>157</v>
      </c>
      <c r="B754" s="1" t="s">
        <v>164</v>
      </c>
      <c r="C754" s="1" t="s">
        <v>4741</v>
      </c>
      <c r="D754" s="1">
        <v>2024</v>
      </c>
      <c r="E754" s="1" t="str">
        <f t="shared" si="2"/>
        <v>JOLIONJOLION 4X2 1.5 MT2024</v>
      </c>
      <c r="F754" s="1" t="s">
        <v>541</v>
      </c>
      <c r="G754" s="1">
        <v>11290000</v>
      </c>
      <c r="H754" s="1">
        <v>9500000</v>
      </c>
    </row>
    <row r="755" spans="1:8" ht="13.5" customHeight="1" x14ac:dyDescent="0.3">
      <c r="A755" s="1" t="s">
        <v>157</v>
      </c>
      <c r="B755" s="1" t="s">
        <v>164</v>
      </c>
      <c r="C755" s="1" t="s">
        <v>4742</v>
      </c>
      <c r="D755" s="1">
        <v>2022</v>
      </c>
      <c r="E755" s="1" t="str">
        <f t="shared" si="2"/>
        <v>JOLIONJOLION ELITE 1.52022</v>
      </c>
      <c r="F755" s="1" t="s">
        <v>1491</v>
      </c>
      <c r="G755" s="1">
        <v>11990000</v>
      </c>
      <c r="H755" s="1">
        <v>9800000</v>
      </c>
    </row>
    <row r="756" spans="1:8" ht="13.5" customHeight="1" x14ac:dyDescent="0.3">
      <c r="A756" s="1" t="s">
        <v>157</v>
      </c>
      <c r="B756" s="1" t="s">
        <v>164</v>
      </c>
      <c r="C756" s="1" t="s">
        <v>4742</v>
      </c>
      <c r="D756" s="1">
        <v>2023</v>
      </c>
      <c r="E756" s="1" t="str">
        <f t="shared" si="2"/>
        <v>JOLIONJOLION ELITE 1.52023</v>
      </c>
      <c r="F756" s="1" t="s">
        <v>1626</v>
      </c>
      <c r="G756" s="1">
        <v>12330000</v>
      </c>
      <c r="H756" s="1">
        <v>10500000</v>
      </c>
    </row>
    <row r="757" spans="1:8" ht="13.5" customHeight="1" x14ac:dyDescent="0.3">
      <c r="A757" s="1" t="s">
        <v>157</v>
      </c>
      <c r="B757" s="1" t="s">
        <v>164</v>
      </c>
      <c r="C757" s="1" t="s">
        <v>4743</v>
      </c>
      <c r="D757" s="1">
        <v>2022</v>
      </c>
      <c r="E757" s="1" t="str">
        <f t="shared" si="2"/>
        <v>JOLIONJOLION TURBO 1.52022</v>
      </c>
      <c r="F757" s="1" t="s">
        <v>555</v>
      </c>
      <c r="G757" s="1">
        <v>11290000</v>
      </c>
      <c r="H757" s="1">
        <v>9500000</v>
      </c>
    </row>
    <row r="758" spans="1:8" ht="13.5" customHeight="1" x14ac:dyDescent="0.3">
      <c r="A758" s="1" t="s">
        <v>2886</v>
      </c>
      <c r="B758" s="1" t="s">
        <v>4744</v>
      </c>
      <c r="C758" s="1" t="s">
        <v>4745</v>
      </c>
      <c r="D758" s="1">
        <v>2019</v>
      </c>
      <c r="E758" s="1" t="str">
        <f t="shared" si="2"/>
        <v>CITYCITY LX 1.5 AUT2019</v>
      </c>
      <c r="F758" s="1" t="s">
        <v>1351</v>
      </c>
      <c r="G758" s="1">
        <v>8990000</v>
      </c>
      <c r="H758" s="1">
        <v>7000000</v>
      </c>
    </row>
    <row r="759" spans="1:8" ht="13.5" customHeight="1" x14ac:dyDescent="0.3">
      <c r="A759" s="1" t="s">
        <v>2886</v>
      </c>
      <c r="B759" s="1" t="s">
        <v>2887</v>
      </c>
      <c r="C759" s="1" t="s">
        <v>4746</v>
      </c>
      <c r="D759" s="1">
        <v>2016</v>
      </c>
      <c r="E759" s="1" t="str">
        <f t="shared" si="2"/>
        <v>HR-VHR V EXL 4X4 1.8 AUT2016</v>
      </c>
      <c r="F759" s="1" t="s">
        <v>1221</v>
      </c>
      <c r="G759" s="1">
        <v>9468620</v>
      </c>
      <c r="H759" s="1">
        <v>7800000</v>
      </c>
    </row>
    <row r="760" spans="1:8" ht="13.5" customHeight="1" x14ac:dyDescent="0.3">
      <c r="A760" s="1" t="s">
        <v>2886</v>
      </c>
      <c r="B760" s="1" t="s">
        <v>2887</v>
      </c>
      <c r="C760" s="1" t="s">
        <v>4747</v>
      </c>
      <c r="D760" s="1">
        <v>2021</v>
      </c>
      <c r="E760" s="1" t="str">
        <f t="shared" si="2"/>
        <v>HR-VHR V LXS 1.8 AUT2021</v>
      </c>
      <c r="F760" s="1" t="s">
        <v>1690</v>
      </c>
      <c r="G760" s="1">
        <v>13500000</v>
      </c>
      <c r="H760" s="1">
        <v>11973109</v>
      </c>
    </row>
    <row r="761" spans="1:8" ht="13.5" customHeight="1" x14ac:dyDescent="0.3">
      <c r="A761" s="1" t="s">
        <v>2886</v>
      </c>
      <c r="B761" s="1" t="s">
        <v>2887</v>
      </c>
      <c r="C761" s="1" t="s">
        <v>4747</v>
      </c>
      <c r="D761" s="1">
        <v>2021</v>
      </c>
      <c r="E761" s="1" t="str">
        <f t="shared" si="2"/>
        <v>HR-VHR V LXS 1.8 AUT2021</v>
      </c>
      <c r="F761" s="1" t="s">
        <v>1919</v>
      </c>
      <c r="G761" s="1">
        <v>15290000</v>
      </c>
      <c r="H761" s="1">
        <v>12500000</v>
      </c>
    </row>
    <row r="762" spans="1:8" ht="13.5" customHeight="1" x14ac:dyDescent="0.3">
      <c r="A762" s="1" t="s">
        <v>2886</v>
      </c>
      <c r="B762" s="1" t="s">
        <v>2887</v>
      </c>
      <c r="C762" s="1" t="s">
        <v>4748</v>
      </c>
      <c r="D762" s="1">
        <v>2018</v>
      </c>
      <c r="E762" s="1" t="str">
        <f t="shared" si="2"/>
        <v>HR-VHRV 1.82018</v>
      </c>
      <c r="F762" s="1" t="s">
        <v>652</v>
      </c>
      <c r="G762" s="1">
        <v>11000000</v>
      </c>
      <c r="H762" s="1">
        <v>9400000</v>
      </c>
    </row>
    <row r="763" spans="1:8" ht="13.5" customHeight="1" x14ac:dyDescent="0.3">
      <c r="A763" s="1" t="s">
        <v>2886</v>
      </c>
      <c r="B763" s="1" t="s">
        <v>4749</v>
      </c>
      <c r="C763" s="1" t="s">
        <v>4750</v>
      </c>
      <c r="D763" s="1">
        <v>2015</v>
      </c>
      <c r="E763" s="1" t="str">
        <f t="shared" si="2"/>
        <v>PILOTPILOT TOURING 4X4 3.5 AUT2015</v>
      </c>
      <c r="F763" s="1" t="s">
        <v>1946</v>
      </c>
      <c r="G763" s="1">
        <v>15490000</v>
      </c>
      <c r="H763" s="1">
        <v>12000000</v>
      </c>
    </row>
    <row r="764" spans="1:8" ht="13.5" customHeight="1" x14ac:dyDescent="0.3">
      <c r="A764" s="1" t="s">
        <v>2886</v>
      </c>
      <c r="B764" s="1" t="s">
        <v>4751</v>
      </c>
      <c r="C764" s="1" t="s">
        <v>4752</v>
      </c>
      <c r="D764" s="1">
        <v>2022</v>
      </c>
      <c r="E764" s="1" t="str">
        <f t="shared" si="2"/>
        <v>WRWR V EXL 1.5 AUT2022</v>
      </c>
      <c r="F764" s="1" t="s">
        <v>1584</v>
      </c>
      <c r="G764" s="1">
        <v>12490000</v>
      </c>
      <c r="H764" s="1">
        <v>10491592</v>
      </c>
    </row>
    <row r="765" spans="1:8" ht="13.5" customHeight="1" x14ac:dyDescent="0.3">
      <c r="A765" s="1" t="s">
        <v>2886</v>
      </c>
      <c r="B765" s="1" t="s">
        <v>4751</v>
      </c>
      <c r="C765" s="1" t="s">
        <v>4753</v>
      </c>
      <c r="D765" s="1">
        <v>2022</v>
      </c>
      <c r="E765" s="1" t="str">
        <f t="shared" si="2"/>
        <v>WRWR V LX 1.5 AUT2022</v>
      </c>
      <c r="F765" s="1" t="s">
        <v>1570</v>
      </c>
      <c r="G765" s="1">
        <v>11890000</v>
      </c>
      <c r="H765" s="1">
        <v>10000000</v>
      </c>
    </row>
    <row r="766" spans="1:8" ht="13.5" customHeight="1" x14ac:dyDescent="0.3">
      <c r="A766" s="1" t="s">
        <v>167</v>
      </c>
      <c r="B766" s="1" t="s">
        <v>167</v>
      </c>
      <c r="C766" s="1" t="s">
        <v>4754</v>
      </c>
      <c r="D766" s="1">
        <v>2016</v>
      </c>
      <c r="E766" s="1" t="str">
        <f t="shared" si="2"/>
        <v>HYUNDAIACCENT GL 1.6 AUT2016</v>
      </c>
      <c r="F766" s="1" t="s">
        <v>2157</v>
      </c>
      <c r="G766" s="1">
        <v>7290000</v>
      </c>
      <c r="H766" s="1">
        <v>5500000</v>
      </c>
    </row>
    <row r="767" spans="1:8" ht="13.5" customHeight="1" x14ac:dyDescent="0.3">
      <c r="A767" s="1" t="s">
        <v>167</v>
      </c>
      <c r="B767" s="1" t="s">
        <v>167</v>
      </c>
      <c r="C767" s="1" t="s">
        <v>4755</v>
      </c>
      <c r="D767" s="1">
        <v>2021</v>
      </c>
      <c r="E767" s="1" t="str">
        <f t="shared" si="2"/>
        <v>HYUNDAIACCENT HCI 1.42021</v>
      </c>
      <c r="F767" s="1" t="s">
        <v>2248</v>
      </c>
      <c r="G767" s="1">
        <v>10590000</v>
      </c>
      <c r="H767" s="1">
        <v>9000000</v>
      </c>
    </row>
    <row r="768" spans="1:8" ht="13.5" customHeight="1" x14ac:dyDescent="0.3">
      <c r="A768" s="1" t="s">
        <v>167</v>
      </c>
      <c r="B768" s="1" t="s">
        <v>167</v>
      </c>
      <c r="C768" s="1" t="s">
        <v>4755</v>
      </c>
      <c r="D768" s="1">
        <v>2021</v>
      </c>
      <c r="E768" s="1" t="str">
        <f t="shared" ref="E768:E1022" si="3">CONCATENATE(B768,C768,D768)</f>
        <v>HYUNDAIACCENT HCI 1.42021</v>
      </c>
      <c r="F768" s="1" t="s">
        <v>1085</v>
      </c>
      <c r="G768" s="1">
        <v>8990000</v>
      </c>
      <c r="H768" s="1">
        <v>7100000</v>
      </c>
    </row>
    <row r="769" spans="1:8" ht="13.5" customHeight="1" x14ac:dyDescent="0.3">
      <c r="A769" s="1" t="s">
        <v>167</v>
      </c>
      <c r="B769" s="1" t="s">
        <v>167</v>
      </c>
      <c r="C769" s="1" t="s">
        <v>4755</v>
      </c>
      <c r="D769" s="1">
        <v>2021</v>
      </c>
      <c r="E769" s="1" t="str">
        <f t="shared" si="3"/>
        <v>HYUNDAIACCENT HCI 1.42021</v>
      </c>
      <c r="F769" s="1" t="s">
        <v>522</v>
      </c>
      <c r="G769" s="1">
        <v>10590000</v>
      </c>
      <c r="H769" s="1">
        <v>8500000</v>
      </c>
    </row>
    <row r="770" spans="1:8" ht="13.5" customHeight="1" x14ac:dyDescent="0.3">
      <c r="A770" s="1" t="s">
        <v>167</v>
      </c>
      <c r="B770" s="1" t="s">
        <v>167</v>
      </c>
      <c r="C770" s="1" t="s">
        <v>4755</v>
      </c>
      <c r="D770" s="1">
        <v>2022</v>
      </c>
      <c r="E770" s="1" t="str">
        <f t="shared" si="3"/>
        <v>HYUNDAIACCENT HCI 1.42022</v>
      </c>
      <c r="F770" s="1" t="s">
        <v>736</v>
      </c>
      <c r="G770" s="1">
        <v>9990000</v>
      </c>
      <c r="H770" s="1">
        <v>8300000</v>
      </c>
    </row>
    <row r="771" spans="1:8" ht="13.5" customHeight="1" x14ac:dyDescent="0.3">
      <c r="A771" s="1" t="s">
        <v>167</v>
      </c>
      <c r="B771" s="1" t="s">
        <v>167</v>
      </c>
      <c r="C771" s="1" t="s">
        <v>4755</v>
      </c>
      <c r="D771" s="1">
        <v>2023</v>
      </c>
      <c r="E771" s="1" t="str">
        <f t="shared" si="3"/>
        <v>HYUNDAIACCENT HCI 1.42023</v>
      </c>
      <c r="F771" s="1" t="s">
        <v>1834</v>
      </c>
      <c r="G771" s="1">
        <v>11000000</v>
      </c>
      <c r="H771" s="1">
        <v>9700000</v>
      </c>
    </row>
    <row r="772" spans="1:8" ht="13.5" customHeight="1" x14ac:dyDescent="0.3">
      <c r="A772" s="1" t="s">
        <v>167</v>
      </c>
      <c r="B772" s="1" t="s">
        <v>167</v>
      </c>
      <c r="C772" s="1" t="s">
        <v>4755</v>
      </c>
      <c r="D772" s="1">
        <v>2024</v>
      </c>
      <c r="E772" s="1" t="str">
        <f t="shared" si="3"/>
        <v>HYUNDAIACCENT HCI 1.42024</v>
      </c>
      <c r="F772" s="1" t="s">
        <v>1067</v>
      </c>
      <c r="G772" s="1">
        <v>10990000</v>
      </c>
      <c r="H772" s="1">
        <v>10000000</v>
      </c>
    </row>
    <row r="773" spans="1:8" ht="13.5" customHeight="1" x14ac:dyDescent="0.3">
      <c r="A773" s="1" t="s">
        <v>167</v>
      </c>
      <c r="B773" s="1" t="s">
        <v>167</v>
      </c>
      <c r="C773" s="1" t="s">
        <v>4756</v>
      </c>
      <c r="D773" s="1">
        <v>2020</v>
      </c>
      <c r="E773" s="1" t="str">
        <f t="shared" si="3"/>
        <v>HYUNDAIACCENT RB 1.42020</v>
      </c>
      <c r="F773" s="1" t="s">
        <v>2071</v>
      </c>
      <c r="G773" s="1">
        <v>8490000</v>
      </c>
      <c r="H773" s="1">
        <v>6747899</v>
      </c>
    </row>
    <row r="774" spans="1:8" ht="13.5" customHeight="1" x14ac:dyDescent="0.3">
      <c r="A774" s="1" t="s">
        <v>167</v>
      </c>
      <c r="B774" s="1" t="s">
        <v>167</v>
      </c>
      <c r="C774" s="1" t="s">
        <v>4756</v>
      </c>
      <c r="D774" s="1">
        <v>2020</v>
      </c>
      <c r="E774" s="1" t="str">
        <f t="shared" si="3"/>
        <v>HYUNDAIACCENT RB 1.42020</v>
      </c>
      <c r="F774" s="1" t="s">
        <v>2399</v>
      </c>
      <c r="G774" s="1">
        <v>8990000</v>
      </c>
      <c r="H774" s="1">
        <v>7300000</v>
      </c>
    </row>
    <row r="775" spans="1:8" ht="13.5" customHeight="1" x14ac:dyDescent="0.3">
      <c r="A775" s="1" t="s">
        <v>167</v>
      </c>
      <c r="B775" s="1" t="s">
        <v>167</v>
      </c>
      <c r="C775" s="1" t="s">
        <v>4757</v>
      </c>
      <c r="D775" s="1">
        <v>2017</v>
      </c>
      <c r="E775" s="1" t="str">
        <f t="shared" si="3"/>
        <v>HYUNDAIACCENT RB GL 1.62017</v>
      </c>
      <c r="F775" s="1" t="s">
        <v>2322</v>
      </c>
      <c r="G775" s="1">
        <v>8500000</v>
      </c>
      <c r="H775" s="1">
        <v>7000000</v>
      </c>
    </row>
    <row r="776" spans="1:8" ht="13.5" customHeight="1" x14ac:dyDescent="0.3">
      <c r="A776" s="1" t="s">
        <v>167</v>
      </c>
      <c r="B776" s="1" t="s">
        <v>167</v>
      </c>
      <c r="C776" s="1" t="s">
        <v>4758</v>
      </c>
      <c r="D776" s="1">
        <v>2020</v>
      </c>
      <c r="E776" s="1" t="str">
        <f t="shared" si="3"/>
        <v>HYUNDAIATOS 1.12020</v>
      </c>
      <c r="F776" s="1" t="s">
        <v>475</v>
      </c>
      <c r="G776" s="1">
        <v>7390000</v>
      </c>
      <c r="H776" s="1">
        <v>6000000</v>
      </c>
    </row>
    <row r="777" spans="1:8" ht="13.5" customHeight="1" x14ac:dyDescent="0.3">
      <c r="A777" s="1" t="s">
        <v>167</v>
      </c>
      <c r="B777" s="1" t="s">
        <v>167</v>
      </c>
      <c r="C777" s="1" t="s">
        <v>4758</v>
      </c>
      <c r="D777" s="1">
        <v>2022</v>
      </c>
      <c r="E777" s="1" t="str">
        <f t="shared" si="3"/>
        <v>HYUNDAIATOS 1.12022</v>
      </c>
      <c r="F777" s="1" t="s">
        <v>1083</v>
      </c>
      <c r="G777" s="1">
        <v>6990000</v>
      </c>
      <c r="H777" s="1">
        <v>5250000</v>
      </c>
    </row>
    <row r="778" spans="1:8" ht="13.5" customHeight="1" x14ac:dyDescent="0.3">
      <c r="A778" s="1" t="s">
        <v>167</v>
      </c>
      <c r="B778" s="1" t="s">
        <v>167</v>
      </c>
      <c r="C778" s="1" t="s">
        <v>4759</v>
      </c>
      <c r="D778" s="1">
        <v>2021</v>
      </c>
      <c r="E778" s="1" t="str">
        <f t="shared" si="3"/>
        <v>HYUNDAIATOS AH2 HB 1.12021</v>
      </c>
      <c r="F778" s="1" t="s">
        <v>768</v>
      </c>
      <c r="G778" s="1">
        <v>7290000</v>
      </c>
      <c r="H778" s="1">
        <v>5200000</v>
      </c>
    </row>
    <row r="779" spans="1:8" ht="13.5" customHeight="1" x14ac:dyDescent="0.3">
      <c r="A779" s="1" t="s">
        <v>167</v>
      </c>
      <c r="B779" s="1" t="s">
        <v>167</v>
      </c>
      <c r="C779" s="1" t="s">
        <v>4759</v>
      </c>
      <c r="D779" s="1">
        <v>2021</v>
      </c>
      <c r="E779" s="1" t="str">
        <f t="shared" si="3"/>
        <v>HYUNDAIATOS AH2 HB 1.12021</v>
      </c>
      <c r="F779" s="1" t="s">
        <v>503</v>
      </c>
      <c r="G779" s="1">
        <v>6990000</v>
      </c>
      <c r="H779" s="1">
        <v>5500000</v>
      </c>
    </row>
    <row r="780" spans="1:8" ht="13.5" customHeight="1" x14ac:dyDescent="0.3">
      <c r="A780" s="1" t="s">
        <v>167</v>
      </c>
      <c r="B780" s="1" t="s">
        <v>167</v>
      </c>
      <c r="C780" s="1" t="s">
        <v>4759</v>
      </c>
      <c r="D780" s="1">
        <v>2021</v>
      </c>
      <c r="E780" s="1" t="str">
        <f t="shared" si="3"/>
        <v>HYUNDAIATOS AH2 HB 1.12021</v>
      </c>
      <c r="F780" s="1" t="s">
        <v>1388</v>
      </c>
      <c r="G780" s="1">
        <v>6690000</v>
      </c>
      <c r="H780" s="1">
        <v>5000000</v>
      </c>
    </row>
    <row r="781" spans="1:8" ht="13.5" customHeight="1" x14ac:dyDescent="0.3">
      <c r="A781" s="1" t="s">
        <v>167</v>
      </c>
      <c r="B781" s="1" t="s">
        <v>167</v>
      </c>
      <c r="C781" s="1" t="s">
        <v>4760</v>
      </c>
      <c r="D781" s="1">
        <v>2017</v>
      </c>
      <c r="E781" s="1" t="str">
        <f t="shared" si="3"/>
        <v>HYUNDAICRETA GLS 1.62017</v>
      </c>
      <c r="F781" s="1" t="s">
        <v>2285</v>
      </c>
      <c r="G781" s="1">
        <v>9190000</v>
      </c>
      <c r="H781" s="1">
        <v>8000000</v>
      </c>
    </row>
    <row r="782" spans="1:8" ht="13.5" customHeight="1" x14ac:dyDescent="0.3">
      <c r="A782" s="1" t="s">
        <v>167</v>
      </c>
      <c r="B782" s="1" t="s">
        <v>167</v>
      </c>
      <c r="C782" s="1" t="s">
        <v>4761</v>
      </c>
      <c r="D782" s="1">
        <v>2024</v>
      </c>
      <c r="E782" s="1" t="str">
        <f t="shared" si="3"/>
        <v>HYUNDAICRETA GRAND MPI 2.02024</v>
      </c>
      <c r="F782" s="1" t="s">
        <v>1410</v>
      </c>
      <c r="G782" s="1">
        <v>16490000</v>
      </c>
      <c r="H782" s="1">
        <v>14000000</v>
      </c>
    </row>
    <row r="783" spans="1:8" ht="13.5" customHeight="1" x14ac:dyDescent="0.3">
      <c r="A783" s="1" t="s">
        <v>167</v>
      </c>
      <c r="B783" s="1" t="s">
        <v>167</v>
      </c>
      <c r="C783" s="1" t="s">
        <v>4762</v>
      </c>
      <c r="D783" s="1">
        <v>2022</v>
      </c>
      <c r="E783" s="1" t="str">
        <f t="shared" si="3"/>
        <v>HYUNDAICRETA GRAND MPI 2.0 AUT2022</v>
      </c>
      <c r="F783" s="1" t="s">
        <v>1522</v>
      </c>
      <c r="G783" s="1">
        <v>15990000</v>
      </c>
      <c r="H783" s="1">
        <v>13500000</v>
      </c>
    </row>
    <row r="784" spans="1:8" ht="13.5" customHeight="1" x14ac:dyDescent="0.3">
      <c r="A784" s="1" t="s">
        <v>167</v>
      </c>
      <c r="B784" s="1" t="s">
        <v>167</v>
      </c>
      <c r="C784" s="1" t="s">
        <v>4763</v>
      </c>
      <c r="D784" s="1">
        <v>2018</v>
      </c>
      <c r="E784" s="1" t="str">
        <f t="shared" si="3"/>
        <v>HYUNDAICRETA GS 1.62018</v>
      </c>
      <c r="F784" s="1" t="s">
        <v>1561</v>
      </c>
      <c r="G784" s="1">
        <v>9990000</v>
      </c>
      <c r="H784" s="1">
        <v>7000000</v>
      </c>
    </row>
    <row r="785" spans="1:8" ht="13.5" customHeight="1" x14ac:dyDescent="0.3">
      <c r="A785" s="1" t="s">
        <v>167</v>
      </c>
      <c r="B785" s="1" t="s">
        <v>167</v>
      </c>
      <c r="C785" s="1" t="s">
        <v>4763</v>
      </c>
      <c r="D785" s="1">
        <v>2018</v>
      </c>
      <c r="E785" s="1" t="str">
        <f t="shared" si="3"/>
        <v>HYUNDAICRETA GS 1.62018</v>
      </c>
      <c r="F785" s="1" t="s">
        <v>1624</v>
      </c>
      <c r="G785" s="1">
        <v>9790000</v>
      </c>
      <c r="H785" s="1">
        <v>8300000</v>
      </c>
    </row>
    <row r="786" spans="1:8" ht="13.5" customHeight="1" x14ac:dyDescent="0.3">
      <c r="A786" s="1" t="s">
        <v>167</v>
      </c>
      <c r="B786" s="1" t="s">
        <v>167</v>
      </c>
      <c r="C786" s="1" t="s">
        <v>4763</v>
      </c>
      <c r="D786" s="1">
        <v>2019</v>
      </c>
      <c r="E786" s="1" t="str">
        <f t="shared" si="3"/>
        <v>HYUNDAICRETA GS 1.62019</v>
      </c>
      <c r="F786" s="1" t="s">
        <v>2320</v>
      </c>
      <c r="G786" s="1">
        <v>10990000</v>
      </c>
      <c r="H786" s="1">
        <v>9000000</v>
      </c>
    </row>
    <row r="787" spans="1:8" ht="13.5" customHeight="1" x14ac:dyDescent="0.3">
      <c r="A787" s="1" t="s">
        <v>167</v>
      </c>
      <c r="B787" s="1" t="s">
        <v>167</v>
      </c>
      <c r="C787" s="1" t="s">
        <v>4763</v>
      </c>
      <c r="D787" s="1">
        <v>2020</v>
      </c>
      <c r="E787" s="1" t="str">
        <f t="shared" si="3"/>
        <v>HYUNDAICRETA GS 1.62020</v>
      </c>
      <c r="F787" s="1" t="s">
        <v>1553</v>
      </c>
      <c r="G787" s="1">
        <v>10990000</v>
      </c>
      <c r="H787" s="1">
        <v>9000000</v>
      </c>
    </row>
    <row r="788" spans="1:8" ht="13.5" customHeight="1" x14ac:dyDescent="0.3">
      <c r="A788" s="1" t="s">
        <v>167</v>
      </c>
      <c r="B788" s="1" t="s">
        <v>167</v>
      </c>
      <c r="C788" s="1" t="s">
        <v>4763</v>
      </c>
      <c r="D788" s="1">
        <v>2020</v>
      </c>
      <c r="E788" s="1" t="str">
        <f t="shared" si="3"/>
        <v>HYUNDAICRETA GS 1.62020</v>
      </c>
      <c r="F788" s="1" t="s">
        <v>2138</v>
      </c>
      <c r="G788" s="1">
        <v>12090000</v>
      </c>
      <c r="H788" s="1">
        <v>10200000</v>
      </c>
    </row>
    <row r="789" spans="1:8" ht="13.5" customHeight="1" x14ac:dyDescent="0.3">
      <c r="A789" s="1" t="s">
        <v>167</v>
      </c>
      <c r="B789" s="1" t="s">
        <v>167</v>
      </c>
      <c r="C789" s="1" t="s">
        <v>4764</v>
      </c>
      <c r="D789" s="1">
        <v>2020</v>
      </c>
      <c r="E789" s="1" t="str">
        <f t="shared" si="3"/>
        <v>HYUNDAICRETA GS 1.6 AT2020</v>
      </c>
      <c r="F789" s="1" t="s">
        <v>1005</v>
      </c>
      <c r="G789" s="1">
        <v>11840000</v>
      </c>
      <c r="H789" s="1">
        <v>10000000</v>
      </c>
    </row>
    <row r="790" spans="1:8" ht="13.5" customHeight="1" x14ac:dyDescent="0.3">
      <c r="A790" s="1" t="s">
        <v>167</v>
      </c>
      <c r="B790" s="1" t="s">
        <v>167</v>
      </c>
      <c r="C790" s="1" t="s">
        <v>4765</v>
      </c>
      <c r="D790" s="1">
        <v>2019</v>
      </c>
      <c r="E790" s="1" t="str">
        <f t="shared" si="3"/>
        <v>HYUNDAICRETA GS PE 1.62019</v>
      </c>
      <c r="F790" s="1" t="s">
        <v>1281</v>
      </c>
      <c r="G790" s="1">
        <v>9690000</v>
      </c>
      <c r="H790" s="1">
        <v>7400000</v>
      </c>
    </row>
    <row r="791" spans="1:8" ht="13.5" customHeight="1" x14ac:dyDescent="0.3">
      <c r="A791" s="1" t="s">
        <v>167</v>
      </c>
      <c r="B791" s="1" t="s">
        <v>167</v>
      </c>
      <c r="C791" s="1" t="s">
        <v>4766</v>
      </c>
      <c r="D791" s="1">
        <v>2021</v>
      </c>
      <c r="E791" s="1" t="str">
        <f t="shared" si="3"/>
        <v>HYUNDAICRETA SU2I 1.52021</v>
      </c>
      <c r="F791" s="1" t="s">
        <v>1199</v>
      </c>
      <c r="G791" s="1">
        <v>10990000</v>
      </c>
      <c r="H791" s="1">
        <v>9000000</v>
      </c>
    </row>
    <row r="792" spans="1:8" ht="13.5" customHeight="1" x14ac:dyDescent="0.3">
      <c r="A792" s="1" t="s">
        <v>167</v>
      </c>
      <c r="B792" s="1" t="s">
        <v>167</v>
      </c>
      <c r="C792" s="1" t="s">
        <v>4766</v>
      </c>
      <c r="D792" s="1">
        <v>2021</v>
      </c>
      <c r="E792" s="1" t="str">
        <f t="shared" si="3"/>
        <v>HYUNDAICRETA SU2I 1.52021</v>
      </c>
      <c r="F792" s="1" t="s">
        <v>1054</v>
      </c>
      <c r="G792" s="1">
        <v>11390000</v>
      </c>
      <c r="H792" s="1">
        <v>9300000</v>
      </c>
    </row>
    <row r="793" spans="1:8" ht="13.5" customHeight="1" x14ac:dyDescent="0.3">
      <c r="A793" s="1" t="s">
        <v>167</v>
      </c>
      <c r="B793" s="1" t="s">
        <v>167</v>
      </c>
      <c r="C793" s="1" t="s">
        <v>4766</v>
      </c>
      <c r="D793" s="1">
        <v>2021</v>
      </c>
      <c r="E793" s="1" t="str">
        <f t="shared" si="3"/>
        <v>HYUNDAICRETA SU2I 1.52021</v>
      </c>
      <c r="F793" s="1" t="s">
        <v>1240</v>
      </c>
      <c r="G793" s="1">
        <v>11690000</v>
      </c>
      <c r="H793" s="1">
        <v>9800000</v>
      </c>
    </row>
    <row r="794" spans="1:8" ht="13.5" customHeight="1" x14ac:dyDescent="0.3">
      <c r="A794" s="1" t="s">
        <v>167</v>
      </c>
      <c r="B794" s="1" t="s">
        <v>167</v>
      </c>
      <c r="C794" s="1" t="s">
        <v>4766</v>
      </c>
      <c r="D794" s="1">
        <v>2022</v>
      </c>
      <c r="E794" s="1" t="str">
        <f t="shared" si="3"/>
        <v>HYUNDAICRETA SU2I 1.52022</v>
      </c>
      <c r="F794" s="1" t="s">
        <v>1429</v>
      </c>
      <c r="G794" s="1">
        <v>13390000</v>
      </c>
      <c r="H794" s="1">
        <v>11000000</v>
      </c>
    </row>
    <row r="795" spans="1:8" ht="13.5" customHeight="1" x14ac:dyDescent="0.3">
      <c r="A795" s="1" t="s">
        <v>167</v>
      </c>
      <c r="B795" s="1" t="s">
        <v>167</v>
      </c>
      <c r="C795" s="1" t="s">
        <v>4766</v>
      </c>
      <c r="D795" s="1">
        <v>2022</v>
      </c>
      <c r="E795" s="1" t="str">
        <f t="shared" si="3"/>
        <v>HYUNDAICRETA SU2I 1.52022</v>
      </c>
      <c r="F795" s="1" t="s">
        <v>1459</v>
      </c>
      <c r="G795" s="1">
        <v>13690000</v>
      </c>
      <c r="H795" s="1">
        <v>11700000</v>
      </c>
    </row>
    <row r="796" spans="1:8" ht="13.5" customHeight="1" x14ac:dyDescent="0.3">
      <c r="A796" s="1" t="s">
        <v>167</v>
      </c>
      <c r="B796" s="1" t="s">
        <v>167</v>
      </c>
      <c r="C796" s="1" t="s">
        <v>4766</v>
      </c>
      <c r="D796" s="1">
        <v>2023</v>
      </c>
      <c r="E796" s="1" t="str">
        <f t="shared" si="3"/>
        <v>HYUNDAICRETA SU2I 1.52023</v>
      </c>
      <c r="G796" s="1">
        <v>13990000</v>
      </c>
      <c r="H796" s="1">
        <v>0</v>
      </c>
    </row>
    <row r="797" spans="1:8" ht="13.5" customHeight="1" x14ac:dyDescent="0.3">
      <c r="A797" s="1" t="s">
        <v>167</v>
      </c>
      <c r="B797" s="1" t="s">
        <v>167</v>
      </c>
      <c r="C797" s="1" t="s">
        <v>4766</v>
      </c>
      <c r="D797" s="1">
        <v>2023</v>
      </c>
      <c r="E797" s="1" t="str">
        <f t="shared" si="3"/>
        <v>HYUNDAICRETA SU2I 1.52023</v>
      </c>
      <c r="F797" s="1" t="s">
        <v>426</v>
      </c>
      <c r="G797" s="1">
        <v>13211620</v>
      </c>
      <c r="H797" s="1">
        <v>10500000</v>
      </c>
    </row>
    <row r="798" spans="1:8" ht="13.5" customHeight="1" x14ac:dyDescent="0.3">
      <c r="A798" s="1" t="s">
        <v>167</v>
      </c>
      <c r="B798" s="1" t="s">
        <v>167</v>
      </c>
      <c r="C798" s="1" t="s">
        <v>4766</v>
      </c>
      <c r="D798" s="1">
        <v>2023</v>
      </c>
      <c r="E798" s="1" t="str">
        <f t="shared" si="3"/>
        <v>HYUNDAICRETA SU2I 1.52023</v>
      </c>
      <c r="F798" s="1" t="s">
        <v>883</v>
      </c>
      <c r="G798" s="1">
        <v>13990000</v>
      </c>
      <c r="H798" s="1">
        <v>12000000</v>
      </c>
    </row>
    <row r="799" spans="1:8" ht="13.5" customHeight="1" x14ac:dyDescent="0.3">
      <c r="A799" s="1" t="s">
        <v>167</v>
      </c>
      <c r="B799" s="1" t="s">
        <v>167</v>
      </c>
      <c r="C799" s="1" t="s">
        <v>4766</v>
      </c>
      <c r="D799" s="1">
        <v>2023</v>
      </c>
      <c r="E799" s="1" t="str">
        <f t="shared" si="3"/>
        <v>HYUNDAICRETA SU2I 1.52023</v>
      </c>
      <c r="F799" s="1" t="s">
        <v>747</v>
      </c>
      <c r="G799" s="1">
        <v>12990000</v>
      </c>
      <c r="H799" s="1">
        <v>11800000</v>
      </c>
    </row>
    <row r="800" spans="1:8" ht="13.5" customHeight="1" x14ac:dyDescent="0.3">
      <c r="A800" s="1" t="s">
        <v>167</v>
      </c>
      <c r="B800" s="1" t="s">
        <v>167</v>
      </c>
      <c r="C800" s="1" t="s">
        <v>4767</v>
      </c>
      <c r="D800" s="1">
        <v>2023</v>
      </c>
      <c r="E800" s="1" t="str">
        <f t="shared" si="3"/>
        <v>HYUNDAICRETA SU2I CVT 1.5 AUT2023</v>
      </c>
      <c r="F800" s="1" t="s">
        <v>1344</v>
      </c>
      <c r="G800" s="1">
        <v>15990000</v>
      </c>
      <c r="H800" s="1">
        <v>13500000</v>
      </c>
    </row>
    <row r="801" spans="1:8" ht="13.5" customHeight="1" x14ac:dyDescent="0.3">
      <c r="A801" s="1" t="s">
        <v>167</v>
      </c>
      <c r="B801" s="1" t="s">
        <v>167</v>
      </c>
      <c r="C801" s="1" t="s">
        <v>4768</v>
      </c>
      <c r="D801" s="1">
        <v>2024</v>
      </c>
      <c r="E801" s="1" t="str">
        <f t="shared" si="3"/>
        <v>HYUNDAICRETA SU2ID MPI 1.52024</v>
      </c>
      <c r="F801" s="1" t="s">
        <v>954</v>
      </c>
      <c r="G801" s="1">
        <v>15290000</v>
      </c>
      <c r="H801" s="1">
        <v>14000000</v>
      </c>
    </row>
    <row r="802" spans="1:8" ht="13.5" customHeight="1" x14ac:dyDescent="0.3">
      <c r="A802" s="1" t="s">
        <v>167</v>
      </c>
      <c r="B802" s="1" t="s">
        <v>167</v>
      </c>
      <c r="C802" s="1" t="s">
        <v>4768</v>
      </c>
      <c r="D802" s="1">
        <v>2025</v>
      </c>
      <c r="E802" s="1" t="str">
        <f t="shared" si="3"/>
        <v>HYUNDAICRETA SU2ID MPI 1.52025</v>
      </c>
      <c r="F802" s="1" t="s">
        <v>859</v>
      </c>
      <c r="G802" s="1">
        <v>16660000</v>
      </c>
      <c r="H802" s="1">
        <v>14500000</v>
      </c>
    </row>
    <row r="803" spans="1:8" ht="13.5" customHeight="1" x14ac:dyDescent="0.3">
      <c r="A803" s="1" t="s">
        <v>167</v>
      </c>
      <c r="B803" s="1" t="s">
        <v>167</v>
      </c>
      <c r="C803" s="1" t="s">
        <v>4769</v>
      </c>
      <c r="D803" s="1">
        <v>2018</v>
      </c>
      <c r="E803" s="1" t="str">
        <f t="shared" si="3"/>
        <v>HYUNDAIELANTRA 1.62018</v>
      </c>
      <c r="F803" s="1" t="s">
        <v>1657</v>
      </c>
      <c r="G803" s="1">
        <v>9190000</v>
      </c>
      <c r="H803" s="1">
        <v>7700000</v>
      </c>
    </row>
    <row r="804" spans="1:8" ht="13.5" customHeight="1" x14ac:dyDescent="0.3">
      <c r="A804" s="1" t="s">
        <v>167</v>
      </c>
      <c r="B804" s="1" t="s">
        <v>167</v>
      </c>
      <c r="C804" s="1" t="s">
        <v>4770</v>
      </c>
      <c r="D804" s="1">
        <v>2020</v>
      </c>
      <c r="E804" s="1" t="str">
        <f t="shared" si="3"/>
        <v>HYUNDAIELANTRA AD 1.6 AUT2020</v>
      </c>
      <c r="F804" s="1" t="s">
        <v>4771</v>
      </c>
      <c r="G804" s="1">
        <v>9990000</v>
      </c>
      <c r="H804" s="1">
        <v>11500000</v>
      </c>
    </row>
    <row r="805" spans="1:8" ht="13.5" customHeight="1" x14ac:dyDescent="0.3">
      <c r="A805" s="1" t="s">
        <v>167</v>
      </c>
      <c r="B805" s="1" t="s">
        <v>167</v>
      </c>
      <c r="C805" s="1" t="s">
        <v>4772</v>
      </c>
      <c r="D805" s="1">
        <v>2022</v>
      </c>
      <c r="E805" s="1" t="str">
        <f t="shared" si="3"/>
        <v>HYUNDAIELANTRA CN7 1.62022</v>
      </c>
      <c r="F805" s="1" t="s">
        <v>1274</v>
      </c>
      <c r="G805" s="1">
        <v>13310120</v>
      </c>
      <c r="H805" s="1">
        <v>11500000</v>
      </c>
    </row>
    <row r="806" spans="1:8" ht="13.5" customHeight="1" x14ac:dyDescent="0.3">
      <c r="A806" s="1" t="s">
        <v>167</v>
      </c>
      <c r="B806" s="1" t="s">
        <v>167</v>
      </c>
      <c r="C806" s="1" t="s">
        <v>4772</v>
      </c>
      <c r="D806" s="1">
        <v>2023</v>
      </c>
      <c r="E806" s="1" t="str">
        <f t="shared" si="3"/>
        <v>HYUNDAIELANTRA CN7 1.62023</v>
      </c>
      <c r="F806" s="1" t="s">
        <v>946</v>
      </c>
      <c r="G806" s="1">
        <v>14590000</v>
      </c>
      <c r="H806" s="1">
        <v>12000000</v>
      </c>
    </row>
    <row r="807" spans="1:8" ht="13.5" customHeight="1" x14ac:dyDescent="0.3">
      <c r="A807" s="1" t="s">
        <v>167</v>
      </c>
      <c r="B807" s="1" t="s">
        <v>167</v>
      </c>
      <c r="C807" s="1" t="s">
        <v>4773</v>
      </c>
      <c r="D807" s="1">
        <v>2022</v>
      </c>
      <c r="E807" s="1" t="str">
        <f t="shared" si="3"/>
        <v>HYUNDAIELANTRA CN7 2.0 AT2022</v>
      </c>
      <c r="F807" s="1" t="s">
        <v>1837</v>
      </c>
      <c r="G807" s="1">
        <v>15990000</v>
      </c>
      <c r="H807" s="1">
        <v>14500000</v>
      </c>
    </row>
    <row r="808" spans="1:8" ht="13.5" customHeight="1" x14ac:dyDescent="0.3">
      <c r="A808" s="1" t="s">
        <v>167</v>
      </c>
      <c r="B808" s="1" t="s">
        <v>167</v>
      </c>
      <c r="C808" s="1" t="s">
        <v>4773</v>
      </c>
      <c r="D808" s="1">
        <v>2023</v>
      </c>
      <c r="E808" s="1" t="str">
        <f t="shared" si="3"/>
        <v>HYUNDAIELANTRA CN7 2.0 AT2023</v>
      </c>
      <c r="F808" s="1" t="s">
        <v>1115</v>
      </c>
      <c r="G808" s="1">
        <v>14790000</v>
      </c>
      <c r="H808" s="1">
        <v>12500000</v>
      </c>
    </row>
    <row r="809" spans="1:8" ht="13.5" customHeight="1" x14ac:dyDescent="0.3">
      <c r="A809" s="1" t="s">
        <v>167</v>
      </c>
      <c r="B809" s="1" t="s">
        <v>167</v>
      </c>
      <c r="C809" s="1" t="s">
        <v>4774</v>
      </c>
      <c r="D809" s="1">
        <v>2024</v>
      </c>
      <c r="E809" s="1" t="str">
        <f t="shared" si="3"/>
        <v>HYUNDAIGRAND I10 1.02024</v>
      </c>
      <c r="F809" s="1" t="s">
        <v>796</v>
      </c>
      <c r="G809" s="1">
        <v>8490000</v>
      </c>
      <c r="H809" s="1">
        <v>7000000</v>
      </c>
    </row>
    <row r="810" spans="1:8" ht="13.5" customHeight="1" x14ac:dyDescent="0.3">
      <c r="A810" s="1" t="s">
        <v>167</v>
      </c>
      <c r="B810" s="1" t="s">
        <v>167</v>
      </c>
      <c r="C810" s="1" t="s">
        <v>4775</v>
      </c>
      <c r="D810" s="1">
        <v>2024</v>
      </c>
      <c r="E810" s="1" t="str">
        <f t="shared" si="3"/>
        <v>HYUNDAIGRAND I10 4X2 1.22024</v>
      </c>
      <c r="F810" s="1" t="s">
        <v>1823</v>
      </c>
      <c r="G810" s="1">
        <v>9690000</v>
      </c>
      <c r="H810" s="1">
        <v>7915966</v>
      </c>
    </row>
    <row r="811" spans="1:8" ht="13.5" customHeight="1" x14ac:dyDescent="0.3">
      <c r="A811" s="1" t="s">
        <v>167</v>
      </c>
      <c r="B811" s="1" t="s">
        <v>167</v>
      </c>
      <c r="C811" s="1" t="s">
        <v>4776</v>
      </c>
      <c r="D811" s="1">
        <v>2024</v>
      </c>
      <c r="E811" s="1" t="str">
        <f t="shared" si="3"/>
        <v>HYUNDAIGRAND I10 AI3 4X2 1.22024</v>
      </c>
      <c r="F811" s="1" t="s">
        <v>493</v>
      </c>
      <c r="G811" s="1">
        <v>10690000</v>
      </c>
      <c r="H811" s="1">
        <v>9000000</v>
      </c>
    </row>
    <row r="812" spans="1:8" ht="13.5" customHeight="1" x14ac:dyDescent="0.3">
      <c r="A812" s="1" t="s">
        <v>167</v>
      </c>
      <c r="B812" s="1" t="s">
        <v>167</v>
      </c>
      <c r="C812" s="1" t="s">
        <v>4777</v>
      </c>
      <c r="D812" s="1">
        <v>2024</v>
      </c>
      <c r="E812" s="1" t="str">
        <f t="shared" si="3"/>
        <v>HYUNDAIGRAND I10 AI3 HB MT 1.22024</v>
      </c>
      <c r="F812" s="1" t="s">
        <v>566</v>
      </c>
      <c r="G812" s="1">
        <v>10390000</v>
      </c>
      <c r="H812" s="1">
        <v>8700000</v>
      </c>
    </row>
    <row r="813" spans="1:8" ht="13.5" customHeight="1" x14ac:dyDescent="0.3">
      <c r="A813" s="1" t="s">
        <v>167</v>
      </c>
      <c r="B813" s="1" t="s">
        <v>167</v>
      </c>
      <c r="C813" s="1" t="s">
        <v>4778</v>
      </c>
      <c r="D813" s="1">
        <v>2019</v>
      </c>
      <c r="E813" s="1" t="str">
        <f t="shared" si="3"/>
        <v>HYUNDAIGRAND I10 BA GL 1.22019</v>
      </c>
      <c r="F813" s="1" t="s">
        <v>1620</v>
      </c>
      <c r="G813" s="1">
        <v>6290000</v>
      </c>
      <c r="H813" s="1">
        <v>5300000</v>
      </c>
    </row>
    <row r="814" spans="1:8" ht="13.5" customHeight="1" x14ac:dyDescent="0.3">
      <c r="A814" s="1" t="s">
        <v>167</v>
      </c>
      <c r="B814" s="1" t="s">
        <v>167</v>
      </c>
      <c r="C814" s="1" t="s">
        <v>4779</v>
      </c>
      <c r="D814" s="1">
        <v>2016</v>
      </c>
      <c r="E814" s="1" t="str">
        <f t="shared" si="3"/>
        <v>HYUNDAIGRAND I10 BA GLS 1.22016</v>
      </c>
      <c r="F814" s="1" t="s">
        <v>1048</v>
      </c>
      <c r="G814" s="1">
        <v>5490000</v>
      </c>
      <c r="H814" s="1">
        <v>4200000</v>
      </c>
    </row>
    <row r="815" spans="1:8" ht="13.5" customHeight="1" x14ac:dyDescent="0.3">
      <c r="A815" s="1" t="s">
        <v>167</v>
      </c>
      <c r="B815" s="1" t="s">
        <v>167</v>
      </c>
      <c r="C815" s="1" t="s">
        <v>4779</v>
      </c>
      <c r="D815" s="1">
        <v>2017</v>
      </c>
      <c r="E815" s="1" t="str">
        <f t="shared" si="3"/>
        <v>HYUNDAIGRAND I10 BA GLS 1.22017</v>
      </c>
      <c r="F815" s="1" t="s">
        <v>1958</v>
      </c>
      <c r="G815" s="1">
        <v>6590000</v>
      </c>
      <c r="H815" s="1">
        <v>4800000</v>
      </c>
    </row>
    <row r="816" spans="1:8" ht="13.5" customHeight="1" x14ac:dyDescent="0.3">
      <c r="A816" s="1" t="s">
        <v>167</v>
      </c>
      <c r="B816" s="1" t="s">
        <v>167</v>
      </c>
      <c r="C816" s="1" t="s">
        <v>4779</v>
      </c>
      <c r="D816" s="1">
        <v>2017</v>
      </c>
      <c r="E816" s="1" t="str">
        <f t="shared" si="3"/>
        <v>HYUNDAIGRAND I10 BA GLS 1.22017</v>
      </c>
      <c r="F816" s="1" t="s">
        <v>953</v>
      </c>
      <c r="G816" s="1">
        <v>6232940</v>
      </c>
      <c r="H816" s="1">
        <v>4600000</v>
      </c>
    </row>
    <row r="817" spans="1:8" ht="13.5" customHeight="1" x14ac:dyDescent="0.3">
      <c r="A817" s="1" t="s">
        <v>167</v>
      </c>
      <c r="B817" s="1" t="s">
        <v>167</v>
      </c>
      <c r="C817" s="1" t="s">
        <v>4779</v>
      </c>
      <c r="D817" s="1">
        <v>2018</v>
      </c>
      <c r="E817" s="1" t="str">
        <f t="shared" si="3"/>
        <v>HYUNDAIGRAND I10 BA GLS 1.22018</v>
      </c>
      <c r="F817" s="1" t="s">
        <v>685</v>
      </c>
      <c r="G817" s="1">
        <v>6021120</v>
      </c>
      <c r="H817" s="1">
        <v>4900000</v>
      </c>
    </row>
    <row r="818" spans="1:8" ht="13.5" customHeight="1" x14ac:dyDescent="0.3">
      <c r="A818" s="1" t="s">
        <v>167</v>
      </c>
      <c r="B818" s="1" t="s">
        <v>167</v>
      </c>
      <c r="C818" s="1" t="s">
        <v>4779</v>
      </c>
      <c r="D818" s="1">
        <v>2018</v>
      </c>
      <c r="E818" s="1" t="str">
        <f t="shared" si="3"/>
        <v>HYUNDAIGRAND I10 BA GLS 1.22018</v>
      </c>
      <c r="F818" s="1" t="s">
        <v>1557</v>
      </c>
      <c r="G818" s="1">
        <v>6130470</v>
      </c>
      <c r="H818" s="1">
        <v>5200000</v>
      </c>
    </row>
    <row r="819" spans="1:8" ht="13.5" customHeight="1" x14ac:dyDescent="0.3">
      <c r="A819" s="1" t="s">
        <v>167</v>
      </c>
      <c r="B819" s="1" t="s">
        <v>167</v>
      </c>
      <c r="C819" s="1" t="s">
        <v>4779</v>
      </c>
      <c r="D819" s="1">
        <v>2019</v>
      </c>
      <c r="E819" s="1" t="str">
        <f t="shared" si="3"/>
        <v>HYUNDAIGRAND I10 BA GLS 1.22019</v>
      </c>
      <c r="F819" s="1" t="s">
        <v>822</v>
      </c>
      <c r="G819" s="1">
        <v>6490000</v>
      </c>
      <c r="H819" s="1">
        <v>5200000</v>
      </c>
    </row>
    <row r="820" spans="1:8" ht="13.5" customHeight="1" x14ac:dyDescent="0.3">
      <c r="A820" s="1" t="s">
        <v>167</v>
      </c>
      <c r="B820" s="1" t="s">
        <v>167</v>
      </c>
      <c r="C820" s="1" t="s">
        <v>4779</v>
      </c>
      <c r="D820" s="1">
        <v>2019</v>
      </c>
      <c r="E820" s="1" t="str">
        <f t="shared" si="3"/>
        <v>HYUNDAIGRAND I10 BA GLS 1.22019</v>
      </c>
      <c r="F820" s="1" t="s">
        <v>2088</v>
      </c>
      <c r="G820" s="1">
        <v>7450000</v>
      </c>
      <c r="H820" s="1">
        <v>6000000</v>
      </c>
    </row>
    <row r="821" spans="1:8" ht="13.5" customHeight="1" x14ac:dyDescent="0.3">
      <c r="A821" s="1" t="s">
        <v>167</v>
      </c>
      <c r="B821" s="1" t="s">
        <v>167</v>
      </c>
      <c r="C821" s="1" t="s">
        <v>4779</v>
      </c>
      <c r="D821" s="1">
        <v>2019</v>
      </c>
      <c r="E821" s="1" t="str">
        <f t="shared" si="3"/>
        <v>HYUNDAIGRAND I10 BA GLS 1.22019</v>
      </c>
      <c r="F821" s="1" t="s">
        <v>1868</v>
      </c>
      <c r="G821" s="1">
        <v>5490000</v>
      </c>
      <c r="H821" s="1">
        <v>4700000</v>
      </c>
    </row>
    <row r="822" spans="1:8" ht="13.5" customHeight="1" x14ac:dyDescent="0.3">
      <c r="A822" s="1" t="s">
        <v>167</v>
      </c>
      <c r="B822" s="1" t="s">
        <v>167</v>
      </c>
      <c r="C822" s="1" t="s">
        <v>4780</v>
      </c>
      <c r="D822" s="1">
        <v>2019</v>
      </c>
      <c r="E822" s="1" t="str">
        <f t="shared" si="3"/>
        <v>HYUNDAIGRAND I10 BA PE HB 1.22019</v>
      </c>
      <c r="F822" s="1" t="s">
        <v>2191</v>
      </c>
      <c r="G822" s="1">
        <v>7690000</v>
      </c>
      <c r="H822" s="1">
        <v>6100000</v>
      </c>
    </row>
    <row r="823" spans="1:8" ht="13.5" customHeight="1" x14ac:dyDescent="0.3">
      <c r="A823" s="1" t="s">
        <v>167</v>
      </c>
      <c r="B823" s="1" t="s">
        <v>167</v>
      </c>
      <c r="C823" s="1" t="s">
        <v>4781</v>
      </c>
      <c r="D823" s="1">
        <v>2021</v>
      </c>
      <c r="E823" s="1" t="str">
        <f t="shared" si="3"/>
        <v>HYUNDAIGRAND I10 HB 1.22021</v>
      </c>
      <c r="F823" s="1" t="s">
        <v>1985</v>
      </c>
      <c r="G823" s="1">
        <v>5957000</v>
      </c>
      <c r="H823" s="1">
        <v>6800000</v>
      </c>
    </row>
    <row r="824" spans="1:8" ht="13.5" customHeight="1" x14ac:dyDescent="0.3">
      <c r="A824" s="1" t="s">
        <v>167</v>
      </c>
      <c r="B824" s="1" t="s">
        <v>167</v>
      </c>
      <c r="C824" s="1" t="s">
        <v>4781</v>
      </c>
      <c r="D824" s="1">
        <v>2022</v>
      </c>
      <c r="E824" s="1" t="str">
        <f t="shared" si="3"/>
        <v>HYUNDAIGRAND I10 HB 1.22022</v>
      </c>
      <c r="F824" s="1" t="s">
        <v>1136</v>
      </c>
      <c r="G824" s="1">
        <v>7790000</v>
      </c>
      <c r="H824" s="1">
        <v>6400000</v>
      </c>
    </row>
    <row r="825" spans="1:8" ht="13.5" customHeight="1" x14ac:dyDescent="0.3">
      <c r="A825" s="1" t="s">
        <v>167</v>
      </c>
      <c r="B825" s="1" t="s">
        <v>167</v>
      </c>
      <c r="C825" s="1" t="s">
        <v>4782</v>
      </c>
      <c r="D825" s="1">
        <v>2022</v>
      </c>
      <c r="E825" s="1" t="str">
        <f t="shared" si="3"/>
        <v>HYUNDAII20 BI3 1.42022</v>
      </c>
      <c r="F825" s="1" t="s">
        <v>1411</v>
      </c>
      <c r="G825" s="1">
        <v>9590000</v>
      </c>
      <c r="H825" s="1">
        <v>7800000</v>
      </c>
    </row>
    <row r="826" spans="1:8" ht="13.5" customHeight="1" x14ac:dyDescent="0.3">
      <c r="A826" s="1" t="s">
        <v>167</v>
      </c>
      <c r="B826" s="1" t="s">
        <v>167</v>
      </c>
      <c r="C826" s="1" t="s">
        <v>4783</v>
      </c>
      <c r="D826" s="1">
        <v>2021</v>
      </c>
      <c r="E826" s="1" t="str">
        <f t="shared" si="3"/>
        <v>HYUNDAISANTA FE 2.2 AUT2021</v>
      </c>
      <c r="F826" s="1" t="s">
        <v>1528</v>
      </c>
      <c r="G826" s="1">
        <v>56180000</v>
      </c>
      <c r="H826" s="1">
        <v>49000000</v>
      </c>
    </row>
    <row r="827" spans="1:8" ht="13.5" customHeight="1" x14ac:dyDescent="0.3">
      <c r="A827" s="1" t="s">
        <v>167</v>
      </c>
      <c r="B827" s="1" t="s">
        <v>167</v>
      </c>
      <c r="C827" s="1" t="s">
        <v>4784</v>
      </c>
      <c r="D827" s="1">
        <v>2022</v>
      </c>
      <c r="E827" s="1" t="str">
        <f t="shared" si="3"/>
        <v>HYUNDAISANTA FE 2.5 AT2022</v>
      </c>
      <c r="F827" s="1" t="s">
        <v>1951</v>
      </c>
      <c r="G827" s="1">
        <v>21300000</v>
      </c>
      <c r="H827" s="1">
        <v>19000000</v>
      </c>
    </row>
    <row r="828" spans="1:8" ht="13.5" customHeight="1" x14ac:dyDescent="0.3">
      <c r="A828" s="1" t="s">
        <v>167</v>
      </c>
      <c r="B828" s="1" t="s">
        <v>167</v>
      </c>
      <c r="C828" s="1" t="s">
        <v>4785</v>
      </c>
      <c r="D828" s="1">
        <v>2024</v>
      </c>
      <c r="E828" s="1" t="str">
        <f t="shared" si="3"/>
        <v>HYUNDAISANTA FE CRDI 8DCT 2.2 AUT2024</v>
      </c>
      <c r="F828" s="1" t="s">
        <v>1018</v>
      </c>
      <c r="G828" s="1">
        <v>29500000</v>
      </c>
      <c r="H828" s="1">
        <v>25700000</v>
      </c>
    </row>
    <row r="829" spans="1:8" ht="13.5" customHeight="1" x14ac:dyDescent="0.3">
      <c r="A829" s="1" t="s">
        <v>167</v>
      </c>
      <c r="B829" s="1" t="s">
        <v>167</v>
      </c>
      <c r="C829" s="1" t="s">
        <v>4786</v>
      </c>
      <c r="D829" s="1">
        <v>2018</v>
      </c>
      <c r="E829" s="1" t="str">
        <f t="shared" si="3"/>
        <v>HYUNDAISANTA FE GLS 2.4 AT2018</v>
      </c>
      <c r="F829" s="1" t="s">
        <v>1646</v>
      </c>
      <c r="G829" s="1">
        <v>13386150</v>
      </c>
      <c r="H829" s="1">
        <v>11500000</v>
      </c>
    </row>
    <row r="830" spans="1:8" ht="13.5" customHeight="1" x14ac:dyDescent="0.3">
      <c r="A830" s="1" t="s">
        <v>167</v>
      </c>
      <c r="B830" s="1" t="s">
        <v>167</v>
      </c>
      <c r="C830" s="1" t="s">
        <v>4787</v>
      </c>
      <c r="D830" s="1">
        <v>2017</v>
      </c>
      <c r="E830" s="1" t="str">
        <f t="shared" si="3"/>
        <v>HYUNDAISANTA FE GLS 4WD 2.4 AT2017</v>
      </c>
      <c r="F830" s="1" t="s">
        <v>593</v>
      </c>
      <c r="G830" s="1">
        <v>13190000</v>
      </c>
      <c r="H830" s="1">
        <v>10900000</v>
      </c>
    </row>
    <row r="831" spans="1:8" ht="13.5" customHeight="1" x14ac:dyDescent="0.3">
      <c r="A831" s="1" t="s">
        <v>167</v>
      </c>
      <c r="B831" s="1" t="s">
        <v>167</v>
      </c>
      <c r="C831" s="1" t="s">
        <v>4788</v>
      </c>
      <c r="D831" s="1">
        <v>2020</v>
      </c>
      <c r="E831" s="1" t="str">
        <f t="shared" si="3"/>
        <v>HYUNDAITUCSON 2.02020</v>
      </c>
      <c r="F831" s="1" t="s">
        <v>2235</v>
      </c>
      <c r="G831" s="1">
        <v>14990000</v>
      </c>
      <c r="H831" s="1">
        <v>12000000</v>
      </c>
    </row>
    <row r="832" spans="1:8" ht="13.5" customHeight="1" x14ac:dyDescent="0.3">
      <c r="A832" s="1" t="s">
        <v>167</v>
      </c>
      <c r="B832" s="1" t="s">
        <v>167</v>
      </c>
      <c r="C832" s="1" t="s">
        <v>4789</v>
      </c>
      <c r="D832" s="1">
        <v>2017</v>
      </c>
      <c r="E832" s="1" t="str">
        <f t="shared" si="3"/>
        <v>HYUNDAITUCSON 4WD 2.0 AUT2017</v>
      </c>
      <c r="F832" s="1" t="s">
        <v>1586</v>
      </c>
      <c r="G832" s="1">
        <v>11590000</v>
      </c>
      <c r="H832" s="1">
        <v>9500000</v>
      </c>
    </row>
    <row r="833" spans="1:8" ht="13.5" customHeight="1" x14ac:dyDescent="0.3">
      <c r="A833" s="1" t="s">
        <v>167</v>
      </c>
      <c r="B833" s="1" t="s">
        <v>167</v>
      </c>
      <c r="C833" s="1" t="s">
        <v>4790</v>
      </c>
      <c r="D833" s="1">
        <v>2022</v>
      </c>
      <c r="E833" s="1" t="str">
        <f t="shared" si="3"/>
        <v>HYUNDAITUCSON NX4 1.6 AUT2022</v>
      </c>
      <c r="F833" s="1" t="s">
        <v>1700</v>
      </c>
      <c r="G833" s="1">
        <v>17890000</v>
      </c>
      <c r="H833" s="1">
        <v>15174790</v>
      </c>
    </row>
    <row r="834" spans="1:8" ht="13.5" customHeight="1" x14ac:dyDescent="0.3">
      <c r="A834" s="1" t="s">
        <v>167</v>
      </c>
      <c r="B834" s="1" t="s">
        <v>167</v>
      </c>
      <c r="C834" s="1" t="s">
        <v>4791</v>
      </c>
      <c r="D834" s="1">
        <v>2022</v>
      </c>
      <c r="E834" s="1" t="str">
        <f t="shared" si="3"/>
        <v>HYUNDAITUCSON NX4 2.02022</v>
      </c>
      <c r="F834" s="1" t="s">
        <v>808</v>
      </c>
      <c r="G834" s="1">
        <v>16890000</v>
      </c>
      <c r="H834" s="1">
        <v>14200000</v>
      </c>
    </row>
    <row r="835" spans="1:8" ht="13.5" customHeight="1" x14ac:dyDescent="0.3">
      <c r="A835" s="1" t="s">
        <v>167</v>
      </c>
      <c r="B835" s="1" t="s">
        <v>167</v>
      </c>
      <c r="C835" s="1" t="s">
        <v>176</v>
      </c>
      <c r="D835" s="1">
        <v>2023</v>
      </c>
      <c r="E835" s="1" t="str">
        <f t="shared" si="3"/>
        <v>HYUNDAITUCSON NX4 2.0 AUT2023</v>
      </c>
      <c r="F835" s="1" t="s">
        <v>995</v>
      </c>
      <c r="G835" s="1">
        <v>18740000</v>
      </c>
      <c r="H835" s="1">
        <v>16200000</v>
      </c>
    </row>
    <row r="836" spans="1:8" ht="13.5" customHeight="1" x14ac:dyDescent="0.3">
      <c r="A836" s="1" t="s">
        <v>167</v>
      </c>
      <c r="B836" s="1" t="s">
        <v>167</v>
      </c>
      <c r="C836" s="1" t="s">
        <v>176</v>
      </c>
      <c r="D836" s="1">
        <v>2023</v>
      </c>
      <c r="E836" s="1" t="str">
        <f t="shared" si="3"/>
        <v>HYUNDAITUCSON NX4 2.0 AUT2023</v>
      </c>
      <c r="F836" s="1" t="s">
        <v>1726</v>
      </c>
      <c r="G836" s="1">
        <v>19122008</v>
      </c>
      <c r="H836" s="1">
        <v>18500000</v>
      </c>
    </row>
    <row r="837" spans="1:8" ht="13.5" customHeight="1" x14ac:dyDescent="0.3">
      <c r="A837" s="1" t="s">
        <v>167</v>
      </c>
      <c r="B837" s="1" t="s">
        <v>167</v>
      </c>
      <c r="C837" s="1" t="s">
        <v>4792</v>
      </c>
      <c r="D837" s="1">
        <v>2021</v>
      </c>
      <c r="E837" s="1" t="str">
        <f t="shared" si="3"/>
        <v>HYUNDAITUCSON NX4 GDI 7DCT 1.6 AUT2021</v>
      </c>
      <c r="F837" s="1" t="s">
        <v>1629</v>
      </c>
      <c r="G837" s="1">
        <v>17590000</v>
      </c>
      <c r="H837" s="1">
        <v>15000000</v>
      </c>
    </row>
    <row r="838" spans="1:8" ht="13.5" customHeight="1" x14ac:dyDescent="0.3">
      <c r="A838" s="1" t="s">
        <v>167</v>
      </c>
      <c r="B838" s="1" t="s">
        <v>167</v>
      </c>
      <c r="C838" s="1" t="s">
        <v>4792</v>
      </c>
      <c r="D838" s="1">
        <v>2022</v>
      </c>
      <c r="E838" s="1" t="str">
        <f t="shared" si="3"/>
        <v>HYUNDAITUCSON NX4 GDI 7DCT 1.6 AUT2022</v>
      </c>
      <c r="F838" s="1" t="s">
        <v>706</v>
      </c>
      <c r="G838" s="1">
        <v>15490000</v>
      </c>
      <c r="H838" s="1">
        <v>14562895</v>
      </c>
    </row>
    <row r="839" spans="1:8" ht="13.5" customHeight="1" x14ac:dyDescent="0.3">
      <c r="A839" s="1" t="s">
        <v>167</v>
      </c>
      <c r="B839" s="1" t="s">
        <v>167</v>
      </c>
      <c r="C839" s="1" t="s">
        <v>4792</v>
      </c>
      <c r="D839" s="1">
        <v>2022</v>
      </c>
      <c r="E839" s="1" t="str">
        <f t="shared" si="3"/>
        <v>HYUNDAITUCSON NX4 GDI 7DCT 1.6 AUT2022</v>
      </c>
      <c r="F839" s="1" t="s">
        <v>2145</v>
      </c>
      <c r="G839" s="1">
        <v>19490000</v>
      </c>
      <c r="H839" s="1">
        <v>16394958</v>
      </c>
    </row>
    <row r="840" spans="1:8" ht="13.5" customHeight="1" x14ac:dyDescent="0.3">
      <c r="A840" s="1" t="s">
        <v>167</v>
      </c>
      <c r="B840" s="1" t="s">
        <v>167</v>
      </c>
      <c r="C840" s="1" t="s">
        <v>4793</v>
      </c>
      <c r="D840" s="1">
        <v>2021</v>
      </c>
      <c r="E840" s="1" t="str">
        <f t="shared" si="3"/>
        <v>HYUNDAITUCSON NX4 MPI 2.02021</v>
      </c>
      <c r="F840" s="1" t="s">
        <v>390</v>
      </c>
      <c r="G840" s="1">
        <v>16500000</v>
      </c>
      <c r="H840" s="1">
        <v>13000000</v>
      </c>
    </row>
    <row r="841" spans="1:8" ht="13.5" customHeight="1" x14ac:dyDescent="0.3">
      <c r="A841" s="1" t="s">
        <v>167</v>
      </c>
      <c r="B841" s="1" t="s">
        <v>167</v>
      </c>
      <c r="C841" s="1" t="s">
        <v>4793</v>
      </c>
      <c r="D841" s="1">
        <v>2021</v>
      </c>
      <c r="E841" s="1" t="str">
        <f t="shared" si="3"/>
        <v>HYUNDAITUCSON NX4 MPI 2.02021</v>
      </c>
      <c r="F841" s="1" t="s">
        <v>1730</v>
      </c>
      <c r="G841" s="1">
        <v>14790000</v>
      </c>
      <c r="H841" s="1">
        <v>12200000</v>
      </c>
    </row>
    <row r="842" spans="1:8" ht="13.5" customHeight="1" x14ac:dyDescent="0.3">
      <c r="A842" s="1" t="s">
        <v>167</v>
      </c>
      <c r="B842" s="1" t="s">
        <v>167</v>
      </c>
      <c r="C842" s="1" t="s">
        <v>4794</v>
      </c>
      <c r="D842" s="1">
        <v>2018</v>
      </c>
      <c r="E842" s="1" t="str">
        <f t="shared" si="3"/>
        <v>HYUNDAITUCSON TL 2.02018</v>
      </c>
      <c r="F842" s="1" t="s">
        <v>1756</v>
      </c>
      <c r="G842" s="1">
        <v>10990000</v>
      </c>
      <c r="H842" s="1">
        <v>8800000</v>
      </c>
    </row>
    <row r="843" spans="1:8" ht="13.5" customHeight="1" x14ac:dyDescent="0.3">
      <c r="A843" s="1" t="s">
        <v>167</v>
      </c>
      <c r="B843" s="1" t="s">
        <v>167</v>
      </c>
      <c r="C843" s="1" t="s">
        <v>4794</v>
      </c>
      <c r="D843" s="1">
        <v>2019</v>
      </c>
      <c r="E843" s="1" t="str">
        <f t="shared" si="3"/>
        <v>HYUNDAITUCSON TL 2.02019</v>
      </c>
      <c r="F843" s="1" t="s">
        <v>1847</v>
      </c>
      <c r="G843" s="1">
        <v>12890000</v>
      </c>
      <c r="H843" s="1">
        <v>10500000</v>
      </c>
    </row>
    <row r="844" spans="1:8" ht="13.5" customHeight="1" x14ac:dyDescent="0.3">
      <c r="A844" s="1" t="s">
        <v>167</v>
      </c>
      <c r="B844" s="1" t="s">
        <v>167</v>
      </c>
      <c r="C844" s="1" t="s">
        <v>4794</v>
      </c>
      <c r="D844" s="1">
        <v>2019</v>
      </c>
      <c r="E844" s="1" t="str">
        <f t="shared" si="3"/>
        <v>HYUNDAITUCSON TL 2.02019</v>
      </c>
      <c r="F844" s="1" t="s">
        <v>604</v>
      </c>
      <c r="G844" s="1">
        <v>12990000</v>
      </c>
      <c r="H844" s="1">
        <v>10600000</v>
      </c>
    </row>
    <row r="845" spans="1:8" ht="13.5" customHeight="1" x14ac:dyDescent="0.3">
      <c r="A845" s="1" t="s">
        <v>167</v>
      </c>
      <c r="B845" s="1" t="s">
        <v>167</v>
      </c>
      <c r="C845" s="1" t="s">
        <v>4794</v>
      </c>
      <c r="D845" s="1">
        <v>2019</v>
      </c>
      <c r="E845" s="1" t="str">
        <f t="shared" si="3"/>
        <v>HYUNDAITUCSON TL 2.02019</v>
      </c>
      <c r="F845" s="1" t="s">
        <v>434</v>
      </c>
      <c r="G845" s="1">
        <v>12490000</v>
      </c>
      <c r="H845" s="1">
        <v>10000000</v>
      </c>
    </row>
    <row r="846" spans="1:8" ht="13.5" customHeight="1" x14ac:dyDescent="0.3">
      <c r="A846" s="1" t="s">
        <v>167</v>
      </c>
      <c r="B846" s="1" t="s">
        <v>167</v>
      </c>
      <c r="C846" s="1" t="s">
        <v>4794</v>
      </c>
      <c r="D846" s="1">
        <v>2019</v>
      </c>
      <c r="E846" s="1" t="str">
        <f t="shared" si="3"/>
        <v>HYUNDAITUCSON TL 2.02019</v>
      </c>
      <c r="F846" s="1" t="s">
        <v>764</v>
      </c>
      <c r="G846" s="1">
        <v>12490000</v>
      </c>
      <c r="H846" s="1">
        <v>10000000</v>
      </c>
    </row>
    <row r="847" spans="1:8" ht="13.5" customHeight="1" x14ac:dyDescent="0.3">
      <c r="A847" s="1" t="s">
        <v>167</v>
      </c>
      <c r="B847" s="1" t="s">
        <v>167</v>
      </c>
      <c r="C847" s="1" t="s">
        <v>4794</v>
      </c>
      <c r="D847" s="1">
        <v>2020</v>
      </c>
      <c r="E847" s="1" t="str">
        <f t="shared" si="3"/>
        <v>HYUNDAITUCSON TL 2.02020</v>
      </c>
      <c r="F847" s="1" t="s">
        <v>1418</v>
      </c>
      <c r="G847" s="1">
        <v>13990000</v>
      </c>
      <c r="H847" s="1">
        <v>11200000</v>
      </c>
    </row>
    <row r="848" spans="1:8" ht="13.5" customHeight="1" x14ac:dyDescent="0.3">
      <c r="A848" s="1" t="s">
        <v>167</v>
      </c>
      <c r="B848" s="1" t="s">
        <v>167</v>
      </c>
      <c r="C848" s="1" t="s">
        <v>4794</v>
      </c>
      <c r="D848" s="1">
        <v>2021</v>
      </c>
      <c r="E848" s="1" t="str">
        <f t="shared" si="3"/>
        <v>HYUNDAITUCSON TL 2.02021</v>
      </c>
      <c r="F848" s="1" t="s">
        <v>424</v>
      </c>
      <c r="G848" s="1">
        <v>15390000</v>
      </c>
      <c r="H848" s="1">
        <v>12700000</v>
      </c>
    </row>
    <row r="849" spans="1:8" ht="13.5" customHeight="1" x14ac:dyDescent="0.3">
      <c r="A849" s="1" t="s">
        <v>167</v>
      </c>
      <c r="B849" s="1" t="s">
        <v>167</v>
      </c>
      <c r="C849" s="1" t="s">
        <v>4795</v>
      </c>
      <c r="D849" s="1">
        <v>2020</v>
      </c>
      <c r="E849" s="1" t="str">
        <f t="shared" si="3"/>
        <v>HYUNDAITUCSON TL 2.0 AT2020</v>
      </c>
      <c r="F849" s="1" t="s">
        <v>2758</v>
      </c>
      <c r="G849" s="1">
        <v>14690000</v>
      </c>
      <c r="H849" s="1">
        <v>17000000</v>
      </c>
    </row>
    <row r="850" spans="1:8" ht="13.5" customHeight="1" x14ac:dyDescent="0.3">
      <c r="A850" s="1" t="s">
        <v>167</v>
      </c>
      <c r="B850" s="1" t="s">
        <v>167</v>
      </c>
      <c r="C850" s="1" t="s">
        <v>4795</v>
      </c>
      <c r="D850" s="1">
        <v>2020</v>
      </c>
      <c r="E850" s="1" t="str">
        <f t="shared" si="3"/>
        <v>HYUNDAITUCSON TL 2.0 AT2020</v>
      </c>
      <c r="F850" s="1" t="s">
        <v>731</v>
      </c>
      <c r="G850" s="1">
        <v>13490000</v>
      </c>
      <c r="H850" s="1">
        <v>11300000</v>
      </c>
    </row>
    <row r="851" spans="1:8" ht="13.5" customHeight="1" x14ac:dyDescent="0.3">
      <c r="A851" s="1" t="s">
        <v>167</v>
      </c>
      <c r="B851" s="1" t="s">
        <v>167</v>
      </c>
      <c r="C851" s="1" t="s">
        <v>4796</v>
      </c>
      <c r="D851" s="1">
        <v>2020</v>
      </c>
      <c r="E851" s="1" t="str">
        <f t="shared" si="3"/>
        <v>HYUNDAITUCSON TL 2.0 AUT2020</v>
      </c>
      <c r="F851" s="1" t="s">
        <v>731</v>
      </c>
      <c r="G851" s="1">
        <v>12690000</v>
      </c>
      <c r="H851" s="1">
        <v>10900000</v>
      </c>
    </row>
    <row r="852" spans="1:8" ht="13.5" customHeight="1" x14ac:dyDescent="0.3">
      <c r="A852" s="1" t="s">
        <v>167</v>
      </c>
      <c r="B852" s="1" t="s">
        <v>167</v>
      </c>
      <c r="C852" s="1" t="s">
        <v>4796</v>
      </c>
      <c r="D852" s="1">
        <v>2020</v>
      </c>
      <c r="E852" s="1" t="str">
        <f t="shared" si="3"/>
        <v>HYUNDAITUCSON TL 2.0 AUT2020</v>
      </c>
      <c r="F852" s="1" t="s">
        <v>1176</v>
      </c>
      <c r="G852" s="1">
        <v>14190000</v>
      </c>
      <c r="H852" s="1">
        <v>11500000</v>
      </c>
    </row>
    <row r="853" spans="1:8" ht="13.5" customHeight="1" x14ac:dyDescent="0.3">
      <c r="A853" s="1" t="s">
        <v>167</v>
      </c>
      <c r="B853" s="1" t="s">
        <v>167</v>
      </c>
      <c r="C853" s="1" t="s">
        <v>4797</v>
      </c>
      <c r="D853" s="1">
        <v>2017</v>
      </c>
      <c r="E853" s="1" t="str">
        <f t="shared" si="3"/>
        <v>HYUNDAITUCSON TL GL ACTIVE 2.02017</v>
      </c>
      <c r="F853" s="1" t="s">
        <v>1315</v>
      </c>
      <c r="G853" s="1">
        <v>10390000</v>
      </c>
      <c r="H853" s="1">
        <v>8100000</v>
      </c>
    </row>
    <row r="854" spans="1:8" ht="13.5" customHeight="1" x14ac:dyDescent="0.3">
      <c r="A854" s="1" t="s">
        <v>167</v>
      </c>
      <c r="B854" s="1" t="s">
        <v>167</v>
      </c>
      <c r="C854" s="1" t="s">
        <v>4798</v>
      </c>
      <c r="D854" s="1">
        <v>2016</v>
      </c>
      <c r="E854" s="1" t="str">
        <f t="shared" si="3"/>
        <v>HYUNDAITUCSON TL GL ADVANCE 2.02016</v>
      </c>
      <c r="F854" s="1" t="s">
        <v>2363</v>
      </c>
      <c r="G854" s="1">
        <v>11000000</v>
      </c>
      <c r="H854" s="1">
        <v>9000000</v>
      </c>
    </row>
    <row r="855" spans="1:8" ht="13.5" customHeight="1" x14ac:dyDescent="0.3">
      <c r="A855" s="1" t="s">
        <v>167</v>
      </c>
      <c r="B855" s="1" t="s">
        <v>167</v>
      </c>
      <c r="C855" s="1" t="s">
        <v>4798</v>
      </c>
      <c r="D855" s="1">
        <v>2018</v>
      </c>
      <c r="E855" s="1" t="str">
        <f t="shared" si="3"/>
        <v>HYUNDAITUCSON TL GL ADVANCE 2.02018</v>
      </c>
      <c r="F855" s="1" t="s">
        <v>2377</v>
      </c>
      <c r="G855" s="1">
        <v>12790000</v>
      </c>
      <c r="H855" s="1">
        <v>11000000</v>
      </c>
    </row>
    <row r="856" spans="1:8" ht="13.5" customHeight="1" x14ac:dyDescent="0.3">
      <c r="A856" s="1" t="s">
        <v>167</v>
      </c>
      <c r="B856" s="1" t="s">
        <v>167</v>
      </c>
      <c r="C856" s="1" t="s">
        <v>4799</v>
      </c>
      <c r="D856" s="1">
        <v>2018</v>
      </c>
      <c r="E856" s="1" t="str">
        <f t="shared" si="3"/>
        <v>HYUNDAIVELOSTER GLS 1.62018</v>
      </c>
      <c r="F856" s="1" t="s">
        <v>2251</v>
      </c>
      <c r="G856" s="1">
        <v>11990000</v>
      </c>
      <c r="H856" s="1">
        <v>9900000</v>
      </c>
    </row>
    <row r="857" spans="1:8" ht="13.5" customHeight="1" x14ac:dyDescent="0.3">
      <c r="A857" s="1" t="s">
        <v>167</v>
      </c>
      <c r="B857" s="1" t="s">
        <v>167</v>
      </c>
      <c r="C857" s="1" t="s">
        <v>4800</v>
      </c>
      <c r="D857" s="1">
        <v>2016</v>
      </c>
      <c r="E857" s="1" t="str">
        <f t="shared" si="3"/>
        <v>HYUNDAIVELOSTER GLS FULL 1.62016</v>
      </c>
      <c r="F857" s="1" t="s">
        <v>1617</v>
      </c>
      <c r="G857" s="1">
        <v>9990000</v>
      </c>
      <c r="H857" s="1">
        <v>8300000</v>
      </c>
    </row>
    <row r="858" spans="1:8" ht="13.5" customHeight="1" x14ac:dyDescent="0.3">
      <c r="A858" s="1" t="s">
        <v>167</v>
      </c>
      <c r="B858" s="1" t="s">
        <v>167</v>
      </c>
      <c r="C858" s="1" t="s">
        <v>4801</v>
      </c>
      <c r="D858" s="1">
        <v>2019</v>
      </c>
      <c r="E858" s="1" t="str">
        <f t="shared" si="3"/>
        <v>HYUNDAIVELOSTER JS HB 2.02019</v>
      </c>
      <c r="F858" s="1" t="s">
        <v>2189</v>
      </c>
      <c r="G858" s="1">
        <v>10990000</v>
      </c>
      <c r="H858" s="1">
        <v>10500000</v>
      </c>
    </row>
    <row r="859" spans="1:8" ht="13.5" customHeight="1" x14ac:dyDescent="0.3">
      <c r="A859" s="1" t="s">
        <v>167</v>
      </c>
      <c r="B859" s="1" t="s">
        <v>167</v>
      </c>
      <c r="C859" s="1" t="s">
        <v>4802</v>
      </c>
      <c r="D859" s="1">
        <v>2020</v>
      </c>
      <c r="E859" s="1" t="str">
        <f t="shared" si="3"/>
        <v>HYUNDAIVENUE QX 1.62020</v>
      </c>
      <c r="F859" s="1" t="s">
        <v>603</v>
      </c>
      <c r="G859" s="1">
        <v>9690000</v>
      </c>
      <c r="H859" s="1">
        <v>8200000</v>
      </c>
    </row>
    <row r="860" spans="1:8" ht="13.5" customHeight="1" x14ac:dyDescent="0.3">
      <c r="A860" s="1" t="s">
        <v>167</v>
      </c>
      <c r="B860" s="1" t="s">
        <v>167</v>
      </c>
      <c r="C860" s="1" t="s">
        <v>4803</v>
      </c>
      <c r="D860" s="1">
        <v>2021</v>
      </c>
      <c r="E860" s="1" t="str">
        <f t="shared" si="3"/>
        <v>HYUNDAIVERNA 1.42021</v>
      </c>
      <c r="F860" s="1" t="s">
        <v>2090</v>
      </c>
      <c r="G860" s="1">
        <v>8990000</v>
      </c>
      <c r="H860" s="1">
        <v>6800000</v>
      </c>
    </row>
    <row r="861" spans="1:8" ht="13.5" customHeight="1" x14ac:dyDescent="0.3">
      <c r="A861" s="1" t="s">
        <v>167</v>
      </c>
      <c r="B861" s="1" t="s">
        <v>167</v>
      </c>
      <c r="C861" s="1" t="s">
        <v>4804</v>
      </c>
      <c r="D861" s="1">
        <v>2021</v>
      </c>
      <c r="E861" s="1" t="str">
        <f t="shared" si="3"/>
        <v>HYUNDAIVERNA CB 1.42021</v>
      </c>
      <c r="F861" s="1" t="s">
        <v>1980</v>
      </c>
      <c r="G861" s="1">
        <v>6300000</v>
      </c>
      <c r="H861" s="1">
        <v>6650000</v>
      </c>
    </row>
    <row r="862" spans="1:8" ht="13.5" customHeight="1" x14ac:dyDescent="0.3">
      <c r="A862" s="1" t="s">
        <v>167</v>
      </c>
      <c r="B862" s="1" t="s">
        <v>167</v>
      </c>
      <c r="C862" s="1" t="s">
        <v>4804</v>
      </c>
      <c r="D862" s="1">
        <v>2021</v>
      </c>
      <c r="E862" s="1" t="str">
        <f t="shared" si="3"/>
        <v>HYUNDAIVERNA CB 1.42021</v>
      </c>
      <c r="F862" s="1" t="s">
        <v>1678</v>
      </c>
      <c r="G862" s="1">
        <v>7890000</v>
      </c>
      <c r="H862" s="1">
        <v>6500000</v>
      </c>
    </row>
    <row r="863" spans="1:8" ht="13.5" customHeight="1" x14ac:dyDescent="0.3">
      <c r="A863" s="1" t="s">
        <v>167</v>
      </c>
      <c r="B863" s="1" t="s">
        <v>167</v>
      </c>
      <c r="C863" s="1" t="s">
        <v>4804</v>
      </c>
      <c r="D863" s="1">
        <v>2022</v>
      </c>
      <c r="E863" s="1" t="str">
        <f t="shared" si="3"/>
        <v>HYUNDAIVERNA CB 1.42022</v>
      </c>
      <c r="F863" s="1" t="s">
        <v>2076</v>
      </c>
      <c r="G863" s="1">
        <v>8790000</v>
      </c>
      <c r="H863" s="1">
        <v>6735294</v>
      </c>
    </row>
    <row r="864" spans="1:8" ht="13.5" customHeight="1" x14ac:dyDescent="0.3">
      <c r="A864" s="1" t="s">
        <v>167</v>
      </c>
      <c r="B864" s="1" t="s">
        <v>4805</v>
      </c>
      <c r="C864" s="1" t="s">
        <v>4806</v>
      </c>
      <c r="D864" s="1">
        <v>2021</v>
      </c>
      <c r="E864" s="1" t="str">
        <f t="shared" si="3"/>
        <v>TODASTUCSON NX4 CRDI 8AT 2.0 AUT2021</v>
      </c>
      <c r="F864" s="1" t="s">
        <v>1544</v>
      </c>
      <c r="G864" s="1">
        <v>16538150</v>
      </c>
      <c r="H864" s="1">
        <v>14250000</v>
      </c>
    </row>
    <row r="865" spans="1:8" ht="13.5" customHeight="1" x14ac:dyDescent="0.3">
      <c r="A865" s="1" t="s">
        <v>4807</v>
      </c>
      <c r="B865" s="1" t="s">
        <v>4807</v>
      </c>
      <c r="C865" s="1" t="s">
        <v>4808</v>
      </c>
      <c r="D865" s="1">
        <v>2007</v>
      </c>
      <c r="E865" s="1" t="str">
        <f t="shared" si="3"/>
        <v>INTERNATIONAL43002007</v>
      </c>
      <c r="F865" s="1" t="s">
        <v>4809</v>
      </c>
      <c r="G865" s="1">
        <v>20000000</v>
      </c>
      <c r="H865" s="1">
        <v>0</v>
      </c>
    </row>
    <row r="866" spans="1:8" ht="13.5" customHeight="1" x14ac:dyDescent="0.3">
      <c r="A866" s="1" t="s">
        <v>181</v>
      </c>
      <c r="B866" s="1" t="s">
        <v>181</v>
      </c>
      <c r="C866" s="1" t="s">
        <v>4810</v>
      </c>
      <c r="D866" s="1">
        <v>2021</v>
      </c>
      <c r="E866" s="1" t="str">
        <f t="shared" si="3"/>
        <v>JACGRAND S3 HB 1.62021</v>
      </c>
      <c r="F866" s="1" t="s">
        <v>1817</v>
      </c>
      <c r="G866" s="1">
        <v>7790000</v>
      </c>
      <c r="H866" s="1">
        <v>6000000</v>
      </c>
    </row>
    <row r="867" spans="1:8" ht="13.5" customHeight="1" x14ac:dyDescent="0.3">
      <c r="A867" s="1" t="s">
        <v>181</v>
      </c>
      <c r="B867" s="1" t="s">
        <v>181</v>
      </c>
      <c r="C867" s="1" t="s">
        <v>4811</v>
      </c>
      <c r="D867" s="1">
        <v>2021</v>
      </c>
      <c r="E867" s="1" t="str">
        <f t="shared" si="3"/>
        <v>JACJS2 HB 1.52021</v>
      </c>
      <c r="F867" s="1" t="s">
        <v>2236</v>
      </c>
      <c r="G867" s="1">
        <v>8990000</v>
      </c>
      <c r="H867" s="1">
        <v>7200000</v>
      </c>
    </row>
    <row r="868" spans="1:8" ht="13.5" customHeight="1" x14ac:dyDescent="0.3">
      <c r="A868" s="1" t="s">
        <v>181</v>
      </c>
      <c r="B868" s="1" t="s">
        <v>181</v>
      </c>
      <c r="C868" s="1" t="s">
        <v>4811</v>
      </c>
      <c r="D868" s="1">
        <v>2021</v>
      </c>
      <c r="E868" s="1" t="str">
        <f t="shared" si="3"/>
        <v>JACJS2 HB 1.52021</v>
      </c>
      <c r="F868" s="1" t="s">
        <v>1174</v>
      </c>
      <c r="G868" s="1">
        <v>15272150</v>
      </c>
      <c r="H868" s="1">
        <v>12500000</v>
      </c>
    </row>
    <row r="869" spans="1:8" ht="13.5" customHeight="1" x14ac:dyDescent="0.3">
      <c r="A869" s="1" t="s">
        <v>181</v>
      </c>
      <c r="B869" s="1" t="s">
        <v>181</v>
      </c>
      <c r="C869" s="1" t="s">
        <v>4812</v>
      </c>
      <c r="D869" s="1">
        <v>2022</v>
      </c>
      <c r="E869" s="1" t="str">
        <f t="shared" si="3"/>
        <v>JACJS3 1.62022</v>
      </c>
      <c r="F869" s="1" t="s">
        <v>1010</v>
      </c>
      <c r="G869" s="1">
        <v>8190000</v>
      </c>
      <c r="H869" s="1">
        <v>6370000</v>
      </c>
    </row>
    <row r="870" spans="1:8" ht="13.5" customHeight="1" x14ac:dyDescent="0.3">
      <c r="A870" s="1" t="s">
        <v>181</v>
      </c>
      <c r="B870" s="1" t="s">
        <v>181</v>
      </c>
      <c r="C870" s="1" t="s">
        <v>4813</v>
      </c>
      <c r="D870" s="1">
        <v>2021</v>
      </c>
      <c r="E870" s="1" t="str">
        <f t="shared" si="3"/>
        <v>JACJS3 HB 1.62021</v>
      </c>
      <c r="F870" s="1" t="s">
        <v>2242</v>
      </c>
      <c r="G870" s="1">
        <v>9090000</v>
      </c>
      <c r="H870" s="1">
        <v>7700000</v>
      </c>
    </row>
    <row r="871" spans="1:8" ht="13.5" customHeight="1" x14ac:dyDescent="0.3">
      <c r="A871" s="1" t="s">
        <v>181</v>
      </c>
      <c r="B871" s="1" t="s">
        <v>181</v>
      </c>
      <c r="C871" s="1" t="s">
        <v>4813</v>
      </c>
      <c r="D871" s="1">
        <v>2021</v>
      </c>
      <c r="E871" s="1" t="str">
        <f t="shared" si="3"/>
        <v>JACJS3 HB 1.62021</v>
      </c>
      <c r="F871" s="1" t="s">
        <v>1595</v>
      </c>
      <c r="G871" s="1">
        <v>8690000</v>
      </c>
      <c r="H871" s="1">
        <v>7500000</v>
      </c>
    </row>
    <row r="872" spans="1:8" ht="13.5" customHeight="1" x14ac:dyDescent="0.3">
      <c r="A872" s="1" t="s">
        <v>181</v>
      </c>
      <c r="B872" s="1" t="s">
        <v>181</v>
      </c>
      <c r="C872" s="1" t="s">
        <v>4814</v>
      </c>
      <c r="D872" s="1">
        <v>2019</v>
      </c>
      <c r="E872" s="1" t="str">
        <f t="shared" si="3"/>
        <v>JACS1 HB 1.32019</v>
      </c>
      <c r="F872" s="1" t="s">
        <v>1559</v>
      </c>
      <c r="G872" s="1">
        <v>5790000</v>
      </c>
      <c r="H872" s="1">
        <v>4700000</v>
      </c>
    </row>
    <row r="873" spans="1:8" ht="13.5" customHeight="1" x14ac:dyDescent="0.3">
      <c r="A873" s="1" t="s">
        <v>181</v>
      </c>
      <c r="B873" s="1" t="s">
        <v>181</v>
      </c>
      <c r="C873" s="1" t="s">
        <v>4815</v>
      </c>
      <c r="D873" s="1">
        <v>2018</v>
      </c>
      <c r="E873" s="1" t="str">
        <f t="shared" si="3"/>
        <v>JACS2 1.5 AUT2018</v>
      </c>
      <c r="F873" s="1" t="s">
        <v>2364</v>
      </c>
      <c r="G873" s="1">
        <v>7590000</v>
      </c>
      <c r="H873" s="1">
        <v>6200000</v>
      </c>
    </row>
    <row r="874" spans="1:8" ht="13.5" customHeight="1" x14ac:dyDescent="0.3">
      <c r="A874" s="1" t="s">
        <v>181</v>
      </c>
      <c r="B874" s="1" t="s">
        <v>181</v>
      </c>
      <c r="C874" s="1" t="s">
        <v>4816</v>
      </c>
      <c r="D874" s="1">
        <v>2019</v>
      </c>
      <c r="E874" s="1" t="str">
        <f t="shared" si="3"/>
        <v>JACS2 CE 1.52019</v>
      </c>
      <c r="F874" s="1" t="s">
        <v>1213</v>
      </c>
      <c r="G874" s="1">
        <v>6290000</v>
      </c>
      <c r="H874" s="1">
        <v>5000000</v>
      </c>
    </row>
    <row r="875" spans="1:8" ht="13.5" customHeight="1" x14ac:dyDescent="0.3">
      <c r="A875" s="1" t="s">
        <v>181</v>
      </c>
      <c r="B875" s="1" t="s">
        <v>181</v>
      </c>
      <c r="C875" s="1" t="s">
        <v>4817</v>
      </c>
      <c r="D875" s="1">
        <v>2017</v>
      </c>
      <c r="E875" s="1" t="str">
        <f t="shared" si="3"/>
        <v>JACS2 CE CVT 1.52017</v>
      </c>
      <c r="F875" s="1" t="s">
        <v>1178</v>
      </c>
      <c r="G875" s="1">
        <v>13478150</v>
      </c>
      <c r="H875" s="1">
        <v>10000000</v>
      </c>
    </row>
    <row r="876" spans="1:8" ht="13.5" customHeight="1" x14ac:dyDescent="0.3">
      <c r="A876" s="1" t="s">
        <v>181</v>
      </c>
      <c r="B876" s="1" t="s">
        <v>181</v>
      </c>
      <c r="C876" s="1" t="s">
        <v>4818</v>
      </c>
      <c r="D876" s="1">
        <v>2018</v>
      </c>
      <c r="E876" s="1" t="str">
        <f t="shared" si="3"/>
        <v>JACS2 CE SPORT 1.52018</v>
      </c>
      <c r="F876" s="1" t="s">
        <v>1941</v>
      </c>
      <c r="G876" s="1">
        <v>3000000</v>
      </c>
      <c r="H876" s="1">
        <v>4600000</v>
      </c>
    </row>
    <row r="877" spans="1:8" ht="13.5" customHeight="1" x14ac:dyDescent="0.3">
      <c r="A877" s="1" t="s">
        <v>181</v>
      </c>
      <c r="B877" s="1" t="s">
        <v>181</v>
      </c>
      <c r="C877" s="1" t="s">
        <v>4819</v>
      </c>
      <c r="D877" s="1">
        <v>2017</v>
      </c>
      <c r="E877" s="1" t="str">
        <f t="shared" si="3"/>
        <v>JACS3 1.62017</v>
      </c>
      <c r="F877" s="1" t="s">
        <v>2182</v>
      </c>
      <c r="G877" s="1">
        <v>6990000</v>
      </c>
      <c r="H877" s="1">
        <v>5100000</v>
      </c>
    </row>
    <row r="878" spans="1:8" ht="13.5" customHeight="1" x14ac:dyDescent="0.3">
      <c r="A878" s="1" t="s">
        <v>181</v>
      </c>
      <c r="B878" s="1" t="s">
        <v>181</v>
      </c>
      <c r="C878" s="1" t="s">
        <v>4820</v>
      </c>
      <c r="D878" s="1">
        <v>2022</v>
      </c>
      <c r="E878" s="1" t="str">
        <f t="shared" si="3"/>
        <v>JACT8 CE 4X4 2.02022</v>
      </c>
      <c r="F878" s="1" t="s">
        <v>2245</v>
      </c>
      <c r="G878" s="1">
        <v>14990000</v>
      </c>
      <c r="H878" s="1">
        <v>12800000</v>
      </c>
    </row>
    <row r="879" spans="1:8" ht="13.5" customHeight="1" x14ac:dyDescent="0.3">
      <c r="A879" s="1" t="s">
        <v>181</v>
      </c>
      <c r="B879" s="1" t="s">
        <v>4821</v>
      </c>
      <c r="C879" s="1" t="s">
        <v>4822</v>
      </c>
      <c r="D879" s="1">
        <v>2024</v>
      </c>
      <c r="E879" s="1" t="str">
        <f t="shared" si="3"/>
        <v>JSJS2 HATCHBACK 1.52024</v>
      </c>
      <c r="F879" s="1" t="s">
        <v>531</v>
      </c>
      <c r="G879" s="1">
        <v>8390000</v>
      </c>
      <c r="H879" s="1">
        <v>7000000</v>
      </c>
    </row>
    <row r="880" spans="1:8" ht="13.5" customHeight="1" x14ac:dyDescent="0.3">
      <c r="A880" s="1" t="s">
        <v>181</v>
      </c>
      <c r="B880" s="1" t="s">
        <v>4821</v>
      </c>
      <c r="C880" s="1" t="s">
        <v>4823</v>
      </c>
      <c r="D880" s="1">
        <v>2022</v>
      </c>
      <c r="E880" s="1" t="str">
        <f t="shared" si="3"/>
        <v>JSJS2 LUXURY HB 1.52022</v>
      </c>
      <c r="F880" s="1" t="s">
        <v>1111</v>
      </c>
      <c r="G880" s="1">
        <v>8590000</v>
      </c>
      <c r="H880" s="1">
        <v>7000000</v>
      </c>
    </row>
    <row r="881" spans="1:8" ht="13.5" customHeight="1" x14ac:dyDescent="0.3">
      <c r="A881" s="1" t="s">
        <v>181</v>
      </c>
      <c r="B881" s="1" t="s">
        <v>4821</v>
      </c>
      <c r="C881" s="1" t="s">
        <v>4824</v>
      </c>
      <c r="D881" s="1">
        <v>2026</v>
      </c>
      <c r="E881" s="1" t="str">
        <f t="shared" si="3"/>
        <v>JSJS2 MPI 1.52026</v>
      </c>
      <c r="F881" s="1" t="s">
        <v>484</v>
      </c>
      <c r="G881" s="1">
        <v>8490000</v>
      </c>
      <c r="H881" s="1">
        <v>7100000</v>
      </c>
    </row>
    <row r="882" spans="1:8" ht="13.5" customHeight="1" x14ac:dyDescent="0.3">
      <c r="A882" s="1" t="s">
        <v>181</v>
      </c>
      <c r="B882" s="1" t="s">
        <v>4821</v>
      </c>
      <c r="C882" s="1" t="s">
        <v>4825</v>
      </c>
      <c r="D882" s="1">
        <v>2024</v>
      </c>
      <c r="E882" s="1" t="str">
        <f t="shared" si="3"/>
        <v>JSJS4 TURBO CVT 1.5 AUT2024</v>
      </c>
      <c r="F882" s="1" t="s">
        <v>1152</v>
      </c>
      <c r="G882" s="1">
        <v>12990000</v>
      </c>
      <c r="H882" s="1">
        <v>11000000</v>
      </c>
    </row>
    <row r="883" spans="1:8" ht="13.5" customHeight="1" x14ac:dyDescent="0.3">
      <c r="A883" s="1" t="s">
        <v>181</v>
      </c>
      <c r="B883" s="1" t="s">
        <v>4821</v>
      </c>
      <c r="C883" s="1" t="s">
        <v>4826</v>
      </c>
      <c r="D883" s="1">
        <v>2022</v>
      </c>
      <c r="E883" s="1" t="str">
        <f t="shared" si="3"/>
        <v>JSJS8 TURBO DCT 1.5 AUT2022</v>
      </c>
      <c r="F883" s="1" t="s">
        <v>1195</v>
      </c>
      <c r="G883" s="1">
        <v>12890000</v>
      </c>
      <c r="H883" s="1">
        <v>10000000</v>
      </c>
    </row>
    <row r="884" spans="1:8" ht="13.5" customHeight="1" x14ac:dyDescent="0.3">
      <c r="A884" s="1" t="s">
        <v>181</v>
      </c>
      <c r="B884" s="1" t="s">
        <v>4821</v>
      </c>
      <c r="C884" s="1" t="s">
        <v>4827</v>
      </c>
      <c r="D884" s="1">
        <v>2020</v>
      </c>
      <c r="E884" s="1" t="str">
        <f t="shared" si="3"/>
        <v>JSS2 HB 1.52020</v>
      </c>
      <c r="F884" s="1" t="s">
        <v>562</v>
      </c>
      <c r="G884" s="1">
        <v>6090000</v>
      </c>
      <c r="H884" s="1">
        <v>5000000</v>
      </c>
    </row>
    <row r="885" spans="1:8" ht="13.5" customHeight="1" x14ac:dyDescent="0.3">
      <c r="A885" s="1" t="s">
        <v>181</v>
      </c>
      <c r="B885" s="1" t="s">
        <v>185</v>
      </c>
      <c r="C885" s="1" t="s">
        <v>186</v>
      </c>
      <c r="D885" s="1">
        <v>2023</v>
      </c>
      <c r="E885" s="1" t="str">
        <f t="shared" si="3"/>
        <v>T8T8 PRO TM 4X4 2.02023</v>
      </c>
      <c r="F885" s="1" t="s">
        <v>385</v>
      </c>
      <c r="G885" s="1">
        <v>12990000</v>
      </c>
      <c r="H885" s="1">
        <v>9500000</v>
      </c>
    </row>
    <row r="886" spans="1:8" ht="13.5" customHeight="1" x14ac:dyDescent="0.3">
      <c r="A886" s="1" t="s">
        <v>181</v>
      </c>
      <c r="B886" s="1" t="s">
        <v>185</v>
      </c>
      <c r="C886" s="1" t="s">
        <v>4828</v>
      </c>
      <c r="D886" s="1">
        <v>2022</v>
      </c>
      <c r="E886" s="1" t="str">
        <f t="shared" si="3"/>
        <v>T8T8 XE ADVANCE 2.02022</v>
      </c>
      <c r="F886" s="1" t="s">
        <v>1681</v>
      </c>
      <c r="G886" s="1">
        <v>12129120</v>
      </c>
      <c r="H886" s="1">
        <v>10500000</v>
      </c>
    </row>
    <row r="887" spans="1:8" ht="13.5" customHeight="1" x14ac:dyDescent="0.3">
      <c r="A887" s="1" t="s">
        <v>181</v>
      </c>
      <c r="B887" s="1" t="s">
        <v>185</v>
      </c>
      <c r="C887" s="1" t="s">
        <v>4829</v>
      </c>
      <c r="D887" s="1">
        <v>2021</v>
      </c>
      <c r="E887" s="1" t="str">
        <f t="shared" si="3"/>
        <v>T8T8 XE ADVANCE 4X4 2.02021</v>
      </c>
      <c r="F887" s="1" t="s">
        <v>1105</v>
      </c>
      <c r="G887" s="1">
        <v>12290000</v>
      </c>
      <c r="H887" s="1">
        <v>9346000</v>
      </c>
    </row>
    <row r="888" spans="1:8" ht="13.5" customHeight="1" x14ac:dyDescent="0.3">
      <c r="A888" s="1" t="s">
        <v>181</v>
      </c>
      <c r="B888" s="1" t="s">
        <v>4830</v>
      </c>
      <c r="C888" s="1" t="s">
        <v>4831</v>
      </c>
      <c r="D888" s="1">
        <v>2024</v>
      </c>
      <c r="E888" s="1" t="str">
        <f t="shared" si="3"/>
        <v>TODOSJS2 LUXURY HB 1.5 AUT2024</v>
      </c>
      <c r="F888" s="1" t="s">
        <v>1224</v>
      </c>
      <c r="G888" s="1">
        <v>10990000</v>
      </c>
      <c r="H888" s="1">
        <v>9600000</v>
      </c>
    </row>
    <row r="889" spans="1:8" ht="13.5" customHeight="1" x14ac:dyDescent="0.3">
      <c r="A889" s="1" t="s">
        <v>181</v>
      </c>
      <c r="B889" s="1" t="s">
        <v>4830</v>
      </c>
      <c r="C889" s="1" t="s">
        <v>4832</v>
      </c>
      <c r="D889" s="1">
        <v>2023</v>
      </c>
      <c r="E889" s="1" t="str">
        <f t="shared" si="3"/>
        <v>TODOSJS6 TURBO DCT 1.5 AUT2023</v>
      </c>
      <c r="F889" s="1" t="s">
        <v>1358</v>
      </c>
      <c r="G889" s="1">
        <v>12990000</v>
      </c>
      <c r="H889" s="1">
        <v>11500000</v>
      </c>
    </row>
    <row r="890" spans="1:8" ht="13.5" customHeight="1" x14ac:dyDescent="0.3">
      <c r="A890" s="1" t="s">
        <v>181</v>
      </c>
      <c r="B890" s="1" t="s">
        <v>4830</v>
      </c>
      <c r="C890" s="1" t="s">
        <v>4833</v>
      </c>
      <c r="D890" s="1">
        <v>2023</v>
      </c>
      <c r="E890" s="1" t="str">
        <f t="shared" si="3"/>
        <v>TODOSJS8 LUXURY 1.52023</v>
      </c>
      <c r="F890" s="1" t="s">
        <v>1441</v>
      </c>
      <c r="G890" s="1">
        <v>12090000</v>
      </c>
      <c r="H890" s="1">
        <v>10200000</v>
      </c>
    </row>
    <row r="891" spans="1:8" ht="13.5" customHeight="1" x14ac:dyDescent="0.3">
      <c r="A891" s="1" t="s">
        <v>181</v>
      </c>
      <c r="B891" s="1" t="s">
        <v>4830</v>
      </c>
      <c r="C891" s="1" t="s">
        <v>4834</v>
      </c>
      <c r="D891" s="1">
        <v>2022</v>
      </c>
      <c r="E891" s="1" t="str">
        <f t="shared" si="3"/>
        <v>TODOSS3 LUXURY HB 1.62022</v>
      </c>
      <c r="F891" s="1" t="s">
        <v>1562</v>
      </c>
      <c r="G891" s="1">
        <v>8390000</v>
      </c>
      <c r="H891" s="1">
        <v>7000000</v>
      </c>
    </row>
    <row r="892" spans="1:8" ht="13.5" customHeight="1" x14ac:dyDescent="0.3">
      <c r="A892" s="1" t="s">
        <v>188</v>
      </c>
      <c r="B892" s="1" t="s">
        <v>4835</v>
      </c>
      <c r="C892" s="1" t="s">
        <v>191</v>
      </c>
      <c r="D892" s="1">
        <v>2025</v>
      </c>
      <c r="E892" s="1" t="str">
        <f t="shared" si="3"/>
        <v>77 DCT FWD 1.6 AUT2025</v>
      </c>
      <c r="F892" s="1" t="s">
        <v>194</v>
      </c>
      <c r="G892" s="1">
        <v>16990000</v>
      </c>
      <c r="H892" s="1">
        <v>15500000</v>
      </c>
    </row>
    <row r="893" spans="1:8" ht="13.5" customHeight="1" x14ac:dyDescent="0.3">
      <c r="A893" s="1" t="s">
        <v>188</v>
      </c>
      <c r="B893" s="1" t="s">
        <v>4835</v>
      </c>
      <c r="C893" s="1" t="s">
        <v>191</v>
      </c>
      <c r="D893" s="1">
        <v>2025</v>
      </c>
      <c r="E893" s="1" t="str">
        <f t="shared" si="3"/>
        <v>77 DCT FWD 1.6 AUT2025</v>
      </c>
      <c r="F893" s="1" t="s">
        <v>381</v>
      </c>
      <c r="G893" s="1">
        <v>17490000</v>
      </c>
      <c r="H893" s="1">
        <v>15500000</v>
      </c>
    </row>
    <row r="894" spans="1:8" ht="13.5" customHeight="1" x14ac:dyDescent="0.3">
      <c r="A894" s="1" t="s">
        <v>188</v>
      </c>
      <c r="B894" s="1" t="s">
        <v>4835</v>
      </c>
      <c r="C894" s="1" t="s">
        <v>4836</v>
      </c>
      <c r="D894" s="1">
        <v>2025</v>
      </c>
      <c r="E894" s="1" t="str">
        <f t="shared" si="3"/>
        <v>7J7 PRIME 1.6 AUT2025</v>
      </c>
      <c r="F894" s="1" t="s">
        <v>569</v>
      </c>
      <c r="G894" s="1">
        <v>18290000</v>
      </c>
      <c r="H894" s="1">
        <v>17000000</v>
      </c>
    </row>
    <row r="895" spans="1:8" ht="13.5" customHeight="1" x14ac:dyDescent="0.3">
      <c r="A895" s="1" t="s">
        <v>195</v>
      </c>
      <c r="B895" s="1" t="s">
        <v>4837</v>
      </c>
      <c r="C895" s="1" t="s">
        <v>4838</v>
      </c>
      <c r="D895" s="1">
        <v>2020</v>
      </c>
      <c r="E895" s="1" t="str">
        <f t="shared" si="3"/>
        <v>CHEROKEECHEROKEE LONGITUDE 2.4 AUT2020</v>
      </c>
      <c r="F895" s="1" t="s">
        <v>805</v>
      </c>
      <c r="G895" s="1">
        <v>12990000</v>
      </c>
      <c r="H895" s="1">
        <v>11000000</v>
      </c>
    </row>
    <row r="896" spans="1:8" ht="13.5" customHeight="1" x14ac:dyDescent="0.3">
      <c r="A896" s="1" t="s">
        <v>195</v>
      </c>
      <c r="B896" s="1" t="s">
        <v>4839</v>
      </c>
      <c r="C896" s="1" t="s">
        <v>4840</v>
      </c>
      <c r="D896" s="1">
        <v>2023</v>
      </c>
      <c r="E896" s="1" t="str">
        <f t="shared" si="3"/>
        <v>COMMANDERCOMMANDER OVERLAND 4X4 2.0 AUT2023</v>
      </c>
      <c r="F896" s="1" t="s">
        <v>4841</v>
      </c>
      <c r="G896" s="1">
        <v>34990750</v>
      </c>
      <c r="H896" s="1">
        <v>41937902</v>
      </c>
    </row>
    <row r="897" spans="1:8" ht="13.5" customHeight="1" x14ac:dyDescent="0.3">
      <c r="A897" s="1" t="s">
        <v>195</v>
      </c>
      <c r="B897" s="1" t="s">
        <v>196</v>
      </c>
      <c r="C897" s="1" t="s">
        <v>4842</v>
      </c>
      <c r="D897" s="1">
        <v>2019</v>
      </c>
      <c r="E897" s="1" t="str">
        <f t="shared" si="3"/>
        <v>COMPASSALL NEW COMPASS 4X4 2.4 AUT2019</v>
      </c>
      <c r="F897" s="1" t="s">
        <v>2147</v>
      </c>
      <c r="G897" s="1">
        <v>16890000</v>
      </c>
      <c r="H897" s="1">
        <v>14000000</v>
      </c>
    </row>
    <row r="898" spans="1:8" ht="13.5" customHeight="1" x14ac:dyDescent="0.3">
      <c r="A898" s="1" t="s">
        <v>195</v>
      </c>
      <c r="B898" s="1" t="s">
        <v>196</v>
      </c>
      <c r="C898" s="1" t="s">
        <v>4843</v>
      </c>
      <c r="D898" s="1">
        <v>2019</v>
      </c>
      <c r="E898" s="1" t="str">
        <f t="shared" si="3"/>
        <v>COMPASSALL NEW COMPASS LONGITUDE 2.4 AUT2019</v>
      </c>
      <c r="F898" s="1" t="s">
        <v>2108</v>
      </c>
      <c r="G898" s="1">
        <v>13490000</v>
      </c>
      <c r="H898" s="1">
        <v>10300000</v>
      </c>
    </row>
    <row r="899" spans="1:8" ht="13.5" customHeight="1" x14ac:dyDescent="0.3">
      <c r="A899" s="1" t="s">
        <v>195</v>
      </c>
      <c r="B899" s="1" t="s">
        <v>196</v>
      </c>
      <c r="C899" s="1" t="s">
        <v>4844</v>
      </c>
      <c r="D899" s="1">
        <v>2018</v>
      </c>
      <c r="E899" s="1" t="str">
        <f t="shared" si="3"/>
        <v>COMPASSALL NEW COMPASS SPORT 2.42018</v>
      </c>
      <c r="F899" s="1" t="s">
        <v>2013</v>
      </c>
      <c r="G899" s="1">
        <v>11990000</v>
      </c>
      <c r="H899" s="1">
        <v>9839261</v>
      </c>
    </row>
    <row r="900" spans="1:8" ht="13.5" customHeight="1" x14ac:dyDescent="0.3">
      <c r="A900" s="1" t="s">
        <v>195</v>
      </c>
      <c r="B900" s="1" t="s">
        <v>196</v>
      </c>
      <c r="C900" s="1" t="s">
        <v>4844</v>
      </c>
      <c r="D900" s="1">
        <v>2018</v>
      </c>
      <c r="E900" s="1" t="str">
        <f t="shared" si="3"/>
        <v>COMPASSALL NEW COMPASS SPORT 2.42018</v>
      </c>
      <c r="F900" s="1" t="s">
        <v>1903</v>
      </c>
      <c r="G900" s="1">
        <v>12690000</v>
      </c>
      <c r="H900" s="1">
        <v>9890756</v>
      </c>
    </row>
    <row r="901" spans="1:8" ht="13.5" customHeight="1" x14ac:dyDescent="0.3">
      <c r="A901" s="1" t="s">
        <v>195</v>
      </c>
      <c r="B901" s="1" t="s">
        <v>196</v>
      </c>
      <c r="C901" s="1" t="s">
        <v>4844</v>
      </c>
      <c r="D901" s="1">
        <v>2019</v>
      </c>
      <c r="E901" s="1" t="str">
        <f t="shared" si="3"/>
        <v>COMPASSALL NEW COMPASS SPORT 2.42019</v>
      </c>
      <c r="F901" s="1" t="s">
        <v>2326</v>
      </c>
      <c r="G901" s="1">
        <v>12990000</v>
      </c>
      <c r="H901" s="1">
        <v>11000000</v>
      </c>
    </row>
    <row r="902" spans="1:8" ht="13.5" customHeight="1" x14ac:dyDescent="0.3">
      <c r="A902" s="1" t="s">
        <v>195</v>
      </c>
      <c r="B902" s="1" t="s">
        <v>196</v>
      </c>
      <c r="C902" s="1" t="s">
        <v>4845</v>
      </c>
      <c r="D902" s="1">
        <v>2020</v>
      </c>
      <c r="E902" s="1" t="str">
        <f t="shared" si="3"/>
        <v>COMPASSALL NEW COMPASS SPORT LX 2.42020</v>
      </c>
      <c r="F902" s="1" t="s">
        <v>2800</v>
      </c>
      <c r="G902" s="1">
        <v>12000000</v>
      </c>
      <c r="H902" s="1">
        <v>18500000</v>
      </c>
    </row>
    <row r="903" spans="1:8" ht="13.5" customHeight="1" x14ac:dyDescent="0.3">
      <c r="A903" s="1" t="s">
        <v>195</v>
      </c>
      <c r="B903" s="1" t="s">
        <v>196</v>
      </c>
      <c r="C903" s="1" t="s">
        <v>4846</v>
      </c>
      <c r="D903" s="1">
        <v>2022</v>
      </c>
      <c r="E903" s="1" t="str">
        <f t="shared" si="3"/>
        <v>COMPASSCOMPASS LONGITUDE 1.3 AUT2022</v>
      </c>
      <c r="F903" s="1" t="s">
        <v>2209</v>
      </c>
      <c r="G903" s="1">
        <v>20490000</v>
      </c>
      <c r="H903" s="1">
        <v>20500000</v>
      </c>
    </row>
    <row r="904" spans="1:8" ht="13.5" customHeight="1" x14ac:dyDescent="0.3">
      <c r="A904" s="1" t="s">
        <v>195</v>
      </c>
      <c r="B904" s="1" t="s">
        <v>196</v>
      </c>
      <c r="C904" s="1" t="s">
        <v>4847</v>
      </c>
      <c r="D904" s="1">
        <v>2019</v>
      </c>
      <c r="E904" s="1" t="str">
        <f t="shared" si="3"/>
        <v>COMPASSCOMPASS SPORT 2.42019</v>
      </c>
      <c r="F904" s="1" t="s">
        <v>1782</v>
      </c>
      <c r="G904" s="1">
        <v>10990000</v>
      </c>
      <c r="H904" s="1">
        <v>9800000</v>
      </c>
    </row>
    <row r="905" spans="1:8" ht="13.5" customHeight="1" x14ac:dyDescent="0.3">
      <c r="A905" s="1" t="s">
        <v>195</v>
      </c>
      <c r="B905" s="1" t="s">
        <v>196</v>
      </c>
      <c r="C905" s="1" t="s">
        <v>4847</v>
      </c>
      <c r="D905" s="1">
        <v>2019</v>
      </c>
      <c r="E905" s="1" t="str">
        <f t="shared" si="3"/>
        <v>COMPASSCOMPASS SPORT 2.42019</v>
      </c>
      <c r="F905" s="1" t="s">
        <v>2809</v>
      </c>
      <c r="G905" s="1">
        <v>15890000</v>
      </c>
      <c r="H905" s="1">
        <v>15500000</v>
      </c>
    </row>
    <row r="906" spans="1:8" ht="13.5" customHeight="1" x14ac:dyDescent="0.3">
      <c r="A906" s="1" t="s">
        <v>195</v>
      </c>
      <c r="B906" s="1" t="s">
        <v>196</v>
      </c>
      <c r="C906" s="1" t="s">
        <v>4847</v>
      </c>
      <c r="D906" s="1">
        <v>2021</v>
      </c>
      <c r="E906" s="1" t="str">
        <f t="shared" si="3"/>
        <v>COMPASSCOMPASS SPORT 2.42021</v>
      </c>
      <c r="F906" s="1" t="s">
        <v>2254</v>
      </c>
      <c r="G906" s="1">
        <v>15290000</v>
      </c>
      <c r="H906" s="1">
        <v>13000000</v>
      </c>
    </row>
    <row r="907" spans="1:8" ht="13.5" customHeight="1" x14ac:dyDescent="0.3">
      <c r="A907" s="1" t="s">
        <v>195</v>
      </c>
      <c r="B907" s="1" t="s">
        <v>196</v>
      </c>
      <c r="C907" s="1" t="s">
        <v>4848</v>
      </c>
      <c r="D907" s="1">
        <v>2021</v>
      </c>
      <c r="E907" s="1" t="str">
        <f t="shared" si="3"/>
        <v>COMPASSCOMPASS SPORT AT6 2.4 AUT2021</v>
      </c>
      <c r="F907" s="1" t="s">
        <v>2262</v>
      </c>
      <c r="G907" s="1">
        <v>17490000</v>
      </c>
      <c r="H907" s="1">
        <v>15000000</v>
      </c>
    </row>
    <row r="908" spans="1:8" ht="13.5" customHeight="1" x14ac:dyDescent="0.3">
      <c r="A908" s="1" t="s">
        <v>195</v>
      </c>
      <c r="B908" s="1" t="s">
        <v>196</v>
      </c>
      <c r="C908" s="1" t="s">
        <v>4848</v>
      </c>
      <c r="D908" s="1">
        <v>2021</v>
      </c>
      <c r="E908" s="1" t="str">
        <f t="shared" si="3"/>
        <v>COMPASSCOMPASS SPORT AT6 2.4 AUT2021</v>
      </c>
      <c r="F908" s="1" t="s">
        <v>703</v>
      </c>
      <c r="G908" s="1">
        <v>12990000</v>
      </c>
      <c r="H908" s="1">
        <v>10600000</v>
      </c>
    </row>
    <row r="909" spans="1:8" ht="13.5" customHeight="1" x14ac:dyDescent="0.3">
      <c r="A909" s="1" t="s">
        <v>195</v>
      </c>
      <c r="B909" s="1" t="s">
        <v>198</v>
      </c>
      <c r="C909" s="1" t="s">
        <v>4849</v>
      </c>
      <c r="D909" s="1">
        <v>2018</v>
      </c>
      <c r="E909" s="1" t="str">
        <f t="shared" si="3"/>
        <v>GRAND CHEROKEEGRAND CHEROKEE LAREDO 3.62018</v>
      </c>
      <c r="F909" s="1" t="s">
        <v>1306</v>
      </c>
      <c r="G909" s="1">
        <v>17690000</v>
      </c>
      <c r="H909" s="1">
        <v>15000000</v>
      </c>
    </row>
    <row r="910" spans="1:8" ht="13.5" customHeight="1" x14ac:dyDescent="0.3">
      <c r="A910" s="1" t="s">
        <v>195</v>
      </c>
      <c r="B910" s="1" t="s">
        <v>198</v>
      </c>
      <c r="C910" s="1" t="s">
        <v>4850</v>
      </c>
      <c r="D910" s="1">
        <v>2021</v>
      </c>
      <c r="E910" s="1" t="str">
        <f t="shared" si="3"/>
        <v>GRAND CHEROKEEGRAND CHEROKEE LAREDO 3.6 AUT2021</v>
      </c>
      <c r="F910" s="1" t="s">
        <v>1414</v>
      </c>
      <c r="G910" s="1">
        <v>20990000</v>
      </c>
      <c r="H910" s="1">
        <v>18000000</v>
      </c>
    </row>
    <row r="911" spans="1:8" ht="13.5" customHeight="1" x14ac:dyDescent="0.3">
      <c r="A911" s="1" t="s">
        <v>195</v>
      </c>
      <c r="B911" s="1" t="s">
        <v>198</v>
      </c>
      <c r="C911" s="1" t="s">
        <v>199</v>
      </c>
      <c r="D911" s="1">
        <v>2020</v>
      </c>
      <c r="E911" s="1" t="str">
        <f t="shared" si="3"/>
        <v>GRAND CHEROKEEGRAND CHEROKEE LAREDO 4X4 3.0 AUT2020</v>
      </c>
      <c r="F911" s="1" t="s">
        <v>1478</v>
      </c>
      <c r="G911" s="1">
        <v>24500000</v>
      </c>
      <c r="H911" s="1">
        <v>22500000</v>
      </c>
    </row>
    <row r="912" spans="1:8" ht="13.5" customHeight="1" x14ac:dyDescent="0.3">
      <c r="A912" s="1" t="s">
        <v>195</v>
      </c>
      <c r="B912" s="1" t="s">
        <v>198</v>
      </c>
      <c r="C912" s="1" t="s">
        <v>4851</v>
      </c>
      <c r="D912" s="1">
        <v>2021</v>
      </c>
      <c r="E912" s="1" t="str">
        <f t="shared" si="3"/>
        <v>GRAND CHEROKEEGRAND CHEROKEE LAREDO 4X4 3.6 AUT2021</v>
      </c>
      <c r="F912" s="1" t="s">
        <v>2376</v>
      </c>
      <c r="G912" s="1">
        <v>27990000</v>
      </c>
      <c r="H912" s="1">
        <v>24500000</v>
      </c>
    </row>
    <row r="913" spans="1:8" ht="13.5" customHeight="1" x14ac:dyDescent="0.3">
      <c r="A913" s="1" t="s">
        <v>195</v>
      </c>
      <c r="B913" s="1" t="s">
        <v>198</v>
      </c>
      <c r="C913" s="1" t="s">
        <v>4851</v>
      </c>
      <c r="D913" s="1">
        <v>2022</v>
      </c>
      <c r="E913" s="1" t="str">
        <f t="shared" si="3"/>
        <v>GRAND CHEROKEEGRAND CHEROKEE LAREDO 4X4 3.6 AUT2022</v>
      </c>
      <c r="F913" s="1" t="s">
        <v>1647</v>
      </c>
      <c r="G913" s="1">
        <v>54580000</v>
      </c>
      <c r="H913" s="1">
        <v>53000000</v>
      </c>
    </row>
    <row r="914" spans="1:8" ht="13.5" customHeight="1" x14ac:dyDescent="0.3">
      <c r="A914" s="1" t="s">
        <v>195</v>
      </c>
      <c r="B914" s="1" t="s">
        <v>198</v>
      </c>
      <c r="C914" s="1" t="s">
        <v>4852</v>
      </c>
      <c r="D914" s="1">
        <v>2017</v>
      </c>
      <c r="E914" s="1" t="str">
        <f t="shared" si="3"/>
        <v>GRAND CHEROKEEGRAND CHEROKEE LAREDO S 3.6 AUT2017</v>
      </c>
      <c r="F914" s="1" t="s">
        <v>1293</v>
      </c>
      <c r="G914" s="1">
        <v>21990000</v>
      </c>
      <c r="H914" s="1">
        <v>18000000</v>
      </c>
    </row>
    <row r="915" spans="1:8" ht="13.5" customHeight="1" x14ac:dyDescent="0.3">
      <c r="A915" s="1" t="s">
        <v>195</v>
      </c>
      <c r="B915" s="1" t="s">
        <v>198</v>
      </c>
      <c r="C915" s="1" t="s">
        <v>4853</v>
      </c>
      <c r="D915" s="1">
        <v>2017</v>
      </c>
      <c r="E915" s="1" t="str">
        <f t="shared" si="3"/>
        <v>GRAND CHEROKEEGRAND CHEROKEE LAREDO SPORT 3.6 AUT2017</v>
      </c>
      <c r="F915" s="1" t="s">
        <v>1293</v>
      </c>
      <c r="G915" s="1">
        <v>18190000</v>
      </c>
      <c r="H915" s="1">
        <v>15300000</v>
      </c>
    </row>
    <row r="916" spans="1:8" ht="13.5" customHeight="1" x14ac:dyDescent="0.3">
      <c r="A916" s="1" t="s">
        <v>195</v>
      </c>
      <c r="B916" s="1" t="s">
        <v>198</v>
      </c>
      <c r="C916" s="1" t="s">
        <v>4853</v>
      </c>
      <c r="D916" s="1">
        <v>2019</v>
      </c>
      <c r="E916" s="1" t="str">
        <f t="shared" si="3"/>
        <v>GRAND CHEROKEEGRAND CHEROKEE LAREDO SPORT 3.6 AUT2019</v>
      </c>
      <c r="F916" s="1" t="s">
        <v>2122</v>
      </c>
      <c r="G916" s="1">
        <v>23900000</v>
      </c>
      <c r="H916" s="1">
        <v>18000000</v>
      </c>
    </row>
    <row r="917" spans="1:8" ht="13.5" customHeight="1" x14ac:dyDescent="0.3">
      <c r="A917" s="1" t="s">
        <v>195</v>
      </c>
      <c r="B917" s="1" t="s">
        <v>198</v>
      </c>
      <c r="C917" s="1" t="s">
        <v>4854</v>
      </c>
      <c r="D917" s="1">
        <v>2024</v>
      </c>
      <c r="E917" s="1" t="str">
        <f t="shared" si="3"/>
        <v>GRAND CHEROKEEGRAND CHEROKEE LIMITED 4X4 3.6 AT2024</v>
      </c>
      <c r="F917" s="1" t="s">
        <v>1739</v>
      </c>
      <c r="G917" s="1">
        <v>46590000</v>
      </c>
      <c r="H917" s="1">
        <v>45000000</v>
      </c>
    </row>
    <row r="918" spans="1:8" ht="13.5" customHeight="1" x14ac:dyDescent="0.3">
      <c r="A918" s="1" t="s">
        <v>195</v>
      </c>
      <c r="B918" s="1" t="s">
        <v>198</v>
      </c>
      <c r="C918" s="1" t="s">
        <v>4855</v>
      </c>
      <c r="D918" s="1">
        <v>2020</v>
      </c>
      <c r="E918" s="1" t="str">
        <f t="shared" si="3"/>
        <v>GRAND CHEROKEEGRAND CHEROKEE LIMITED 4X4 3.6 AUT2020</v>
      </c>
      <c r="F918" s="1" t="s">
        <v>1231</v>
      </c>
      <c r="G918" s="1">
        <v>25990000</v>
      </c>
      <c r="H918" s="1">
        <v>22000000</v>
      </c>
    </row>
    <row r="919" spans="1:8" ht="13.5" customHeight="1" x14ac:dyDescent="0.3">
      <c r="A919" s="1" t="s">
        <v>195</v>
      </c>
      <c r="B919" s="1" t="s">
        <v>198</v>
      </c>
      <c r="C919" s="1" t="s">
        <v>4856</v>
      </c>
      <c r="D919" s="1">
        <v>2022</v>
      </c>
      <c r="E919" s="1" t="str">
        <f t="shared" si="3"/>
        <v>GRAND CHEROKEENEW GRAND CHEROKEE LTD 4X4 3.6 AUT2022</v>
      </c>
      <c r="F919" s="1" t="s">
        <v>2099</v>
      </c>
      <c r="G919" s="1">
        <v>28290000</v>
      </c>
      <c r="H919" s="1">
        <v>22300000</v>
      </c>
    </row>
    <row r="920" spans="1:8" ht="13.5" customHeight="1" x14ac:dyDescent="0.3">
      <c r="A920" s="1" t="s">
        <v>195</v>
      </c>
      <c r="B920" s="1" t="s">
        <v>3074</v>
      </c>
      <c r="C920" s="1" t="s">
        <v>4857</v>
      </c>
      <c r="D920" s="1">
        <v>2017</v>
      </c>
      <c r="E920" s="1" t="str">
        <f t="shared" si="3"/>
        <v>RENEGADERENEGADE LX 1.82017</v>
      </c>
      <c r="F920" s="1" t="s">
        <v>2093</v>
      </c>
      <c r="G920" s="1">
        <v>10490000</v>
      </c>
      <c r="H920" s="1">
        <v>8500000</v>
      </c>
    </row>
    <row r="921" spans="1:8" ht="13.5" customHeight="1" x14ac:dyDescent="0.3">
      <c r="A921" s="1" t="s">
        <v>195</v>
      </c>
      <c r="B921" s="1" t="s">
        <v>3074</v>
      </c>
      <c r="C921" s="1" t="s">
        <v>4858</v>
      </c>
      <c r="D921" s="1">
        <v>2017</v>
      </c>
      <c r="E921" s="1" t="str">
        <f t="shared" si="3"/>
        <v>RENEGADERENEGADE LX SPORT 1.72017</v>
      </c>
      <c r="F921" s="1" t="s">
        <v>1996</v>
      </c>
      <c r="G921" s="1">
        <v>8990000</v>
      </c>
      <c r="H921" s="1">
        <v>7700000</v>
      </c>
    </row>
    <row r="922" spans="1:8" ht="13.5" customHeight="1" x14ac:dyDescent="0.3">
      <c r="A922" s="1" t="s">
        <v>195</v>
      </c>
      <c r="B922" s="1" t="s">
        <v>3074</v>
      </c>
      <c r="C922" s="1" t="s">
        <v>4859</v>
      </c>
      <c r="D922" s="1">
        <v>2017</v>
      </c>
      <c r="E922" s="1" t="str">
        <f t="shared" si="3"/>
        <v>RENEGADERENEGADE SPORT 1.82017</v>
      </c>
      <c r="F922" s="1" t="s">
        <v>2221</v>
      </c>
      <c r="G922" s="1">
        <v>10990000</v>
      </c>
      <c r="H922" s="1">
        <v>9000000</v>
      </c>
    </row>
    <row r="923" spans="1:8" ht="13.5" customHeight="1" x14ac:dyDescent="0.3">
      <c r="A923" s="1" t="s">
        <v>195</v>
      </c>
      <c r="B923" s="1" t="s">
        <v>3074</v>
      </c>
      <c r="C923" s="1" t="s">
        <v>4859</v>
      </c>
      <c r="D923" s="1">
        <v>2019</v>
      </c>
      <c r="E923" s="1" t="str">
        <f t="shared" si="3"/>
        <v>RENEGADERENEGADE SPORT 1.82019</v>
      </c>
      <c r="F923" s="1" t="s">
        <v>832</v>
      </c>
      <c r="G923" s="1">
        <v>11190000</v>
      </c>
      <c r="H923" s="1">
        <v>8500000</v>
      </c>
    </row>
    <row r="924" spans="1:8" ht="13.5" customHeight="1" x14ac:dyDescent="0.3">
      <c r="A924" s="1" t="s">
        <v>195</v>
      </c>
      <c r="B924" s="1" t="s">
        <v>3074</v>
      </c>
      <c r="C924" s="1" t="s">
        <v>4859</v>
      </c>
      <c r="D924" s="1">
        <v>2021</v>
      </c>
      <c r="E924" s="1" t="str">
        <f t="shared" si="3"/>
        <v>RENEGADERENEGADE SPORT 1.82021</v>
      </c>
      <c r="F924" s="1" t="s">
        <v>554</v>
      </c>
      <c r="G924" s="1">
        <v>11690000</v>
      </c>
      <c r="H924" s="1">
        <v>9800000</v>
      </c>
    </row>
    <row r="925" spans="1:8" ht="13.5" customHeight="1" x14ac:dyDescent="0.3">
      <c r="A925" s="1" t="s">
        <v>195</v>
      </c>
      <c r="B925" s="1" t="s">
        <v>3074</v>
      </c>
      <c r="C925" s="1" t="s">
        <v>4859</v>
      </c>
      <c r="D925" s="1">
        <v>2022</v>
      </c>
      <c r="E925" s="1" t="str">
        <f t="shared" si="3"/>
        <v>RENEGADERENEGADE SPORT 1.82022</v>
      </c>
      <c r="F925" s="1" t="s">
        <v>1175</v>
      </c>
      <c r="G925" s="1">
        <v>11790000</v>
      </c>
      <c r="H925" s="1">
        <v>9300000</v>
      </c>
    </row>
    <row r="926" spans="1:8" ht="13.5" customHeight="1" x14ac:dyDescent="0.3">
      <c r="A926" s="1" t="s">
        <v>195</v>
      </c>
      <c r="B926" s="1" t="s">
        <v>3074</v>
      </c>
      <c r="C926" s="1" t="s">
        <v>4859</v>
      </c>
      <c r="D926" s="1">
        <v>2022</v>
      </c>
      <c r="E926" s="1" t="str">
        <f t="shared" si="3"/>
        <v>RENEGADERENEGADE SPORT 1.82022</v>
      </c>
      <c r="F926" s="1" t="s">
        <v>1066</v>
      </c>
      <c r="G926" s="1">
        <v>11635620</v>
      </c>
      <c r="H926" s="1">
        <v>10200000</v>
      </c>
    </row>
    <row r="927" spans="1:8" ht="13.5" customHeight="1" x14ac:dyDescent="0.3">
      <c r="A927" s="1" t="s">
        <v>195</v>
      </c>
      <c r="B927" s="1" t="s">
        <v>3074</v>
      </c>
      <c r="C927" s="1" t="s">
        <v>4859</v>
      </c>
      <c r="D927" s="1">
        <v>2022</v>
      </c>
      <c r="E927" s="1" t="str">
        <f t="shared" si="3"/>
        <v>RENEGADERENEGADE SPORT 1.82022</v>
      </c>
      <c r="F927" s="1" t="s">
        <v>501</v>
      </c>
      <c r="G927" s="1">
        <v>11762810</v>
      </c>
      <c r="H927" s="1">
        <v>10000000</v>
      </c>
    </row>
    <row r="928" spans="1:8" ht="13.5" customHeight="1" x14ac:dyDescent="0.3">
      <c r="A928" s="1" t="s">
        <v>195</v>
      </c>
      <c r="B928" s="1" t="s">
        <v>3074</v>
      </c>
      <c r="C928" s="1" t="s">
        <v>4860</v>
      </c>
      <c r="D928" s="1">
        <v>2019</v>
      </c>
      <c r="E928" s="1" t="str">
        <f t="shared" si="3"/>
        <v>RENEGADERENEGADE SPORT 1.8 AUT2019</v>
      </c>
      <c r="F928" s="1" t="s">
        <v>2722</v>
      </c>
      <c r="G928" s="1">
        <v>10890000</v>
      </c>
      <c r="H928" s="1">
        <v>14000000</v>
      </c>
    </row>
    <row r="929" spans="1:8" ht="13.5" customHeight="1" x14ac:dyDescent="0.3">
      <c r="A929" s="1" t="s">
        <v>195</v>
      </c>
      <c r="B929" s="1" t="s">
        <v>3074</v>
      </c>
      <c r="C929" s="1" t="s">
        <v>4861</v>
      </c>
      <c r="D929" s="1">
        <v>2018</v>
      </c>
      <c r="E929" s="1" t="str">
        <f t="shared" si="3"/>
        <v>RENEGADERENEGADE SPORT LX 1.82018</v>
      </c>
      <c r="F929" s="1" t="s">
        <v>2677</v>
      </c>
      <c r="G929" s="1">
        <v>10490000</v>
      </c>
      <c r="H929" s="1">
        <v>12000000</v>
      </c>
    </row>
    <row r="930" spans="1:8" ht="13.5" customHeight="1" x14ac:dyDescent="0.3">
      <c r="A930" s="1" t="s">
        <v>195</v>
      </c>
      <c r="B930" s="1" t="s">
        <v>3074</v>
      </c>
      <c r="C930" s="1" t="s">
        <v>4861</v>
      </c>
      <c r="D930" s="1">
        <v>2018</v>
      </c>
      <c r="E930" s="1" t="str">
        <f t="shared" si="3"/>
        <v>RENEGADERENEGADE SPORT LX 1.82018</v>
      </c>
      <c r="F930" s="1" t="s">
        <v>2130</v>
      </c>
      <c r="G930" s="1">
        <v>10490000</v>
      </c>
      <c r="H930" s="1">
        <v>7989496</v>
      </c>
    </row>
    <row r="931" spans="1:8" ht="13.5" customHeight="1" x14ac:dyDescent="0.3">
      <c r="A931" s="1" t="s">
        <v>195</v>
      </c>
      <c r="B931" s="1" t="s">
        <v>3074</v>
      </c>
      <c r="C931" s="1" t="s">
        <v>4861</v>
      </c>
      <c r="D931" s="1">
        <v>2022</v>
      </c>
      <c r="E931" s="1" t="str">
        <f t="shared" si="3"/>
        <v>RENEGADERENEGADE SPORT LX 1.82022</v>
      </c>
      <c r="F931" s="1" t="s">
        <v>1376</v>
      </c>
      <c r="G931" s="1">
        <v>11890000</v>
      </c>
      <c r="H931" s="1">
        <v>10000000</v>
      </c>
    </row>
    <row r="932" spans="1:8" ht="13.5" customHeight="1" x14ac:dyDescent="0.3">
      <c r="A932" s="1" t="s">
        <v>195</v>
      </c>
      <c r="B932" s="1" t="s">
        <v>3074</v>
      </c>
      <c r="C932" s="1" t="s">
        <v>4862</v>
      </c>
      <c r="D932" s="1">
        <v>2022</v>
      </c>
      <c r="E932" s="1" t="str">
        <f t="shared" si="3"/>
        <v>RENEGADERENEGADE SPORT LX 1.8 AUT2022</v>
      </c>
      <c r="F932" s="1" t="s">
        <v>1374</v>
      </c>
      <c r="G932" s="1">
        <v>13590000</v>
      </c>
      <c r="H932" s="1">
        <v>11300000</v>
      </c>
    </row>
    <row r="933" spans="1:8" ht="13.5" customHeight="1" x14ac:dyDescent="0.3">
      <c r="A933" s="1" t="s">
        <v>195</v>
      </c>
      <c r="B933" s="1" t="s">
        <v>3074</v>
      </c>
      <c r="C933" s="1" t="s">
        <v>4862</v>
      </c>
      <c r="D933" s="1">
        <v>2022</v>
      </c>
      <c r="E933" s="1" t="str">
        <f t="shared" si="3"/>
        <v>RENEGADERENEGADE SPORT LX 1.8 AUT2022</v>
      </c>
      <c r="F933" s="1" t="s">
        <v>1865</v>
      </c>
      <c r="G933" s="1">
        <v>14690000</v>
      </c>
      <c r="H933" s="1">
        <v>12000000</v>
      </c>
    </row>
    <row r="934" spans="1:8" ht="13.5" customHeight="1" x14ac:dyDescent="0.3">
      <c r="A934" s="1" t="s">
        <v>195</v>
      </c>
      <c r="B934" s="1" t="s">
        <v>4863</v>
      </c>
      <c r="C934" s="1" t="s">
        <v>4864</v>
      </c>
      <c r="D934" s="1">
        <v>2020</v>
      </c>
      <c r="E934" s="1" t="str">
        <f t="shared" si="3"/>
        <v>WRANGLERWRANGLER SAHARA UNLIMITED 3.6 AUT2020</v>
      </c>
      <c r="F934" s="1" t="s">
        <v>1471</v>
      </c>
      <c r="G934" s="1">
        <v>34093620</v>
      </c>
      <c r="H934" s="1">
        <v>28800000</v>
      </c>
    </row>
    <row r="935" spans="1:8" ht="13.5" customHeight="1" x14ac:dyDescent="0.3">
      <c r="A935" s="1" t="s">
        <v>195</v>
      </c>
      <c r="B935" s="1" t="s">
        <v>4863</v>
      </c>
      <c r="C935" s="1" t="s">
        <v>4865</v>
      </c>
      <c r="D935" s="1">
        <v>2019</v>
      </c>
      <c r="E935" s="1" t="str">
        <f t="shared" si="3"/>
        <v>WRANGLERWRANGLER UNLTD SPORT 4X4 3.6 AUT2019</v>
      </c>
      <c r="F935" s="1" t="s">
        <v>4866</v>
      </c>
      <c r="G935" s="1">
        <v>32990000</v>
      </c>
      <c r="H935" s="1">
        <v>30350800</v>
      </c>
    </row>
    <row r="936" spans="1:8" ht="13.5" customHeight="1" x14ac:dyDescent="0.3">
      <c r="A936" s="1" t="s">
        <v>3228</v>
      </c>
      <c r="B936" s="1" t="s">
        <v>3515</v>
      </c>
      <c r="C936" s="1" t="s">
        <v>4867</v>
      </c>
      <c r="D936" s="1">
        <v>2024</v>
      </c>
      <c r="E936" s="1" t="str">
        <f t="shared" si="3"/>
        <v>DASHINGDASHING 1.6 AUT2024</v>
      </c>
      <c r="F936" s="1" t="s">
        <v>1337</v>
      </c>
      <c r="G936" s="1">
        <v>16490000</v>
      </c>
      <c r="H936" s="1">
        <v>14000000</v>
      </c>
    </row>
    <row r="937" spans="1:8" ht="13.5" customHeight="1" x14ac:dyDescent="0.3">
      <c r="A937" s="1" t="s">
        <v>3228</v>
      </c>
      <c r="B937" s="1" t="s">
        <v>3229</v>
      </c>
      <c r="C937" s="1" t="s">
        <v>4868</v>
      </c>
      <c r="D937" s="1">
        <v>2022</v>
      </c>
      <c r="E937" s="1" t="str">
        <f t="shared" si="3"/>
        <v>X70X70 1.52022</v>
      </c>
      <c r="F937" s="1" t="s">
        <v>442</v>
      </c>
      <c r="G937" s="1">
        <v>10263260</v>
      </c>
      <c r="H937" s="1">
        <v>8600000</v>
      </c>
    </row>
    <row r="938" spans="1:8" ht="13.5" customHeight="1" x14ac:dyDescent="0.3">
      <c r="A938" s="1" t="s">
        <v>2933</v>
      </c>
      <c r="B938" s="1" t="s">
        <v>2934</v>
      </c>
      <c r="C938" s="1" t="s">
        <v>4869</v>
      </c>
      <c r="D938" s="1">
        <v>2024</v>
      </c>
      <c r="E938" s="1" t="str">
        <f t="shared" si="3"/>
        <v>GRAND AVENUEGRAND AVENUE 4X2 2.32024</v>
      </c>
      <c r="F938" s="1" t="s">
        <v>1465</v>
      </c>
      <c r="G938" s="1">
        <v>17990000</v>
      </c>
      <c r="H938" s="1">
        <v>16500000</v>
      </c>
    </row>
    <row r="939" spans="1:8" ht="13.5" customHeight="1" x14ac:dyDescent="0.3">
      <c r="A939" s="1" t="s">
        <v>2933</v>
      </c>
      <c r="B939" s="1" t="s">
        <v>2934</v>
      </c>
      <c r="C939" s="1" t="s">
        <v>4870</v>
      </c>
      <c r="D939" s="1">
        <v>2024</v>
      </c>
      <c r="E939" s="1" t="str">
        <f t="shared" si="3"/>
        <v>GRAND AVENUEGRAND AVENUE 4X4 2.32024</v>
      </c>
      <c r="F939" s="1" t="s">
        <v>423</v>
      </c>
      <c r="G939" s="1">
        <v>17190000</v>
      </c>
      <c r="H939" s="1">
        <v>14400000</v>
      </c>
    </row>
    <row r="940" spans="1:8" ht="13.5" customHeight="1" x14ac:dyDescent="0.3">
      <c r="A940" s="1" t="s">
        <v>2933</v>
      </c>
      <c r="B940" s="1" t="s">
        <v>2934</v>
      </c>
      <c r="C940" s="1" t="s">
        <v>4871</v>
      </c>
      <c r="D940" s="1">
        <v>2024</v>
      </c>
      <c r="E940" s="1" t="str">
        <f t="shared" si="3"/>
        <v>GRAND AVENUEGRAND AVENUE 4X4 2.3 AUT2024</v>
      </c>
      <c r="F940" s="1" t="s">
        <v>1731</v>
      </c>
      <c r="G940" s="1">
        <v>19990000</v>
      </c>
      <c r="H940" s="1">
        <v>19000000</v>
      </c>
    </row>
    <row r="941" spans="1:8" ht="13.5" customHeight="1" x14ac:dyDescent="0.3">
      <c r="A941" s="1" t="s">
        <v>2933</v>
      </c>
      <c r="B941" s="1" t="s">
        <v>2934</v>
      </c>
      <c r="C941" s="1" t="s">
        <v>4871</v>
      </c>
      <c r="D941" s="1">
        <v>2024</v>
      </c>
      <c r="E941" s="1" t="str">
        <f t="shared" si="3"/>
        <v>GRAND AVENUEGRAND AVENUE 4X4 2.3 AUT2024</v>
      </c>
      <c r="F941" s="1" t="s">
        <v>449</v>
      </c>
      <c r="G941" s="1">
        <v>19290000</v>
      </c>
      <c r="H941" s="1">
        <v>16500000</v>
      </c>
    </row>
    <row r="942" spans="1:8" ht="13.5" customHeight="1" x14ac:dyDescent="0.3">
      <c r="A942" s="1" t="s">
        <v>2933</v>
      </c>
      <c r="B942" s="1" t="s">
        <v>2934</v>
      </c>
      <c r="C942" s="1" t="s">
        <v>4871</v>
      </c>
      <c r="D942" s="1">
        <v>2024</v>
      </c>
      <c r="E942" s="1" t="str">
        <f t="shared" si="3"/>
        <v>GRAND AVENUEGRAND AVENUE 4X4 2.3 AUT2024</v>
      </c>
      <c r="F942" s="1" t="s">
        <v>457</v>
      </c>
      <c r="G942" s="1">
        <v>16545592</v>
      </c>
      <c r="H942" s="1">
        <v>16000000</v>
      </c>
    </row>
    <row r="943" spans="1:8" ht="13.5" customHeight="1" x14ac:dyDescent="0.3">
      <c r="A943" s="1" t="s">
        <v>2933</v>
      </c>
      <c r="B943" s="1" t="s">
        <v>2934</v>
      </c>
      <c r="C943" s="1" t="s">
        <v>4871</v>
      </c>
      <c r="D943" s="1">
        <v>2025</v>
      </c>
      <c r="E943" s="1" t="str">
        <f t="shared" si="3"/>
        <v>GRAND AVENUEGRAND AVENUE 4X4 2.3 AUT2025</v>
      </c>
      <c r="F943" s="1" t="s">
        <v>626</v>
      </c>
      <c r="G943" s="1">
        <v>20990000</v>
      </c>
      <c r="H943" s="1">
        <v>18250000</v>
      </c>
    </row>
    <row r="944" spans="1:8" ht="13.5" customHeight="1" x14ac:dyDescent="0.3">
      <c r="A944" s="1" t="s">
        <v>2933</v>
      </c>
      <c r="B944" s="1" t="s">
        <v>2934</v>
      </c>
      <c r="C944" s="1" t="s">
        <v>4871</v>
      </c>
      <c r="D944" s="1">
        <v>2026</v>
      </c>
      <c r="E944" s="1" t="str">
        <f t="shared" si="3"/>
        <v>GRAND AVENUEGRAND AVENUE 4X4 2.3 AUT2026</v>
      </c>
      <c r="F944" s="1" t="s">
        <v>438</v>
      </c>
      <c r="G944" s="1">
        <v>21990000</v>
      </c>
      <c r="H944" s="1">
        <v>18500000</v>
      </c>
    </row>
    <row r="945" spans="1:8" ht="13.5" customHeight="1" x14ac:dyDescent="0.3">
      <c r="A945" s="1" t="s">
        <v>2933</v>
      </c>
      <c r="B945" s="1" t="s">
        <v>2955</v>
      </c>
      <c r="C945" s="1" t="s">
        <v>4872</v>
      </c>
      <c r="D945" s="1">
        <v>2024</v>
      </c>
      <c r="E945" s="1" t="str">
        <f t="shared" si="3"/>
        <v>VIGUSVIGUS 4X4 2.02024</v>
      </c>
      <c r="F945" s="1" t="s">
        <v>879</v>
      </c>
      <c r="G945" s="1">
        <v>14890000</v>
      </c>
      <c r="H945" s="1">
        <v>13000000</v>
      </c>
    </row>
    <row r="946" spans="1:8" ht="13.5" customHeight="1" x14ac:dyDescent="0.3">
      <c r="A946" s="1" t="s">
        <v>2933</v>
      </c>
      <c r="B946" s="1" t="s">
        <v>2955</v>
      </c>
      <c r="C946" s="1" t="s">
        <v>4873</v>
      </c>
      <c r="D946" s="1">
        <v>2024</v>
      </c>
      <c r="E946" s="1" t="str">
        <f t="shared" si="3"/>
        <v>VIGUSVIGUS PRO 2.0 AUT2024</v>
      </c>
      <c r="F946" s="1" t="s">
        <v>1035</v>
      </c>
      <c r="G946" s="1">
        <v>17190000</v>
      </c>
      <c r="H946" s="1">
        <v>14000000</v>
      </c>
    </row>
    <row r="947" spans="1:8" ht="13.5" customHeight="1" x14ac:dyDescent="0.3">
      <c r="A947" s="1" t="s">
        <v>2933</v>
      </c>
      <c r="B947" s="1" t="s">
        <v>4874</v>
      </c>
      <c r="C947" s="1" t="s">
        <v>4875</v>
      </c>
      <c r="D947" s="1">
        <v>2022</v>
      </c>
      <c r="E947" s="1" t="str">
        <f t="shared" si="3"/>
        <v>VIGUS PICK UP.2022</v>
      </c>
      <c r="F947" s="1" t="s">
        <v>2365</v>
      </c>
      <c r="G947" s="1">
        <v>14490000</v>
      </c>
      <c r="H947" s="1">
        <v>14800000</v>
      </c>
    </row>
    <row r="948" spans="1:8" ht="13.5" customHeight="1" x14ac:dyDescent="0.3">
      <c r="A948" s="1" t="s">
        <v>2933</v>
      </c>
      <c r="B948" s="1" t="s">
        <v>4874</v>
      </c>
      <c r="C948" s="1" t="s">
        <v>4876</v>
      </c>
      <c r="D948" s="1">
        <v>2022</v>
      </c>
      <c r="E948" s="1" t="str">
        <f t="shared" si="3"/>
        <v>VIGUS PICK UPVIGUS PLUS 2.42022</v>
      </c>
      <c r="F948" s="1" t="s">
        <v>2164</v>
      </c>
      <c r="G948" s="1">
        <v>13990000</v>
      </c>
      <c r="H948" s="1">
        <v>11000000</v>
      </c>
    </row>
    <row r="949" spans="1:8" ht="13.5" customHeight="1" x14ac:dyDescent="0.3">
      <c r="A949" s="1" t="s">
        <v>2933</v>
      </c>
      <c r="B949" s="1" t="s">
        <v>4874</v>
      </c>
      <c r="C949" s="1" t="s">
        <v>4876</v>
      </c>
      <c r="D949" s="1">
        <v>2023</v>
      </c>
      <c r="E949" s="1" t="str">
        <f t="shared" si="3"/>
        <v>VIGUS PICK UPVIGUS PLUS 2.42023</v>
      </c>
      <c r="F949" s="1" t="s">
        <v>539</v>
      </c>
      <c r="G949" s="1">
        <v>10990000</v>
      </c>
      <c r="H949" s="1">
        <v>10000000</v>
      </c>
    </row>
    <row r="950" spans="1:8" ht="13.5" customHeight="1" x14ac:dyDescent="0.3">
      <c r="A950" s="1" t="s">
        <v>2933</v>
      </c>
      <c r="B950" s="1" t="s">
        <v>4874</v>
      </c>
      <c r="C950" s="1" t="s">
        <v>4877</v>
      </c>
      <c r="D950" s="1">
        <v>2023</v>
      </c>
      <c r="E950" s="1" t="str">
        <f t="shared" si="3"/>
        <v>VIGUS PICK UPVIGUS WORK 2.52023</v>
      </c>
      <c r="F950" s="1" t="s">
        <v>1745</v>
      </c>
      <c r="G950" s="1">
        <v>13590000</v>
      </c>
      <c r="H950" s="1">
        <v>11500000</v>
      </c>
    </row>
    <row r="951" spans="1:8" ht="13.5" customHeight="1" x14ac:dyDescent="0.3">
      <c r="A951" s="1" t="s">
        <v>2933</v>
      </c>
      <c r="B951" s="1" t="s">
        <v>4874</v>
      </c>
      <c r="C951" s="1" t="s">
        <v>4878</v>
      </c>
      <c r="D951" s="1">
        <v>2022</v>
      </c>
      <c r="E951" s="1" t="str">
        <f t="shared" si="3"/>
        <v>VIGUS PICK UPVIGUS WORK LX 4X42022</v>
      </c>
      <c r="F951" s="1" t="s">
        <v>1990</v>
      </c>
      <c r="G951" s="1">
        <v>11990000</v>
      </c>
      <c r="H951" s="1">
        <v>9840000</v>
      </c>
    </row>
    <row r="952" spans="1:8" ht="13.5" customHeight="1" x14ac:dyDescent="0.3">
      <c r="A952" s="1" t="s">
        <v>2933</v>
      </c>
      <c r="B952" s="1" t="s">
        <v>4874</v>
      </c>
      <c r="C952" s="1" t="s">
        <v>4879</v>
      </c>
      <c r="D952" s="1">
        <v>2024</v>
      </c>
      <c r="E952" s="1" t="str">
        <f t="shared" si="3"/>
        <v>VIGUS PICK UPVIGUS WORK TM 4X4 2.52024</v>
      </c>
      <c r="F952" s="1" t="s">
        <v>1075</v>
      </c>
      <c r="G952" s="1">
        <v>15590000</v>
      </c>
      <c r="H952" s="1">
        <v>13700000</v>
      </c>
    </row>
    <row r="953" spans="1:8" ht="13.5" customHeight="1" x14ac:dyDescent="0.3">
      <c r="A953" s="1" t="s">
        <v>3781</v>
      </c>
      <c r="B953" s="1" t="s">
        <v>3781</v>
      </c>
      <c r="C953" s="1" t="s">
        <v>4880</v>
      </c>
      <c r="D953" s="1">
        <v>2023</v>
      </c>
      <c r="E953" s="1" t="str">
        <f t="shared" si="3"/>
        <v>KARRYQ22 4X2 1.32023</v>
      </c>
      <c r="F953" s="1" t="s">
        <v>1751</v>
      </c>
      <c r="G953" s="1">
        <v>6490000</v>
      </c>
      <c r="H953" s="1">
        <v>5500000</v>
      </c>
    </row>
    <row r="954" spans="1:8" ht="13.5" customHeight="1" x14ac:dyDescent="0.3">
      <c r="A954" s="1" t="s">
        <v>201</v>
      </c>
      <c r="B954" s="1" t="s">
        <v>4881</v>
      </c>
      <c r="C954" s="1" t="s">
        <v>4882</v>
      </c>
      <c r="D954" s="1">
        <v>2023</v>
      </c>
      <c r="E954" s="1" t="str">
        <f t="shared" si="3"/>
        <v>CARENSCARENS EX 1.4 AUT2023</v>
      </c>
      <c r="F954" s="1" t="s">
        <v>1496</v>
      </c>
      <c r="G954" s="1">
        <v>17090000</v>
      </c>
      <c r="H954" s="1">
        <v>14500000</v>
      </c>
    </row>
    <row r="955" spans="1:8" ht="13.5" customHeight="1" x14ac:dyDescent="0.3">
      <c r="A955" s="1" t="s">
        <v>201</v>
      </c>
      <c r="B955" s="1" t="s">
        <v>4881</v>
      </c>
      <c r="C955" s="1" t="s">
        <v>4883</v>
      </c>
      <c r="D955" s="1">
        <v>2023</v>
      </c>
      <c r="E955" s="1" t="str">
        <f t="shared" si="3"/>
        <v>CARENSCARENS LX 1.52023</v>
      </c>
      <c r="F955" s="1" t="s">
        <v>993</v>
      </c>
      <c r="G955" s="1">
        <v>14990000</v>
      </c>
      <c r="H955" s="1">
        <v>12500000</v>
      </c>
    </row>
    <row r="956" spans="1:8" ht="13.5" customHeight="1" x14ac:dyDescent="0.3">
      <c r="A956" s="1" t="s">
        <v>201</v>
      </c>
      <c r="B956" s="1" t="s">
        <v>4881</v>
      </c>
      <c r="C956" s="1" t="s">
        <v>4883</v>
      </c>
      <c r="D956" s="1">
        <v>2023</v>
      </c>
      <c r="E956" s="1" t="str">
        <f t="shared" si="3"/>
        <v>CARENSCARENS LX 1.52023</v>
      </c>
      <c r="F956" s="1" t="s">
        <v>1781</v>
      </c>
      <c r="G956" s="1">
        <v>15990000</v>
      </c>
      <c r="H956" s="1">
        <v>13500000</v>
      </c>
    </row>
    <row r="957" spans="1:8" ht="13.5" customHeight="1" x14ac:dyDescent="0.3">
      <c r="A957" s="1" t="s">
        <v>201</v>
      </c>
      <c r="B957" s="1" t="s">
        <v>4884</v>
      </c>
      <c r="C957" s="1" t="s">
        <v>4885</v>
      </c>
      <c r="D957" s="1">
        <v>2019</v>
      </c>
      <c r="E957" s="1" t="str">
        <f t="shared" si="3"/>
        <v>CARNIVALGRAND CARNIVAL EX 2.2 AUT2019</v>
      </c>
      <c r="F957" s="1" t="s">
        <v>1763</v>
      </c>
      <c r="G957" s="1">
        <v>18630000</v>
      </c>
      <c r="H957" s="1">
        <v>15000000</v>
      </c>
    </row>
    <row r="958" spans="1:8" ht="13.5" customHeight="1" x14ac:dyDescent="0.3">
      <c r="A958" s="1" t="s">
        <v>201</v>
      </c>
      <c r="B958" s="1" t="s">
        <v>4884</v>
      </c>
      <c r="C958" s="1" t="s">
        <v>4886</v>
      </c>
      <c r="D958" s="1">
        <v>2016</v>
      </c>
      <c r="E958" s="1" t="str">
        <f t="shared" si="3"/>
        <v>CARNIVALGRAND CARNIVAL LX 3.3 AT2016</v>
      </c>
      <c r="F958" s="1" t="s">
        <v>1214</v>
      </c>
      <c r="G958" s="1">
        <v>11990000</v>
      </c>
      <c r="H958" s="1">
        <v>10500000</v>
      </c>
    </row>
    <row r="959" spans="1:8" ht="13.5" customHeight="1" x14ac:dyDescent="0.3">
      <c r="A959" s="1" t="s">
        <v>201</v>
      </c>
      <c r="B959" s="1" t="s">
        <v>3161</v>
      </c>
      <c r="C959" s="1" t="s">
        <v>4887</v>
      </c>
      <c r="D959" s="1">
        <v>2019</v>
      </c>
      <c r="E959" s="1" t="str">
        <f t="shared" si="3"/>
        <v>CERATOCERATO EX 1.62019</v>
      </c>
      <c r="F959" s="1" t="s">
        <v>2126</v>
      </c>
      <c r="G959" s="1">
        <v>11190000</v>
      </c>
      <c r="H959" s="1">
        <v>9000000</v>
      </c>
    </row>
    <row r="960" spans="1:8" ht="13.5" customHeight="1" x14ac:dyDescent="0.3">
      <c r="A960" s="1" t="s">
        <v>201</v>
      </c>
      <c r="B960" s="1" t="s">
        <v>3161</v>
      </c>
      <c r="C960" s="1" t="s">
        <v>4887</v>
      </c>
      <c r="D960" s="1">
        <v>2019</v>
      </c>
      <c r="E960" s="1" t="str">
        <f t="shared" si="3"/>
        <v>CERATOCERATO EX 1.62019</v>
      </c>
      <c r="F960" s="1" t="s">
        <v>2136</v>
      </c>
      <c r="G960" s="1">
        <v>9490000</v>
      </c>
      <c r="H960" s="1">
        <v>8000000</v>
      </c>
    </row>
    <row r="961" spans="1:8" ht="13.5" customHeight="1" x14ac:dyDescent="0.3">
      <c r="A961" s="1" t="s">
        <v>201</v>
      </c>
      <c r="B961" s="1" t="s">
        <v>3161</v>
      </c>
      <c r="C961" s="1" t="s">
        <v>4887</v>
      </c>
      <c r="D961" s="1">
        <v>2020</v>
      </c>
      <c r="E961" s="1" t="str">
        <f t="shared" si="3"/>
        <v>CERATOCERATO EX 1.62020</v>
      </c>
      <c r="F961" s="1" t="s">
        <v>1964</v>
      </c>
      <c r="G961" s="1">
        <v>11490000</v>
      </c>
      <c r="H961" s="1">
        <v>9000000</v>
      </c>
    </row>
    <row r="962" spans="1:8" ht="13.5" customHeight="1" x14ac:dyDescent="0.3">
      <c r="A962" s="1" t="s">
        <v>201</v>
      </c>
      <c r="B962" s="1" t="s">
        <v>3161</v>
      </c>
      <c r="C962" s="1" t="s">
        <v>4887</v>
      </c>
      <c r="D962" s="1">
        <v>2020</v>
      </c>
      <c r="E962" s="1" t="str">
        <f t="shared" si="3"/>
        <v>CERATOCERATO EX 1.62020</v>
      </c>
      <c r="F962" s="1" t="s">
        <v>2390</v>
      </c>
      <c r="G962" s="1">
        <v>13490000</v>
      </c>
      <c r="H962" s="1">
        <v>11200000</v>
      </c>
    </row>
    <row r="963" spans="1:8" ht="13.5" customHeight="1" x14ac:dyDescent="0.3">
      <c r="A963" s="1" t="s">
        <v>201</v>
      </c>
      <c r="B963" s="1" t="s">
        <v>3161</v>
      </c>
      <c r="C963" s="1" t="s">
        <v>4887</v>
      </c>
      <c r="D963" s="1">
        <v>2020</v>
      </c>
      <c r="E963" s="1" t="str">
        <f t="shared" si="3"/>
        <v>CERATOCERATO EX 1.62020</v>
      </c>
      <c r="F963" s="1" t="s">
        <v>1166</v>
      </c>
      <c r="G963" s="1">
        <v>10990000</v>
      </c>
      <c r="H963" s="1">
        <v>9000000</v>
      </c>
    </row>
    <row r="964" spans="1:8" ht="13.5" customHeight="1" x14ac:dyDescent="0.3">
      <c r="A964" s="1" t="s">
        <v>201</v>
      </c>
      <c r="B964" s="1" t="s">
        <v>3161</v>
      </c>
      <c r="C964" s="1" t="s">
        <v>4888</v>
      </c>
      <c r="D964" s="1">
        <v>2017</v>
      </c>
      <c r="E964" s="1" t="str">
        <f t="shared" si="3"/>
        <v>CERATOCERATO EX 1.6 AUT2017</v>
      </c>
      <c r="F964" s="1" t="s">
        <v>973</v>
      </c>
      <c r="G964" s="1">
        <v>8990000</v>
      </c>
      <c r="H964" s="1">
        <v>6800000</v>
      </c>
    </row>
    <row r="965" spans="1:8" ht="13.5" customHeight="1" x14ac:dyDescent="0.3">
      <c r="A965" s="1" t="s">
        <v>201</v>
      </c>
      <c r="B965" s="1" t="s">
        <v>3161</v>
      </c>
      <c r="C965" s="1" t="s">
        <v>4889</v>
      </c>
      <c r="D965" s="1">
        <v>2022</v>
      </c>
      <c r="E965" s="1" t="str">
        <f t="shared" si="3"/>
        <v>CERATOCERATO EX 4X2 1.6 AUT2022</v>
      </c>
      <c r="F965" s="1" t="s">
        <v>1673</v>
      </c>
      <c r="G965" s="1">
        <v>14511321</v>
      </c>
      <c r="H965" s="1">
        <v>12800000</v>
      </c>
    </row>
    <row r="966" spans="1:8" ht="13.5" customHeight="1" x14ac:dyDescent="0.3">
      <c r="A966" s="1" t="s">
        <v>201</v>
      </c>
      <c r="B966" s="1" t="s">
        <v>3161</v>
      </c>
      <c r="C966" s="1" t="s">
        <v>4890</v>
      </c>
      <c r="D966" s="1">
        <v>2018</v>
      </c>
      <c r="E966" s="1" t="str">
        <f t="shared" si="3"/>
        <v>CERATOCERATO SX 1.62018</v>
      </c>
      <c r="F966" s="1" t="s">
        <v>2014</v>
      </c>
      <c r="G966" s="1">
        <v>9590000</v>
      </c>
      <c r="H966" s="1">
        <v>7000000</v>
      </c>
    </row>
    <row r="967" spans="1:8" ht="13.5" customHeight="1" x14ac:dyDescent="0.3">
      <c r="A967" s="1" t="s">
        <v>201</v>
      </c>
      <c r="B967" s="1" t="s">
        <v>202</v>
      </c>
      <c r="C967" s="1" t="s">
        <v>4891</v>
      </c>
      <c r="D967" s="1">
        <v>2016</v>
      </c>
      <c r="E967" s="1" t="str">
        <f t="shared" si="3"/>
        <v>FRONTIERFRONTIER D CAB 2.52016</v>
      </c>
      <c r="F967" s="1" t="s">
        <v>2002</v>
      </c>
      <c r="G967" s="1">
        <v>13100000</v>
      </c>
      <c r="H967" s="1">
        <v>10500000</v>
      </c>
    </row>
    <row r="968" spans="1:8" ht="13.5" customHeight="1" x14ac:dyDescent="0.3">
      <c r="A968" s="1" t="s">
        <v>201</v>
      </c>
      <c r="B968" s="1" t="s">
        <v>3242</v>
      </c>
      <c r="C968" s="1" t="s">
        <v>4892</v>
      </c>
      <c r="D968" s="1">
        <v>2025</v>
      </c>
      <c r="E968" s="1" t="str">
        <f t="shared" si="3"/>
        <v>K3 CROSSK3 CROSS EX 1.42025</v>
      </c>
      <c r="F968" s="1" t="s">
        <v>458</v>
      </c>
      <c r="G968" s="1">
        <v>13704120</v>
      </c>
      <c r="H968" s="1">
        <v>12000000</v>
      </c>
    </row>
    <row r="969" spans="1:8" ht="13.5" customHeight="1" x14ac:dyDescent="0.3">
      <c r="A969" s="1" t="s">
        <v>201</v>
      </c>
      <c r="B969" s="1" t="s">
        <v>4893</v>
      </c>
      <c r="C969" s="1" t="s">
        <v>4894</v>
      </c>
      <c r="D969" s="1">
        <v>2024</v>
      </c>
      <c r="E969" s="1" t="str">
        <f t="shared" si="3"/>
        <v>K3 SEDANK3 EX MPI 1.62024</v>
      </c>
      <c r="F969" s="1" t="s">
        <v>1578</v>
      </c>
      <c r="G969" s="1">
        <v>14990000</v>
      </c>
      <c r="H969" s="1">
        <v>13000000</v>
      </c>
    </row>
    <row r="970" spans="1:8" ht="13.5" customHeight="1" x14ac:dyDescent="0.3">
      <c r="A970" s="1" t="s">
        <v>201</v>
      </c>
      <c r="B970" s="1" t="s">
        <v>4893</v>
      </c>
      <c r="C970" s="1" t="s">
        <v>4894</v>
      </c>
      <c r="D970" s="1">
        <v>2024</v>
      </c>
      <c r="E970" s="1" t="str">
        <f t="shared" si="3"/>
        <v>K3 SEDANK3 EX MPI 1.62024</v>
      </c>
      <c r="F970" s="1" t="s">
        <v>402</v>
      </c>
      <c r="G970" s="1">
        <v>14790000</v>
      </c>
      <c r="H970" s="1">
        <v>11800000</v>
      </c>
    </row>
    <row r="971" spans="1:8" ht="13.5" customHeight="1" x14ac:dyDescent="0.3">
      <c r="A971" s="1" t="s">
        <v>201</v>
      </c>
      <c r="B971" s="1" t="s">
        <v>206</v>
      </c>
      <c r="C971" s="1" t="s">
        <v>4895</v>
      </c>
      <c r="D971" s="1">
        <v>2018</v>
      </c>
      <c r="E971" s="1" t="str">
        <f t="shared" si="3"/>
        <v>MORNINGMORNING 1.22018</v>
      </c>
      <c r="F971" s="1" t="s">
        <v>2104</v>
      </c>
      <c r="G971" s="1">
        <v>7290000</v>
      </c>
      <c r="H971" s="1">
        <v>5800000</v>
      </c>
    </row>
    <row r="972" spans="1:8" ht="13.5" customHeight="1" x14ac:dyDescent="0.3">
      <c r="A972" s="1" t="s">
        <v>201</v>
      </c>
      <c r="B972" s="1" t="s">
        <v>206</v>
      </c>
      <c r="C972" s="1" t="s">
        <v>4895</v>
      </c>
      <c r="D972" s="1">
        <v>2019</v>
      </c>
      <c r="E972" s="1" t="str">
        <f t="shared" si="3"/>
        <v>MORNINGMORNING 1.22019</v>
      </c>
      <c r="F972" s="1" t="s">
        <v>1811</v>
      </c>
      <c r="G972" s="1">
        <v>6990000</v>
      </c>
      <c r="H972" s="1">
        <v>5350000</v>
      </c>
    </row>
    <row r="973" spans="1:8" ht="13.5" customHeight="1" x14ac:dyDescent="0.3">
      <c r="A973" s="1" t="s">
        <v>201</v>
      </c>
      <c r="B973" s="1" t="s">
        <v>206</v>
      </c>
      <c r="C973" s="1" t="s">
        <v>4896</v>
      </c>
      <c r="D973" s="1">
        <v>2014</v>
      </c>
      <c r="E973" s="1" t="str">
        <f t="shared" si="3"/>
        <v>MORNINGMORNING EX 1.22014</v>
      </c>
      <c r="F973" s="1" t="s">
        <v>2277</v>
      </c>
      <c r="G973" s="1">
        <v>5290000</v>
      </c>
      <c r="H973" s="1">
        <v>4200000</v>
      </c>
    </row>
    <row r="974" spans="1:8" ht="13.5" customHeight="1" x14ac:dyDescent="0.3">
      <c r="A974" s="1" t="s">
        <v>201</v>
      </c>
      <c r="B974" s="1" t="s">
        <v>206</v>
      </c>
      <c r="C974" s="1" t="s">
        <v>4896</v>
      </c>
      <c r="D974" s="1">
        <v>2016</v>
      </c>
      <c r="E974" s="1" t="str">
        <f t="shared" si="3"/>
        <v>MORNINGMORNING EX 1.22016</v>
      </c>
      <c r="F974" s="1" t="s">
        <v>1560</v>
      </c>
      <c r="G974" s="1">
        <v>6100000</v>
      </c>
      <c r="H974" s="1">
        <v>4800000</v>
      </c>
    </row>
    <row r="975" spans="1:8" ht="13.5" customHeight="1" x14ac:dyDescent="0.3">
      <c r="A975" s="1" t="s">
        <v>201</v>
      </c>
      <c r="B975" s="1" t="s">
        <v>206</v>
      </c>
      <c r="C975" s="1" t="s">
        <v>4896</v>
      </c>
      <c r="D975" s="1">
        <v>2017</v>
      </c>
      <c r="E975" s="1" t="str">
        <f t="shared" si="3"/>
        <v>MORNINGMORNING EX 1.22017</v>
      </c>
      <c r="F975" s="1" t="s">
        <v>2338</v>
      </c>
      <c r="G975" s="1">
        <v>6990000</v>
      </c>
      <c r="H975" s="1">
        <v>5000000</v>
      </c>
    </row>
    <row r="976" spans="1:8" ht="13.5" customHeight="1" x14ac:dyDescent="0.3">
      <c r="A976" s="1" t="s">
        <v>201</v>
      </c>
      <c r="B976" s="1" t="s">
        <v>206</v>
      </c>
      <c r="C976" s="1" t="s">
        <v>4896</v>
      </c>
      <c r="D976" s="1">
        <v>2017</v>
      </c>
      <c r="E976" s="1" t="str">
        <f t="shared" si="3"/>
        <v>MORNINGMORNING EX 1.22017</v>
      </c>
      <c r="F976" s="1" t="s">
        <v>1815</v>
      </c>
      <c r="G976" s="1">
        <v>6090000</v>
      </c>
      <c r="H976" s="1">
        <v>4500000</v>
      </c>
    </row>
    <row r="977" spans="1:8" ht="13.5" customHeight="1" x14ac:dyDescent="0.3">
      <c r="A977" s="1" t="s">
        <v>201</v>
      </c>
      <c r="B977" s="1" t="s">
        <v>206</v>
      </c>
      <c r="C977" s="1" t="s">
        <v>4896</v>
      </c>
      <c r="D977" s="1">
        <v>2017</v>
      </c>
      <c r="E977" s="1" t="str">
        <f t="shared" si="3"/>
        <v>MORNINGMORNING EX 1.22017</v>
      </c>
      <c r="F977" s="1" t="s">
        <v>1334</v>
      </c>
      <c r="G977" s="1">
        <v>5890000</v>
      </c>
      <c r="H977" s="1">
        <v>4300000</v>
      </c>
    </row>
    <row r="978" spans="1:8" ht="13.5" customHeight="1" x14ac:dyDescent="0.3">
      <c r="A978" s="1" t="s">
        <v>201</v>
      </c>
      <c r="B978" s="1" t="s">
        <v>206</v>
      </c>
      <c r="C978" s="1" t="s">
        <v>4896</v>
      </c>
      <c r="D978" s="1">
        <v>2018</v>
      </c>
      <c r="E978" s="1" t="str">
        <f t="shared" si="3"/>
        <v>MORNINGMORNING EX 1.22018</v>
      </c>
      <c r="F978" s="1" t="s">
        <v>1735</v>
      </c>
      <c r="G978" s="1">
        <v>5990000</v>
      </c>
      <c r="H978" s="1">
        <v>4600000</v>
      </c>
    </row>
    <row r="979" spans="1:8" ht="13.5" customHeight="1" x14ac:dyDescent="0.3">
      <c r="A979" s="1" t="s">
        <v>201</v>
      </c>
      <c r="B979" s="1" t="s">
        <v>206</v>
      </c>
      <c r="C979" s="1" t="s">
        <v>4896</v>
      </c>
      <c r="D979" s="1">
        <v>2019</v>
      </c>
      <c r="E979" s="1" t="str">
        <f t="shared" si="3"/>
        <v>MORNINGMORNING EX 1.22019</v>
      </c>
      <c r="F979" s="1" t="s">
        <v>2229</v>
      </c>
      <c r="G979" s="1">
        <v>7590000</v>
      </c>
      <c r="H979" s="1">
        <v>6200000</v>
      </c>
    </row>
    <row r="980" spans="1:8" ht="13.5" customHeight="1" x14ac:dyDescent="0.3">
      <c r="A980" s="1" t="s">
        <v>201</v>
      </c>
      <c r="B980" s="1" t="s">
        <v>206</v>
      </c>
      <c r="C980" s="1" t="s">
        <v>4896</v>
      </c>
      <c r="D980" s="1">
        <v>2019</v>
      </c>
      <c r="E980" s="1" t="str">
        <f t="shared" si="3"/>
        <v>MORNINGMORNING EX 1.22019</v>
      </c>
      <c r="F980" s="1" t="s">
        <v>1457</v>
      </c>
      <c r="G980" s="1">
        <v>6190000</v>
      </c>
      <c r="H980" s="1">
        <v>5100000</v>
      </c>
    </row>
    <row r="981" spans="1:8" ht="13.5" customHeight="1" x14ac:dyDescent="0.3">
      <c r="A981" s="1" t="s">
        <v>201</v>
      </c>
      <c r="B981" s="1" t="s">
        <v>206</v>
      </c>
      <c r="C981" s="1" t="s">
        <v>4896</v>
      </c>
      <c r="D981" s="1">
        <v>2019</v>
      </c>
      <c r="E981" s="1" t="str">
        <f t="shared" si="3"/>
        <v>MORNINGMORNING EX 1.22019</v>
      </c>
      <c r="F981" s="1" t="s">
        <v>1492</v>
      </c>
      <c r="G981" s="1">
        <v>7104620</v>
      </c>
      <c r="H981" s="1">
        <v>5000000</v>
      </c>
    </row>
    <row r="982" spans="1:8" ht="13.5" customHeight="1" x14ac:dyDescent="0.3">
      <c r="A982" s="1" t="s">
        <v>201</v>
      </c>
      <c r="B982" s="1" t="s">
        <v>206</v>
      </c>
      <c r="C982" s="1" t="s">
        <v>4896</v>
      </c>
      <c r="D982" s="1">
        <v>2019</v>
      </c>
      <c r="E982" s="1" t="str">
        <f t="shared" si="3"/>
        <v>MORNINGMORNING EX 1.22019</v>
      </c>
      <c r="F982" s="1" t="s">
        <v>1280</v>
      </c>
      <c r="G982" s="1">
        <v>6366000</v>
      </c>
      <c r="H982" s="1">
        <v>5500000</v>
      </c>
    </row>
    <row r="983" spans="1:8" ht="13.5" customHeight="1" x14ac:dyDescent="0.3">
      <c r="A983" s="1" t="s">
        <v>201</v>
      </c>
      <c r="B983" s="1" t="s">
        <v>206</v>
      </c>
      <c r="C983" s="1" t="s">
        <v>4896</v>
      </c>
      <c r="D983" s="1">
        <v>2020</v>
      </c>
      <c r="E983" s="1" t="str">
        <f t="shared" si="3"/>
        <v>MORNINGMORNING EX 1.22020</v>
      </c>
      <c r="F983" s="1" t="s">
        <v>1316</v>
      </c>
      <c r="G983" s="1">
        <v>12863950</v>
      </c>
      <c r="H983" s="1">
        <v>5800000</v>
      </c>
    </row>
    <row r="984" spans="1:8" ht="13.5" customHeight="1" x14ac:dyDescent="0.3">
      <c r="A984" s="1" t="s">
        <v>201</v>
      </c>
      <c r="B984" s="1" t="s">
        <v>206</v>
      </c>
      <c r="C984" s="1" t="s">
        <v>4896</v>
      </c>
      <c r="D984" s="1">
        <v>2020</v>
      </c>
      <c r="E984" s="1" t="str">
        <f t="shared" si="3"/>
        <v>MORNINGMORNING EX 1.22020</v>
      </c>
      <c r="F984" s="1" t="s">
        <v>2129</v>
      </c>
      <c r="G984" s="1">
        <v>7443170</v>
      </c>
      <c r="H984" s="1">
        <v>6300000</v>
      </c>
    </row>
    <row r="985" spans="1:8" ht="13.5" customHeight="1" x14ac:dyDescent="0.3">
      <c r="A985" s="1" t="s">
        <v>201</v>
      </c>
      <c r="B985" s="1" t="s">
        <v>206</v>
      </c>
      <c r="C985" s="1" t="s">
        <v>4896</v>
      </c>
      <c r="D985" s="1">
        <v>2021</v>
      </c>
      <c r="E985" s="1" t="str">
        <f t="shared" si="3"/>
        <v>MORNINGMORNING EX 1.22021</v>
      </c>
      <c r="F985" s="1" t="s">
        <v>1037</v>
      </c>
      <c r="G985" s="1">
        <v>7990000</v>
      </c>
      <c r="H985" s="1">
        <v>6160000</v>
      </c>
    </row>
    <row r="986" spans="1:8" ht="13.5" customHeight="1" x14ac:dyDescent="0.3">
      <c r="A986" s="1" t="s">
        <v>201</v>
      </c>
      <c r="B986" s="1" t="s">
        <v>206</v>
      </c>
      <c r="C986" s="1" t="s">
        <v>4896</v>
      </c>
      <c r="D986" s="1">
        <v>2022</v>
      </c>
      <c r="E986" s="1" t="str">
        <f t="shared" si="3"/>
        <v>MORNINGMORNING EX 1.22022</v>
      </c>
      <c r="F986" s="1" t="s">
        <v>1639</v>
      </c>
      <c r="G986" s="1">
        <v>8390000</v>
      </c>
      <c r="H986" s="1">
        <v>7000000</v>
      </c>
    </row>
    <row r="987" spans="1:8" ht="13.5" customHeight="1" x14ac:dyDescent="0.3">
      <c r="A987" s="1" t="s">
        <v>201</v>
      </c>
      <c r="B987" s="1" t="s">
        <v>206</v>
      </c>
      <c r="C987" s="1" t="s">
        <v>4896</v>
      </c>
      <c r="D987" s="1">
        <v>2023</v>
      </c>
      <c r="E987" s="1" t="str">
        <f t="shared" si="3"/>
        <v>MORNINGMORNING EX 1.22023</v>
      </c>
      <c r="F987" s="1" t="s">
        <v>783</v>
      </c>
      <c r="G987" s="1">
        <v>8832060</v>
      </c>
      <c r="H987" s="1">
        <v>7600000</v>
      </c>
    </row>
    <row r="988" spans="1:8" ht="13.5" customHeight="1" x14ac:dyDescent="0.3">
      <c r="A988" s="1" t="s">
        <v>201</v>
      </c>
      <c r="B988" s="1" t="s">
        <v>206</v>
      </c>
      <c r="C988" s="1" t="s">
        <v>4897</v>
      </c>
      <c r="D988" s="1">
        <v>2014</v>
      </c>
      <c r="E988" s="1" t="str">
        <f t="shared" si="3"/>
        <v>MORNINGMORNING EX 1.2 MEC A/C DAB2014</v>
      </c>
      <c r="F988" s="1" t="s">
        <v>4898</v>
      </c>
      <c r="G988" s="1">
        <v>4790000</v>
      </c>
      <c r="H988" s="1">
        <v>5402800</v>
      </c>
    </row>
    <row r="989" spans="1:8" ht="13.5" customHeight="1" x14ac:dyDescent="0.3">
      <c r="A989" s="1" t="s">
        <v>201</v>
      </c>
      <c r="B989" s="1" t="s">
        <v>206</v>
      </c>
      <c r="C989" s="1" t="s">
        <v>207</v>
      </c>
      <c r="D989" s="1">
        <v>2017</v>
      </c>
      <c r="E989" s="1" t="str">
        <f t="shared" si="3"/>
        <v>MORNINGMORNING LX 1.02017</v>
      </c>
      <c r="F989" s="1" t="s">
        <v>2114</v>
      </c>
      <c r="G989" s="1">
        <v>5990000</v>
      </c>
      <c r="H989" s="1">
        <v>4500000</v>
      </c>
    </row>
    <row r="990" spans="1:8" ht="13.5" customHeight="1" x14ac:dyDescent="0.3">
      <c r="A990" s="1" t="s">
        <v>201</v>
      </c>
      <c r="B990" s="1" t="s">
        <v>206</v>
      </c>
      <c r="C990" s="1" t="s">
        <v>207</v>
      </c>
      <c r="D990" s="1">
        <v>2018</v>
      </c>
      <c r="E990" s="1" t="str">
        <f t="shared" si="3"/>
        <v>MORNINGMORNING LX 1.02018</v>
      </c>
      <c r="F990" s="1" t="s">
        <v>1947</v>
      </c>
      <c r="G990" s="1">
        <v>5000000</v>
      </c>
      <c r="H990" s="1">
        <v>4300000</v>
      </c>
    </row>
    <row r="991" spans="1:8" ht="13.5" customHeight="1" x14ac:dyDescent="0.3">
      <c r="A991" s="1" t="s">
        <v>201</v>
      </c>
      <c r="B991" s="1" t="s">
        <v>206</v>
      </c>
      <c r="C991" s="1" t="s">
        <v>207</v>
      </c>
      <c r="D991" s="1">
        <v>2019</v>
      </c>
      <c r="E991" s="1" t="str">
        <f t="shared" si="3"/>
        <v>MORNINGMORNING LX 1.02019</v>
      </c>
      <c r="F991" s="1" t="s">
        <v>1170</v>
      </c>
      <c r="G991" s="1">
        <v>6790000</v>
      </c>
      <c r="H991" s="1">
        <v>5000000</v>
      </c>
    </row>
    <row r="992" spans="1:8" ht="13.5" customHeight="1" x14ac:dyDescent="0.3">
      <c r="A992" s="1" t="s">
        <v>201</v>
      </c>
      <c r="B992" s="1" t="s">
        <v>206</v>
      </c>
      <c r="C992" s="1" t="s">
        <v>207</v>
      </c>
      <c r="D992" s="1">
        <v>2019</v>
      </c>
      <c r="E992" s="1" t="str">
        <f t="shared" si="3"/>
        <v>MORNINGMORNING LX 1.02019</v>
      </c>
      <c r="F992" s="1" t="s">
        <v>1032</v>
      </c>
      <c r="G992" s="1">
        <v>6490000</v>
      </c>
      <c r="H992" s="1">
        <v>5000000</v>
      </c>
    </row>
    <row r="993" spans="1:8" ht="13.5" customHeight="1" x14ac:dyDescent="0.3">
      <c r="A993" s="1" t="s">
        <v>201</v>
      </c>
      <c r="B993" s="1" t="s">
        <v>206</v>
      </c>
      <c r="C993" s="1" t="s">
        <v>207</v>
      </c>
      <c r="D993" s="1">
        <v>2020</v>
      </c>
      <c r="E993" s="1" t="str">
        <f t="shared" si="3"/>
        <v>MORNINGMORNING LX 1.02020</v>
      </c>
      <c r="F993" s="1" t="s">
        <v>2284</v>
      </c>
      <c r="G993" s="1">
        <v>6290000</v>
      </c>
      <c r="H993" s="1">
        <v>5200000</v>
      </c>
    </row>
    <row r="994" spans="1:8" ht="13.5" customHeight="1" x14ac:dyDescent="0.3">
      <c r="A994" s="1" t="s">
        <v>201</v>
      </c>
      <c r="B994" s="1" t="s">
        <v>206</v>
      </c>
      <c r="C994" s="1" t="s">
        <v>4899</v>
      </c>
      <c r="D994" s="1">
        <v>2022</v>
      </c>
      <c r="E994" s="1" t="str">
        <f t="shared" si="3"/>
        <v>MORNINGMORNING MPI 1.02022</v>
      </c>
      <c r="F994" s="1" t="s">
        <v>1167</v>
      </c>
      <c r="G994" s="1">
        <v>7490000</v>
      </c>
      <c r="H994" s="1">
        <v>5850000</v>
      </c>
    </row>
    <row r="995" spans="1:8" ht="13.5" customHeight="1" x14ac:dyDescent="0.3">
      <c r="A995" s="1" t="s">
        <v>201</v>
      </c>
      <c r="B995" s="1" t="s">
        <v>206</v>
      </c>
      <c r="C995" s="1" t="s">
        <v>4899</v>
      </c>
      <c r="D995" s="1">
        <v>2022</v>
      </c>
      <c r="E995" s="1" t="str">
        <f t="shared" si="3"/>
        <v>MORNINGMORNING MPI 1.02022</v>
      </c>
      <c r="F995" s="1" t="s">
        <v>2370</v>
      </c>
      <c r="G995" s="1">
        <v>7990000</v>
      </c>
      <c r="H995" s="1">
        <v>6500000</v>
      </c>
    </row>
    <row r="996" spans="1:8" ht="13.5" customHeight="1" x14ac:dyDescent="0.3">
      <c r="A996" s="1" t="s">
        <v>201</v>
      </c>
      <c r="B996" s="1" t="s">
        <v>206</v>
      </c>
      <c r="C996" s="1" t="s">
        <v>4899</v>
      </c>
      <c r="D996" s="1">
        <v>2022</v>
      </c>
      <c r="E996" s="1" t="str">
        <f t="shared" si="3"/>
        <v>MORNINGMORNING MPI 1.02022</v>
      </c>
      <c r="F996" s="1" t="s">
        <v>420</v>
      </c>
      <c r="G996" s="1">
        <v>6700000</v>
      </c>
      <c r="H996" s="1">
        <v>5700000</v>
      </c>
    </row>
    <row r="997" spans="1:8" ht="13.5" customHeight="1" x14ac:dyDescent="0.3">
      <c r="A997" s="1" t="s">
        <v>201</v>
      </c>
      <c r="B997" s="1" t="s">
        <v>206</v>
      </c>
      <c r="C997" s="1" t="s">
        <v>4899</v>
      </c>
      <c r="D997" s="1">
        <v>2024</v>
      </c>
      <c r="E997" s="1" t="str">
        <f t="shared" si="3"/>
        <v>MORNINGMORNING MPI 1.02024</v>
      </c>
      <c r="F997" s="1" t="s">
        <v>1158</v>
      </c>
      <c r="G997" s="1">
        <v>8890000</v>
      </c>
      <c r="H997" s="1">
        <v>7520000</v>
      </c>
    </row>
    <row r="998" spans="1:8" ht="13.5" customHeight="1" x14ac:dyDescent="0.3">
      <c r="A998" s="1" t="s">
        <v>201</v>
      </c>
      <c r="B998" s="1" t="s">
        <v>206</v>
      </c>
      <c r="C998" s="1" t="s">
        <v>4900</v>
      </c>
      <c r="D998" s="1">
        <v>2021</v>
      </c>
      <c r="E998" s="1" t="str">
        <f t="shared" si="3"/>
        <v>MORNINGMORNING MPI 1.22021</v>
      </c>
      <c r="F998" s="1" t="s">
        <v>491</v>
      </c>
      <c r="G998" s="1">
        <v>8100000</v>
      </c>
      <c r="H998" s="1">
        <v>6300000</v>
      </c>
    </row>
    <row r="999" spans="1:8" ht="13.5" customHeight="1" x14ac:dyDescent="0.3">
      <c r="A999" s="1" t="s">
        <v>201</v>
      </c>
      <c r="B999" s="1" t="s">
        <v>206</v>
      </c>
      <c r="C999" s="1" t="s">
        <v>4900</v>
      </c>
      <c r="D999" s="1">
        <v>2021</v>
      </c>
      <c r="E999" s="1" t="str">
        <f t="shared" si="3"/>
        <v>MORNINGMORNING MPI 1.22021</v>
      </c>
      <c r="F999" s="1" t="s">
        <v>1842</v>
      </c>
      <c r="G999" s="1">
        <v>8490000</v>
      </c>
      <c r="H999" s="1">
        <v>6915966</v>
      </c>
    </row>
    <row r="1000" spans="1:8" ht="13.5" customHeight="1" x14ac:dyDescent="0.3">
      <c r="A1000" s="1" t="s">
        <v>201</v>
      </c>
      <c r="B1000" s="1" t="s">
        <v>206</v>
      </c>
      <c r="C1000" s="1" t="s">
        <v>4900</v>
      </c>
      <c r="D1000" s="1">
        <v>2021</v>
      </c>
      <c r="E1000" s="1" t="str">
        <f t="shared" si="3"/>
        <v>MORNINGMORNING MPI 1.22021</v>
      </c>
      <c r="F1000" s="1" t="s">
        <v>1809</v>
      </c>
      <c r="G1000" s="1">
        <v>7790000</v>
      </c>
      <c r="H1000" s="1">
        <v>6415966</v>
      </c>
    </row>
    <row r="1001" spans="1:8" ht="13.5" customHeight="1" x14ac:dyDescent="0.3">
      <c r="A1001" s="1" t="s">
        <v>201</v>
      </c>
      <c r="B1001" s="1" t="s">
        <v>206</v>
      </c>
      <c r="C1001" s="1" t="s">
        <v>4900</v>
      </c>
      <c r="D1001" s="1">
        <v>2021</v>
      </c>
      <c r="E1001" s="1" t="str">
        <f t="shared" si="3"/>
        <v>MORNINGMORNING MPI 1.22021</v>
      </c>
      <c r="F1001" s="1" t="s">
        <v>1552</v>
      </c>
      <c r="G1001" s="1">
        <v>7740000</v>
      </c>
      <c r="H1001" s="1">
        <v>6500000</v>
      </c>
    </row>
    <row r="1002" spans="1:8" ht="13.5" customHeight="1" x14ac:dyDescent="0.3">
      <c r="A1002" s="1" t="s">
        <v>201</v>
      </c>
      <c r="B1002" s="1" t="s">
        <v>206</v>
      </c>
      <c r="C1002" s="1" t="s">
        <v>4900</v>
      </c>
      <c r="D1002" s="1">
        <v>2021</v>
      </c>
      <c r="E1002" s="1" t="str">
        <f t="shared" si="3"/>
        <v>MORNINGMORNING MPI 1.22021</v>
      </c>
      <c r="F1002" s="1" t="s">
        <v>1398</v>
      </c>
      <c r="G1002" s="1">
        <v>7990000</v>
      </c>
      <c r="H1002" s="1">
        <v>6500000</v>
      </c>
    </row>
    <row r="1003" spans="1:8" ht="13.5" customHeight="1" x14ac:dyDescent="0.3">
      <c r="A1003" s="1" t="s">
        <v>201</v>
      </c>
      <c r="B1003" s="1" t="s">
        <v>206</v>
      </c>
      <c r="C1003" s="1" t="s">
        <v>4900</v>
      </c>
      <c r="D1003" s="1">
        <v>2021</v>
      </c>
      <c r="E1003" s="1" t="str">
        <f t="shared" si="3"/>
        <v>MORNINGMORNING MPI 1.22021</v>
      </c>
      <c r="F1003" s="1" t="s">
        <v>969</v>
      </c>
      <c r="G1003" s="1">
        <v>7690000</v>
      </c>
      <c r="H1003" s="1">
        <v>6200000</v>
      </c>
    </row>
    <row r="1004" spans="1:8" ht="13.5" customHeight="1" x14ac:dyDescent="0.3">
      <c r="A1004" s="1" t="s">
        <v>201</v>
      </c>
      <c r="B1004" s="1" t="s">
        <v>206</v>
      </c>
      <c r="C1004" s="1" t="s">
        <v>4900</v>
      </c>
      <c r="D1004" s="1">
        <v>2021</v>
      </c>
      <c r="E1004" s="1" t="str">
        <f t="shared" si="3"/>
        <v>MORNINGMORNING MPI 1.22021</v>
      </c>
      <c r="F1004" s="1" t="s">
        <v>498</v>
      </c>
      <c r="G1004" s="1">
        <v>7990000</v>
      </c>
      <c r="H1004" s="1">
        <v>5900000</v>
      </c>
    </row>
    <row r="1005" spans="1:8" ht="13.5" customHeight="1" x14ac:dyDescent="0.3">
      <c r="A1005" s="1" t="s">
        <v>201</v>
      </c>
      <c r="B1005" s="1" t="s">
        <v>206</v>
      </c>
      <c r="C1005" s="1" t="s">
        <v>4900</v>
      </c>
      <c r="D1005" s="1">
        <v>2021</v>
      </c>
      <c r="E1005" s="1" t="str">
        <f t="shared" si="3"/>
        <v>MORNINGMORNING MPI 1.22021</v>
      </c>
      <c r="F1005" s="1" t="s">
        <v>1608</v>
      </c>
      <c r="G1005" s="1">
        <v>8990000</v>
      </c>
      <c r="H1005" s="1">
        <v>7700000</v>
      </c>
    </row>
    <row r="1006" spans="1:8" ht="13.5" customHeight="1" x14ac:dyDescent="0.3">
      <c r="A1006" s="1" t="s">
        <v>201</v>
      </c>
      <c r="B1006" s="1" t="s">
        <v>206</v>
      </c>
      <c r="C1006" s="1" t="s">
        <v>4900</v>
      </c>
      <c r="D1006" s="1">
        <v>2022</v>
      </c>
      <c r="E1006" s="1" t="str">
        <f t="shared" si="3"/>
        <v>MORNINGMORNING MPI 1.22022</v>
      </c>
      <c r="F1006" s="1" t="s">
        <v>2185</v>
      </c>
      <c r="G1006" s="1">
        <v>8190000</v>
      </c>
      <c r="H1006" s="1">
        <v>6500000</v>
      </c>
    </row>
    <row r="1007" spans="1:8" ht="13.5" customHeight="1" x14ac:dyDescent="0.3">
      <c r="A1007" s="1" t="s">
        <v>201</v>
      </c>
      <c r="B1007" s="1" t="s">
        <v>206</v>
      </c>
      <c r="C1007" s="1" t="s">
        <v>4900</v>
      </c>
      <c r="D1007" s="1">
        <v>2022</v>
      </c>
      <c r="E1007" s="1" t="str">
        <f t="shared" si="3"/>
        <v>MORNINGMORNING MPI 1.22022</v>
      </c>
      <c r="F1007" s="1" t="s">
        <v>1882</v>
      </c>
      <c r="G1007" s="1">
        <v>8690000</v>
      </c>
      <c r="H1007" s="1">
        <v>7000000</v>
      </c>
    </row>
    <row r="1008" spans="1:8" ht="13.5" customHeight="1" x14ac:dyDescent="0.3">
      <c r="A1008" s="1" t="s">
        <v>201</v>
      </c>
      <c r="B1008" s="1" t="s">
        <v>206</v>
      </c>
      <c r="C1008" s="1" t="s">
        <v>4900</v>
      </c>
      <c r="D1008" s="1">
        <v>2022</v>
      </c>
      <c r="E1008" s="1" t="str">
        <f t="shared" si="3"/>
        <v>MORNINGMORNING MPI 1.22022</v>
      </c>
      <c r="F1008" s="1" t="s">
        <v>2281</v>
      </c>
      <c r="G1008" s="1">
        <v>8690000</v>
      </c>
      <c r="H1008" s="1">
        <v>7350000</v>
      </c>
    </row>
    <row r="1009" spans="1:8" ht="13.5" customHeight="1" x14ac:dyDescent="0.3">
      <c r="A1009" s="1" t="s">
        <v>201</v>
      </c>
      <c r="B1009" s="1" t="s">
        <v>206</v>
      </c>
      <c r="C1009" s="1" t="s">
        <v>4900</v>
      </c>
      <c r="D1009" s="1">
        <v>2022</v>
      </c>
      <c r="E1009" s="1" t="str">
        <f t="shared" si="3"/>
        <v>MORNINGMORNING MPI 1.22022</v>
      </c>
      <c r="F1009" s="1" t="s">
        <v>1202</v>
      </c>
      <c r="G1009" s="1">
        <v>7794120</v>
      </c>
      <c r="H1009" s="1">
        <v>6700000</v>
      </c>
    </row>
    <row r="1010" spans="1:8" ht="13.5" customHeight="1" x14ac:dyDescent="0.3">
      <c r="A1010" s="1" t="s">
        <v>201</v>
      </c>
      <c r="B1010" s="1" t="s">
        <v>206</v>
      </c>
      <c r="C1010" s="1" t="s">
        <v>4900</v>
      </c>
      <c r="D1010" s="1">
        <v>2022</v>
      </c>
      <c r="E1010" s="1" t="str">
        <f t="shared" si="3"/>
        <v>MORNINGMORNING MPI 1.22022</v>
      </c>
      <c r="F1010" s="1" t="s">
        <v>506</v>
      </c>
      <c r="G1010" s="1">
        <v>8690000</v>
      </c>
      <c r="H1010" s="1">
        <v>6900000</v>
      </c>
    </row>
    <row r="1011" spans="1:8" ht="13.5" customHeight="1" x14ac:dyDescent="0.3">
      <c r="A1011" s="1" t="s">
        <v>201</v>
      </c>
      <c r="B1011" s="1" t="s">
        <v>206</v>
      </c>
      <c r="C1011" s="1" t="s">
        <v>4900</v>
      </c>
      <c r="D1011" s="1">
        <v>2022</v>
      </c>
      <c r="E1011" s="1" t="str">
        <f t="shared" si="3"/>
        <v>MORNINGMORNING MPI 1.22022</v>
      </c>
      <c r="F1011" s="1" t="s">
        <v>2237</v>
      </c>
      <c r="G1011" s="1">
        <v>7790000</v>
      </c>
      <c r="H1011" s="1">
        <v>6800000</v>
      </c>
    </row>
    <row r="1012" spans="1:8" ht="13.5" customHeight="1" x14ac:dyDescent="0.3">
      <c r="A1012" s="1" t="s">
        <v>201</v>
      </c>
      <c r="B1012" s="1" t="s">
        <v>206</v>
      </c>
      <c r="C1012" s="1" t="s">
        <v>4900</v>
      </c>
      <c r="D1012" s="1">
        <v>2022</v>
      </c>
      <c r="E1012" s="1" t="str">
        <f t="shared" si="3"/>
        <v>MORNINGMORNING MPI 1.22022</v>
      </c>
      <c r="F1012" s="1" t="s">
        <v>797</v>
      </c>
      <c r="G1012" s="1">
        <v>7090000</v>
      </c>
      <c r="H1012" s="1">
        <v>5500000</v>
      </c>
    </row>
    <row r="1013" spans="1:8" ht="13.5" customHeight="1" x14ac:dyDescent="0.3">
      <c r="A1013" s="1" t="s">
        <v>201</v>
      </c>
      <c r="B1013" s="1" t="s">
        <v>206</v>
      </c>
      <c r="C1013" s="1" t="s">
        <v>4900</v>
      </c>
      <c r="D1013" s="1">
        <v>2022</v>
      </c>
      <c r="E1013" s="1" t="str">
        <f t="shared" si="3"/>
        <v>MORNINGMORNING MPI 1.22022</v>
      </c>
      <c r="F1013" s="1" t="s">
        <v>786</v>
      </c>
      <c r="G1013" s="1">
        <v>7594310</v>
      </c>
      <c r="H1013" s="1">
        <v>6200000</v>
      </c>
    </row>
    <row r="1014" spans="1:8" ht="13.5" customHeight="1" x14ac:dyDescent="0.3">
      <c r="A1014" s="1" t="s">
        <v>201</v>
      </c>
      <c r="B1014" s="1" t="s">
        <v>206</v>
      </c>
      <c r="C1014" s="1" t="s">
        <v>4900</v>
      </c>
      <c r="D1014" s="1">
        <v>2022</v>
      </c>
      <c r="E1014" s="1" t="str">
        <f t="shared" si="3"/>
        <v>MORNINGMORNING MPI 1.22022</v>
      </c>
      <c r="F1014" s="1" t="s">
        <v>1598</v>
      </c>
      <c r="G1014" s="1">
        <v>7990000</v>
      </c>
      <c r="H1014" s="1">
        <v>6800000</v>
      </c>
    </row>
    <row r="1015" spans="1:8" ht="13.5" customHeight="1" x14ac:dyDescent="0.3">
      <c r="A1015" s="1" t="s">
        <v>201</v>
      </c>
      <c r="B1015" s="1" t="s">
        <v>206</v>
      </c>
      <c r="C1015" s="1" t="s">
        <v>4900</v>
      </c>
      <c r="D1015" s="1">
        <v>2024</v>
      </c>
      <c r="E1015" s="1" t="str">
        <f t="shared" si="3"/>
        <v>MORNINGMORNING MPI 1.22024</v>
      </c>
      <c r="F1015" s="1" t="s">
        <v>624</v>
      </c>
      <c r="G1015" s="1">
        <v>9690000</v>
      </c>
      <c r="H1015" s="1">
        <v>8000000</v>
      </c>
    </row>
    <row r="1016" spans="1:8" ht="13.5" customHeight="1" x14ac:dyDescent="0.3">
      <c r="A1016" s="1" t="s">
        <v>201</v>
      </c>
      <c r="B1016" s="1" t="s">
        <v>206</v>
      </c>
      <c r="C1016" s="1" t="s">
        <v>4900</v>
      </c>
      <c r="D1016" s="1">
        <v>2024</v>
      </c>
      <c r="E1016" s="1" t="str">
        <f t="shared" si="3"/>
        <v>MORNINGMORNING MPI 1.22024</v>
      </c>
      <c r="F1016" s="1" t="s">
        <v>752</v>
      </c>
      <c r="G1016" s="1">
        <v>10690000</v>
      </c>
      <c r="H1016" s="1">
        <v>9000000</v>
      </c>
    </row>
    <row r="1017" spans="1:8" ht="13.5" customHeight="1" x14ac:dyDescent="0.3">
      <c r="A1017" s="1" t="s">
        <v>201</v>
      </c>
      <c r="B1017" s="1" t="s">
        <v>206</v>
      </c>
      <c r="C1017" s="1" t="s">
        <v>4900</v>
      </c>
      <c r="D1017" s="1">
        <v>2025</v>
      </c>
      <c r="E1017" s="1" t="str">
        <f t="shared" si="3"/>
        <v>MORNINGMORNING MPI 1.22025</v>
      </c>
      <c r="F1017" s="1" t="s">
        <v>546</v>
      </c>
      <c r="G1017" s="1">
        <v>10550000</v>
      </c>
      <c r="H1017" s="1">
        <v>9200000</v>
      </c>
    </row>
    <row r="1018" spans="1:8" ht="13.5" customHeight="1" x14ac:dyDescent="0.3">
      <c r="A1018" s="1" t="s">
        <v>201</v>
      </c>
      <c r="B1018" s="1" t="s">
        <v>206</v>
      </c>
      <c r="C1018" s="1" t="s">
        <v>4901</v>
      </c>
      <c r="D1018" s="1">
        <v>2023</v>
      </c>
      <c r="E1018" s="1" t="str">
        <f t="shared" si="3"/>
        <v>MORNINGMORNING MPI 1.2 AUT2023</v>
      </c>
      <c r="F1018" s="1" t="s">
        <v>871</v>
      </c>
      <c r="G1018" s="1">
        <v>10290000</v>
      </c>
      <c r="H1018" s="1">
        <v>8500000</v>
      </c>
    </row>
    <row r="1019" spans="1:8" ht="13.5" customHeight="1" x14ac:dyDescent="0.3">
      <c r="A1019" s="1" t="s">
        <v>201</v>
      </c>
      <c r="B1019" s="1" t="s">
        <v>206</v>
      </c>
      <c r="C1019" s="1" t="s">
        <v>4901</v>
      </c>
      <c r="D1019" s="1">
        <v>2024</v>
      </c>
      <c r="E1019" s="1" t="str">
        <f t="shared" si="3"/>
        <v>MORNINGMORNING MPI 1.2 AUT2024</v>
      </c>
      <c r="F1019" s="1" t="s">
        <v>668</v>
      </c>
      <c r="G1019" s="1">
        <v>22380000</v>
      </c>
      <c r="H1019" s="1">
        <v>18650000</v>
      </c>
    </row>
    <row r="1020" spans="1:8" ht="13.5" customHeight="1" x14ac:dyDescent="0.3">
      <c r="A1020" s="1" t="s">
        <v>201</v>
      </c>
      <c r="B1020" s="1" t="s">
        <v>206</v>
      </c>
      <c r="C1020" s="1" t="s">
        <v>4901</v>
      </c>
      <c r="D1020" s="1">
        <v>2024</v>
      </c>
      <c r="E1020" s="1" t="str">
        <f t="shared" si="3"/>
        <v>MORNINGMORNING MPI 1.2 AUT2024</v>
      </c>
      <c r="F1020" s="1" t="s">
        <v>418</v>
      </c>
      <c r="G1020" s="1">
        <v>10290000</v>
      </c>
      <c r="H1020" s="1">
        <v>8500000</v>
      </c>
    </row>
    <row r="1021" spans="1:8" ht="13.5" customHeight="1" x14ac:dyDescent="0.3">
      <c r="A1021" s="1" t="s">
        <v>201</v>
      </c>
      <c r="B1021" s="1" t="s">
        <v>209</v>
      </c>
      <c r="C1021" s="1" t="s">
        <v>210</v>
      </c>
      <c r="D1021" s="1">
        <v>2024</v>
      </c>
      <c r="E1021" s="1" t="str">
        <f t="shared" si="3"/>
        <v>NIRONIRO HEV DCT GDI 1.6 AUT2024</v>
      </c>
      <c r="F1021" s="1" t="s">
        <v>1039</v>
      </c>
      <c r="G1021" s="1">
        <v>20500000</v>
      </c>
      <c r="H1021" s="1">
        <v>28990000</v>
      </c>
    </row>
    <row r="1022" spans="1:8" ht="13.5" customHeight="1" x14ac:dyDescent="0.3">
      <c r="A1022" s="1" t="s">
        <v>201</v>
      </c>
      <c r="B1022" s="1" t="s">
        <v>209</v>
      </c>
      <c r="C1022" s="1" t="s">
        <v>4902</v>
      </c>
      <c r="D1022" s="1">
        <v>2024</v>
      </c>
      <c r="E1022" s="1" t="str">
        <f t="shared" si="3"/>
        <v>NIRONIRO LX GDI 1.6 AUT2024</v>
      </c>
      <c r="F1022" s="1" t="s">
        <v>1799</v>
      </c>
      <c r="G1022" s="1">
        <v>21205698</v>
      </c>
      <c r="H1022" s="1">
        <v>20000000</v>
      </c>
    </row>
    <row r="1023" spans="1:8" ht="13.5" customHeight="1" x14ac:dyDescent="0.3">
      <c r="A1023" s="1" t="s">
        <v>201</v>
      </c>
      <c r="B1023" s="1" t="s">
        <v>4903</v>
      </c>
      <c r="C1023" s="1" t="s">
        <v>4904</v>
      </c>
      <c r="D1023" s="1">
        <v>2021</v>
      </c>
      <c r="E1023" s="1" t="str">
        <f t="shared" ref="E1023:E1277" si="4">CONCATENATE(B1023,C1023,D1023)</f>
        <v>RIORIO 4 6MT 1.42021</v>
      </c>
      <c r="F1023" s="1" t="s">
        <v>1682</v>
      </c>
      <c r="G1023" s="1">
        <v>9290000</v>
      </c>
      <c r="H1023" s="1">
        <v>7500000</v>
      </c>
    </row>
    <row r="1024" spans="1:8" ht="13.5" customHeight="1" x14ac:dyDescent="0.3">
      <c r="A1024" s="1" t="s">
        <v>201</v>
      </c>
      <c r="B1024" s="1" t="s">
        <v>4903</v>
      </c>
      <c r="C1024" s="1" t="s">
        <v>4904</v>
      </c>
      <c r="D1024" s="1">
        <v>2021</v>
      </c>
      <c r="E1024" s="1" t="str">
        <f t="shared" si="4"/>
        <v>RIORIO 4 6MT 1.42021</v>
      </c>
      <c r="F1024" s="1" t="s">
        <v>996</v>
      </c>
      <c r="G1024" s="1">
        <v>8990000</v>
      </c>
      <c r="H1024" s="1">
        <v>7600000</v>
      </c>
    </row>
    <row r="1025" spans="1:8" ht="13.5" customHeight="1" x14ac:dyDescent="0.3">
      <c r="A1025" s="1" t="s">
        <v>201</v>
      </c>
      <c r="B1025" s="1" t="s">
        <v>4903</v>
      </c>
      <c r="C1025" s="1" t="s">
        <v>4904</v>
      </c>
      <c r="D1025" s="1">
        <v>2022</v>
      </c>
      <c r="E1025" s="1" t="str">
        <f t="shared" si="4"/>
        <v>RIORIO 4 6MT 1.42022</v>
      </c>
      <c r="F1025" s="1" t="s">
        <v>1428</v>
      </c>
      <c r="G1025" s="1">
        <v>10690000</v>
      </c>
      <c r="H1025" s="1">
        <v>9000000</v>
      </c>
    </row>
    <row r="1026" spans="1:8" ht="13.5" customHeight="1" x14ac:dyDescent="0.3">
      <c r="A1026" s="1" t="s">
        <v>201</v>
      </c>
      <c r="B1026" s="1" t="s">
        <v>4903</v>
      </c>
      <c r="C1026" s="1" t="s">
        <v>4904</v>
      </c>
      <c r="D1026" s="1">
        <v>2023</v>
      </c>
      <c r="E1026" s="1" t="str">
        <f t="shared" si="4"/>
        <v>RIORIO 4 6MT 1.42023</v>
      </c>
      <c r="F1026" s="1" t="s">
        <v>1518</v>
      </c>
      <c r="G1026" s="1">
        <v>25380000</v>
      </c>
      <c r="H1026" s="1">
        <v>21900000</v>
      </c>
    </row>
    <row r="1027" spans="1:8" ht="13.5" customHeight="1" x14ac:dyDescent="0.3">
      <c r="A1027" s="1" t="s">
        <v>201</v>
      </c>
      <c r="B1027" s="1" t="s">
        <v>4903</v>
      </c>
      <c r="C1027" s="1" t="s">
        <v>4904</v>
      </c>
      <c r="D1027" s="1">
        <v>2023</v>
      </c>
      <c r="E1027" s="1" t="str">
        <f t="shared" si="4"/>
        <v>RIORIO 4 6MT 1.42023</v>
      </c>
      <c r="F1027" s="1" t="s">
        <v>460</v>
      </c>
      <c r="G1027" s="1">
        <v>11990000</v>
      </c>
      <c r="H1027" s="1">
        <v>9700000</v>
      </c>
    </row>
    <row r="1028" spans="1:8" ht="13.5" customHeight="1" x14ac:dyDescent="0.3">
      <c r="A1028" s="1" t="s">
        <v>201</v>
      </c>
      <c r="B1028" s="1" t="s">
        <v>4903</v>
      </c>
      <c r="C1028" s="1" t="s">
        <v>4905</v>
      </c>
      <c r="D1028" s="1">
        <v>2017</v>
      </c>
      <c r="E1028" s="1" t="str">
        <f t="shared" si="4"/>
        <v>RIORIO 4 EX 1.22017</v>
      </c>
      <c r="F1028" s="1" t="s">
        <v>543</v>
      </c>
      <c r="G1028" s="1">
        <v>5735470</v>
      </c>
      <c r="H1028" s="1">
        <v>4700000</v>
      </c>
    </row>
    <row r="1029" spans="1:8" ht="13.5" customHeight="1" x14ac:dyDescent="0.3">
      <c r="A1029" s="1" t="s">
        <v>201</v>
      </c>
      <c r="B1029" s="1" t="s">
        <v>4903</v>
      </c>
      <c r="C1029" s="1" t="s">
        <v>4906</v>
      </c>
      <c r="D1029" s="1">
        <v>2017</v>
      </c>
      <c r="E1029" s="1" t="str">
        <f t="shared" si="4"/>
        <v>RIORIO 4 EX 1.42017</v>
      </c>
      <c r="F1029" s="1" t="s">
        <v>4907</v>
      </c>
      <c r="G1029" s="1">
        <v>7400000</v>
      </c>
      <c r="H1029" s="1">
        <v>5500000</v>
      </c>
    </row>
    <row r="1030" spans="1:8" ht="13.5" customHeight="1" x14ac:dyDescent="0.3">
      <c r="A1030" s="1" t="s">
        <v>201</v>
      </c>
      <c r="B1030" s="1" t="s">
        <v>4903</v>
      </c>
      <c r="C1030" s="1" t="s">
        <v>4908</v>
      </c>
      <c r="D1030" s="1">
        <v>2018</v>
      </c>
      <c r="E1030" s="1" t="str">
        <f t="shared" si="4"/>
        <v>RIORIO 4 LX 1.42018</v>
      </c>
      <c r="F1030" s="1" t="s">
        <v>1587</v>
      </c>
      <c r="G1030" s="1">
        <v>5890000</v>
      </c>
      <c r="H1030" s="1">
        <v>4510000</v>
      </c>
    </row>
    <row r="1031" spans="1:8" ht="13.5" customHeight="1" x14ac:dyDescent="0.3">
      <c r="A1031" s="1" t="s">
        <v>201</v>
      </c>
      <c r="B1031" s="1" t="s">
        <v>4903</v>
      </c>
      <c r="C1031" s="1" t="s">
        <v>4908</v>
      </c>
      <c r="D1031" s="1">
        <v>2018</v>
      </c>
      <c r="E1031" s="1" t="str">
        <f t="shared" si="4"/>
        <v>RIORIO 4 LX 1.42018</v>
      </c>
      <c r="F1031" s="1" t="s">
        <v>984</v>
      </c>
      <c r="G1031" s="1">
        <v>6990000</v>
      </c>
      <c r="H1031" s="1">
        <v>5800000</v>
      </c>
    </row>
    <row r="1032" spans="1:8" ht="13.5" customHeight="1" x14ac:dyDescent="0.3">
      <c r="A1032" s="1" t="s">
        <v>201</v>
      </c>
      <c r="B1032" s="1" t="s">
        <v>4903</v>
      </c>
      <c r="C1032" s="1" t="s">
        <v>4908</v>
      </c>
      <c r="D1032" s="1">
        <v>2019</v>
      </c>
      <c r="E1032" s="1" t="str">
        <f t="shared" si="4"/>
        <v>RIORIO 4 LX 1.42019</v>
      </c>
      <c r="F1032" s="1" t="s">
        <v>404</v>
      </c>
      <c r="G1032" s="1">
        <v>7490000</v>
      </c>
      <c r="H1032" s="1">
        <v>5700000</v>
      </c>
    </row>
    <row r="1033" spans="1:8" ht="13.5" customHeight="1" x14ac:dyDescent="0.3">
      <c r="A1033" s="1" t="s">
        <v>201</v>
      </c>
      <c r="B1033" s="1" t="s">
        <v>4903</v>
      </c>
      <c r="C1033" s="1" t="s">
        <v>4908</v>
      </c>
      <c r="D1033" s="1">
        <v>2019</v>
      </c>
      <c r="E1033" s="1" t="str">
        <f t="shared" si="4"/>
        <v>RIORIO 4 LX 1.42019</v>
      </c>
      <c r="F1033" s="1" t="s">
        <v>2058</v>
      </c>
      <c r="G1033" s="1">
        <v>8090000</v>
      </c>
      <c r="H1033" s="1">
        <v>6200000</v>
      </c>
    </row>
    <row r="1034" spans="1:8" ht="13.5" customHeight="1" x14ac:dyDescent="0.3">
      <c r="A1034" s="1" t="s">
        <v>201</v>
      </c>
      <c r="B1034" s="1" t="s">
        <v>4903</v>
      </c>
      <c r="C1034" s="1" t="s">
        <v>4908</v>
      </c>
      <c r="D1034" s="1">
        <v>2019</v>
      </c>
      <c r="E1034" s="1" t="str">
        <f t="shared" si="4"/>
        <v>RIORIO 4 LX 1.42019</v>
      </c>
      <c r="F1034" s="1" t="s">
        <v>2146</v>
      </c>
      <c r="G1034" s="1">
        <v>9490000</v>
      </c>
      <c r="H1034" s="1">
        <v>7500000</v>
      </c>
    </row>
    <row r="1035" spans="1:8" ht="13.5" customHeight="1" x14ac:dyDescent="0.3">
      <c r="A1035" s="1" t="s">
        <v>201</v>
      </c>
      <c r="B1035" s="1" t="s">
        <v>4903</v>
      </c>
      <c r="C1035" s="1" t="s">
        <v>4908</v>
      </c>
      <c r="D1035" s="1">
        <v>2020</v>
      </c>
      <c r="E1035" s="1" t="str">
        <f t="shared" si="4"/>
        <v>RIORIO 4 LX 1.42020</v>
      </c>
      <c r="F1035" s="1" t="s">
        <v>2081</v>
      </c>
      <c r="G1035" s="1">
        <v>9390000</v>
      </c>
      <c r="H1035" s="1">
        <v>7500000</v>
      </c>
    </row>
    <row r="1036" spans="1:8" ht="13.5" customHeight="1" x14ac:dyDescent="0.3">
      <c r="A1036" s="1" t="s">
        <v>201</v>
      </c>
      <c r="B1036" s="1" t="s">
        <v>4903</v>
      </c>
      <c r="C1036" s="1" t="s">
        <v>4908</v>
      </c>
      <c r="D1036" s="1">
        <v>2020</v>
      </c>
      <c r="E1036" s="1" t="str">
        <f t="shared" si="4"/>
        <v>RIORIO 4 LX 1.42020</v>
      </c>
      <c r="F1036" s="1" t="s">
        <v>2412</v>
      </c>
      <c r="G1036" s="1">
        <v>11590000</v>
      </c>
      <c r="H1036" s="1">
        <v>9500000</v>
      </c>
    </row>
    <row r="1037" spans="1:8" ht="13.5" customHeight="1" x14ac:dyDescent="0.3">
      <c r="A1037" s="1" t="s">
        <v>201</v>
      </c>
      <c r="B1037" s="1" t="s">
        <v>4903</v>
      </c>
      <c r="C1037" s="1" t="s">
        <v>4908</v>
      </c>
      <c r="D1037" s="1">
        <v>2020</v>
      </c>
      <c r="E1037" s="1" t="str">
        <f t="shared" si="4"/>
        <v>RIORIO 4 LX 1.42020</v>
      </c>
      <c r="F1037" s="1" t="s">
        <v>2295</v>
      </c>
      <c r="G1037" s="1">
        <v>9990000</v>
      </c>
      <c r="H1037" s="1">
        <v>8500000</v>
      </c>
    </row>
    <row r="1038" spans="1:8" ht="13.5" customHeight="1" x14ac:dyDescent="0.3">
      <c r="A1038" s="1" t="s">
        <v>201</v>
      </c>
      <c r="B1038" s="1" t="s">
        <v>4903</v>
      </c>
      <c r="C1038" s="1" t="s">
        <v>4909</v>
      </c>
      <c r="D1038" s="1">
        <v>2020</v>
      </c>
      <c r="E1038" s="1" t="str">
        <f t="shared" si="4"/>
        <v>RIORIO 4 SEDAN 1.42020</v>
      </c>
      <c r="F1038" s="1" t="s">
        <v>872</v>
      </c>
      <c r="G1038" s="1">
        <v>9490000</v>
      </c>
      <c r="H1038" s="1">
        <v>7500000</v>
      </c>
    </row>
    <row r="1039" spans="1:8" ht="13.5" customHeight="1" x14ac:dyDescent="0.3">
      <c r="A1039" s="1" t="s">
        <v>201</v>
      </c>
      <c r="B1039" s="1" t="s">
        <v>4903</v>
      </c>
      <c r="C1039" s="1" t="s">
        <v>4909</v>
      </c>
      <c r="D1039" s="1">
        <v>2021</v>
      </c>
      <c r="E1039" s="1" t="str">
        <f t="shared" si="4"/>
        <v>RIORIO 4 SEDAN 1.42021</v>
      </c>
      <c r="F1039" s="1" t="s">
        <v>2280</v>
      </c>
      <c r="G1039" s="1">
        <v>10490000</v>
      </c>
      <c r="H1039" s="1">
        <v>11400000</v>
      </c>
    </row>
    <row r="1040" spans="1:8" ht="13.5" customHeight="1" x14ac:dyDescent="0.3">
      <c r="A1040" s="1" t="s">
        <v>201</v>
      </c>
      <c r="B1040" s="1" t="s">
        <v>4903</v>
      </c>
      <c r="C1040" s="1" t="s">
        <v>4909</v>
      </c>
      <c r="D1040" s="1">
        <v>2021</v>
      </c>
      <c r="E1040" s="1" t="str">
        <f t="shared" si="4"/>
        <v>RIORIO 4 SEDAN 1.42021</v>
      </c>
      <c r="F1040" s="1" t="s">
        <v>1952</v>
      </c>
      <c r="G1040" s="1">
        <v>8300000</v>
      </c>
      <c r="H1040" s="1">
        <v>7000000</v>
      </c>
    </row>
    <row r="1041" spans="1:8" ht="13.5" customHeight="1" x14ac:dyDescent="0.3">
      <c r="A1041" s="1" t="s">
        <v>201</v>
      </c>
      <c r="B1041" s="1" t="s">
        <v>4903</v>
      </c>
      <c r="C1041" s="1" t="s">
        <v>4910</v>
      </c>
      <c r="D1041" s="1">
        <v>2022</v>
      </c>
      <c r="E1041" s="1" t="str">
        <f t="shared" si="4"/>
        <v>RIORIO 5 1.4L AT2022</v>
      </c>
      <c r="F1041" s="1" t="s">
        <v>1733</v>
      </c>
      <c r="G1041" s="1">
        <v>12090000</v>
      </c>
      <c r="H1041" s="1">
        <v>10200000</v>
      </c>
    </row>
    <row r="1042" spans="1:8" ht="13.5" customHeight="1" x14ac:dyDescent="0.3">
      <c r="A1042" s="1" t="s">
        <v>201</v>
      </c>
      <c r="B1042" s="1" t="s">
        <v>4903</v>
      </c>
      <c r="C1042" s="1" t="s">
        <v>4911</v>
      </c>
      <c r="D1042" s="1">
        <v>2021</v>
      </c>
      <c r="E1042" s="1" t="str">
        <f t="shared" si="4"/>
        <v>RIORIO 5 6MT 1.42021</v>
      </c>
      <c r="F1042" s="1" t="s">
        <v>693</v>
      </c>
      <c r="G1042" s="1">
        <v>10490000</v>
      </c>
      <c r="H1042" s="1">
        <v>8800000</v>
      </c>
    </row>
    <row r="1043" spans="1:8" ht="13.5" customHeight="1" x14ac:dyDescent="0.3">
      <c r="A1043" s="1" t="s">
        <v>201</v>
      </c>
      <c r="B1043" s="1" t="s">
        <v>4903</v>
      </c>
      <c r="C1043" s="1" t="s">
        <v>4911</v>
      </c>
      <c r="D1043" s="1">
        <v>2021</v>
      </c>
      <c r="E1043" s="1" t="str">
        <f t="shared" si="4"/>
        <v>RIORIO 5 6MT 1.42021</v>
      </c>
      <c r="F1043" s="1" t="s">
        <v>1450</v>
      </c>
      <c r="G1043" s="1">
        <v>8990000</v>
      </c>
      <c r="H1043" s="1">
        <v>7500000</v>
      </c>
    </row>
    <row r="1044" spans="1:8" ht="13.5" customHeight="1" x14ac:dyDescent="0.3">
      <c r="A1044" s="1" t="s">
        <v>201</v>
      </c>
      <c r="B1044" s="1" t="s">
        <v>4903</v>
      </c>
      <c r="C1044" s="1" t="s">
        <v>4911</v>
      </c>
      <c r="D1044" s="1">
        <v>2022</v>
      </c>
      <c r="E1044" s="1" t="str">
        <f t="shared" si="4"/>
        <v>RIORIO 5 6MT 1.42022</v>
      </c>
      <c r="F1044" s="1" t="s">
        <v>1430</v>
      </c>
      <c r="G1044" s="1">
        <v>11290000</v>
      </c>
      <c r="H1044" s="1">
        <v>9500000</v>
      </c>
    </row>
    <row r="1045" spans="1:8" ht="13.5" customHeight="1" x14ac:dyDescent="0.3">
      <c r="A1045" s="1" t="s">
        <v>201</v>
      </c>
      <c r="B1045" s="1" t="s">
        <v>4903</v>
      </c>
      <c r="C1045" s="1" t="s">
        <v>4911</v>
      </c>
      <c r="D1045" s="1">
        <v>2022</v>
      </c>
      <c r="E1045" s="1" t="str">
        <f t="shared" si="4"/>
        <v>RIORIO 5 6MT 1.42022</v>
      </c>
      <c r="F1045" s="1" t="s">
        <v>392</v>
      </c>
      <c r="G1045" s="1">
        <v>10290000</v>
      </c>
      <c r="H1045" s="1">
        <v>7600000</v>
      </c>
    </row>
    <row r="1046" spans="1:8" ht="13.5" customHeight="1" x14ac:dyDescent="0.3">
      <c r="A1046" s="1" t="s">
        <v>201</v>
      </c>
      <c r="B1046" s="1" t="s">
        <v>4903</v>
      </c>
      <c r="C1046" s="1" t="s">
        <v>4911</v>
      </c>
      <c r="D1046" s="1">
        <v>2023</v>
      </c>
      <c r="E1046" s="1" t="str">
        <f t="shared" si="4"/>
        <v>RIORIO 5 6MT 1.42023</v>
      </c>
      <c r="F1046" s="1" t="s">
        <v>1667</v>
      </c>
      <c r="G1046" s="1">
        <v>10590000</v>
      </c>
      <c r="H1046" s="1">
        <v>9100000</v>
      </c>
    </row>
    <row r="1047" spans="1:8" ht="13.5" customHeight="1" x14ac:dyDescent="0.3">
      <c r="A1047" s="1" t="s">
        <v>201</v>
      </c>
      <c r="B1047" s="1" t="s">
        <v>4903</v>
      </c>
      <c r="C1047" s="1" t="s">
        <v>4912</v>
      </c>
      <c r="D1047" s="1">
        <v>2017</v>
      </c>
      <c r="E1047" s="1" t="str">
        <f t="shared" si="4"/>
        <v>RIORIO 5 EX 1.42017</v>
      </c>
      <c r="F1047" s="1" t="s">
        <v>1884</v>
      </c>
      <c r="G1047" s="1">
        <v>7990000</v>
      </c>
      <c r="H1047" s="1">
        <v>5650000</v>
      </c>
    </row>
    <row r="1048" spans="1:8" ht="13.5" customHeight="1" x14ac:dyDescent="0.3">
      <c r="A1048" s="1" t="s">
        <v>201</v>
      </c>
      <c r="B1048" s="1" t="s">
        <v>4903</v>
      </c>
      <c r="C1048" s="1" t="s">
        <v>4912</v>
      </c>
      <c r="D1048" s="1">
        <v>2018</v>
      </c>
      <c r="E1048" s="1" t="str">
        <f t="shared" si="4"/>
        <v>RIORIO 5 EX 1.42018</v>
      </c>
      <c r="F1048" s="1" t="s">
        <v>497</v>
      </c>
      <c r="G1048" s="1">
        <v>8290000</v>
      </c>
      <c r="H1048" s="1">
        <v>7000000</v>
      </c>
    </row>
    <row r="1049" spans="1:8" ht="13.5" customHeight="1" x14ac:dyDescent="0.3">
      <c r="A1049" s="1" t="s">
        <v>201</v>
      </c>
      <c r="B1049" s="1" t="s">
        <v>4903</v>
      </c>
      <c r="C1049" s="1" t="s">
        <v>4912</v>
      </c>
      <c r="D1049" s="1">
        <v>2018</v>
      </c>
      <c r="E1049" s="1" t="str">
        <f t="shared" si="4"/>
        <v>RIORIO 5 EX 1.42018</v>
      </c>
      <c r="F1049" s="1" t="s">
        <v>1812</v>
      </c>
      <c r="G1049" s="1">
        <v>7990000</v>
      </c>
      <c r="H1049" s="1">
        <v>6300000</v>
      </c>
    </row>
    <row r="1050" spans="1:8" ht="13.5" customHeight="1" x14ac:dyDescent="0.3">
      <c r="A1050" s="1" t="s">
        <v>201</v>
      </c>
      <c r="B1050" s="1" t="s">
        <v>4903</v>
      </c>
      <c r="C1050" s="1" t="s">
        <v>4912</v>
      </c>
      <c r="D1050" s="1">
        <v>2019</v>
      </c>
      <c r="E1050" s="1" t="str">
        <f t="shared" si="4"/>
        <v>RIORIO 5 EX 1.42019</v>
      </c>
      <c r="F1050" s="1" t="s">
        <v>1160</v>
      </c>
      <c r="G1050" s="1">
        <v>9690000</v>
      </c>
      <c r="H1050" s="1">
        <v>7700000</v>
      </c>
    </row>
    <row r="1051" spans="1:8" ht="13.5" customHeight="1" x14ac:dyDescent="0.3">
      <c r="A1051" s="1" t="s">
        <v>201</v>
      </c>
      <c r="B1051" s="1" t="s">
        <v>4903</v>
      </c>
      <c r="C1051" s="1" t="s">
        <v>4912</v>
      </c>
      <c r="D1051" s="1">
        <v>2019</v>
      </c>
      <c r="E1051" s="1" t="str">
        <f t="shared" si="4"/>
        <v>RIORIO 5 EX 1.42019</v>
      </c>
      <c r="F1051" s="1" t="s">
        <v>2166</v>
      </c>
      <c r="G1051" s="1">
        <v>9990000</v>
      </c>
      <c r="H1051" s="1">
        <v>7500000</v>
      </c>
    </row>
    <row r="1052" spans="1:8" ht="13.5" customHeight="1" x14ac:dyDescent="0.3">
      <c r="A1052" s="1" t="s">
        <v>201</v>
      </c>
      <c r="B1052" s="1" t="s">
        <v>4903</v>
      </c>
      <c r="C1052" s="1" t="s">
        <v>4912</v>
      </c>
      <c r="D1052" s="1">
        <v>2019</v>
      </c>
      <c r="E1052" s="1" t="str">
        <f t="shared" si="4"/>
        <v>RIORIO 5 EX 1.42019</v>
      </c>
      <c r="F1052" s="1" t="s">
        <v>634</v>
      </c>
      <c r="G1052" s="1">
        <v>7990000</v>
      </c>
      <c r="H1052" s="1">
        <v>6400000</v>
      </c>
    </row>
    <row r="1053" spans="1:8" ht="13.5" customHeight="1" x14ac:dyDescent="0.3">
      <c r="A1053" s="1" t="s">
        <v>201</v>
      </c>
      <c r="B1053" s="1" t="s">
        <v>4903</v>
      </c>
      <c r="C1053" s="1" t="s">
        <v>4912</v>
      </c>
      <c r="D1053" s="1">
        <v>2019</v>
      </c>
      <c r="E1053" s="1" t="str">
        <f t="shared" si="4"/>
        <v>RIORIO 5 EX 1.42019</v>
      </c>
      <c r="F1053" s="1" t="s">
        <v>417</v>
      </c>
      <c r="G1053" s="1">
        <v>8190000</v>
      </c>
      <c r="H1053" s="1">
        <v>6300000</v>
      </c>
    </row>
    <row r="1054" spans="1:8" ht="13.5" customHeight="1" x14ac:dyDescent="0.3">
      <c r="A1054" s="1" t="s">
        <v>201</v>
      </c>
      <c r="B1054" s="1" t="s">
        <v>4903</v>
      </c>
      <c r="C1054" s="1" t="s">
        <v>4912</v>
      </c>
      <c r="D1054" s="1">
        <v>2020</v>
      </c>
      <c r="E1054" s="1" t="str">
        <f t="shared" si="4"/>
        <v>RIORIO 5 EX 1.42020</v>
      </c>
      <c r="F1054" s="1" t="s">
        <v>2050</v>
      </c>
      <c r="G1054" s="1">
        <v>8690000</v>
      </c>
      <c r="H1054" s="1">
        <v>6857143</v>
      </c>
    </row>
    <row r="1055" spans="1:8" ht="13.5" customHeight="1" x14ac:dyDescent="0.3">
      <c r="A1055" s="1" t="s">
        <v>201</v>
      </c>
      <c r="B1055" s="1" t="s">
        <v>4903</v>
      </c>
      <c r="C1055" s="1" t="s">
        <v>4912</v>
      </c>
      <c r="D1055" s="1">
        <v>2020</v>
      </c>
      <c r="E1055" s="1" t="str">
        <f t="shared" si="4"/>
        <v>RIORIO 5 EX 1.42020</v>
      </c>
      <c r="F1055" s="1" t="s">
        <v>2106</v>
      </c>
      <c r="G1055" s="1">
        <v>10490000</v>
      </c>
      <c r="H1055" s="1">
        <v>8500000</v>
      </c>
    </row>
    <row r="1056" spans="1:8" ht="13.5" customHeight="1" x14ac:dyDescent="0.3">
      <c r="A1056" s="1" t="s">
        <v>201</v>
      </c>
      <c r="B1056" s="1" t="s">
        <v>4903</v>
      </c>
      <c r="C1056" s="1" t="s">
        <v>4912</v>
      </c>
      <c r="D1056" s="1">
        <v>2020</v>
      </c>
      <c r="E1056" s="1" t="str">
        <f t="shared" si="4"/>
        <v>RIORIO 5 EX 1.42020</v>
      </c>
      <c r="F1056" s="1" t="s">
        <v>2368</v>
      </c>
      <c r="G1056" s="1">
        <v>9135270</v>
      </c>
      <c r="H1056" s="1">
        <v>8000000</v>
      </c>
    </row>
    <row r="1057" spans="1:8" ht="13.5" customHeight="1" x14ac:dyDescent="0.3">
      <c r="A1057" s="1" t="s">
        <v>201</v>
      </c>
      <c r="B1057" s="1" t="s">
        <v>4903</v>
      </c>
      <c r="C1057" s="1" t="s">
        <v>4912</v>
      </c>
      <c r="D1057" s="1">
        <v>2020</v>
      </c>
      <c r="E1057" s="1" t="str">
        <f t="shared" si="4"/>
        <v>RIORIO 5 EX 1.42020</v>
      </c>
      <c r="F1057" s="1" t="s">
        <v>2317</v>
      </c>
      <c r="G1057" s="1">
        <v>10990000</v>
      </c>
      <c r="H1057" s="1">
        <v>9000000</v>
      </c>
    </row>
    <row r="1058" spans="1:8" ht="13.5" customHeight="1" x14ac:dyDescent="0.3">
      <c r="A1058" s="1" t="s">
        <v>201</v>
      </c>
      <c r="B1058" s="1" t="s">
        <v>4903</v>
      </c>
      <c r="C1058" s="1" t="s">
        <v>4912</v>
      </c>
      <c r="D1058" s="1">
        <v>2020</v>
      </c>
      <c r="E1058" s="1" t="str">
        <f t="shared" si="4"/>
        <v>RIORIO 5 EX 1.42020</v>
      </c>
      <c r="F1058" s="1" t="s">
        <v>2132</v>
      </c>
      <c r="G1058" s="1">
        <v>12440000</v>
      </c>
      <c r="H1058" s="1">
        <v>9636975</v>
      </c>
    </row>
    <row r="1059" spans="1:8" ht="13.5" customHeight="1" x14ac:dyDescent="0.3">
      <c r="A1059" s="1" t="s">
        <v>201</v>
      </c>
      <c r="B1059" s="1" t="s">
        <v>4903</v>
      </c>
      <c r="C1059" s="1" t="s">
        <v>4912</v>
      </c>
      <c r="D1059" s="1">
        <v>2021</v>
      </c>
      <c r="E1059" s="1" t="str">
        <f t="shared" si="4"/>
        <v>RIORIO 5 EX 1.42021</v>
      </c>
      <c r="F1059" s="1" t="s">
        <v>1981</v>
      </c>
      <c r="G1059" s="1">
        <v>9672620</v>
      </c>
      <c r="H1059" s="1">
        <v>8000000</v>
      </c>
    </row>
    <row r="1060" spans="1:8" ht="13.5" customHeight="1" x14ac:dyDescent="0.3">
      <c r="A1060" s="1" t="s">
        <v>201</v>
      </c>
      <c r="B1060" s="1" t="s">
        <v>4903</v>
      </c>
      <c r="C1060" s="1" t="s">
        <v>4912</v>
      </c>
      <c r="D1060" s="1">
        <v>2021</v>
      </c>
      <c r="E1060" s="1" t="str">
        <f t="shared" si="4"/>
        <v>RIORIO 5 EX 1.42021</v>
      </c>
      <c r="F1060" s="1" t="s">
        <v>880</v>
      </c>
      <c r="G1060" s="1">
        <v>9690000</v>
      </c>
      <c r="H1060" s="1">
        <v>8100000</v>
      </c>
    </row>
    <row r="1061" spans="1:8" ht="13.5" customHeight="1" x14ac:dyDescent="0.3">
      <c r="A1061" s="1" t="s">
        <v>201</v>
      </c>
      <c r="B1061" s="1" t="s">
        <v>4903</v>
      </c>
      <c r="C1061" s="1" t="s">
        <v>4912</v>
      </c>
      <c r="D1061" s="1">
        <v>2021</v>
      </c>
      <c r="E1061" s="1" t="str">
        <f t="shared" si="4"/>
        <v>RIORIO 5 EX 1.42021</v>
      </c>
      <c r="F1061" s="1" t="s">
        <v>1495</v>
      </c>
      <c r="G1061" s="1">
        <v>9090000</v>
      </c>
      <c r="H1061" s="1">
        <v>7600000</v>
      </c>
    </row>
    <row r="1062" spans="1:8" ht="13.5" customHeight="1" x14ac:dyDescent="0.3">
      <c r="A1062" s="1" t="s">
        <v>201</v>
      </c>
      <c r="B1062" s="1" t="s">
        <v>4903</v>
      </c>
      <c r="C1062" s="1" t="s">
        <v>4913</v>
      </c>
      <c r="D1062" s="1">
        <v>2016</v>
      </c>
      <c r="E1062" s="1" t="str">
        <f t="shared" si="4"/>
        <v>RIORIO 5 EX SPORT 1.42016</v>
      </c>
      <c r="F1062" s="1" t="s">
        <v>1779</v>
      </c>
      <c r="G1062" s="1">
        <v>5790000</v>
      </c>
      <c r="H1062" s="1">
        <v>4505443</v>
      </c>
    </row>
    <row r="1063" spans="1:8" ht="13.5" customHeight="1" x14ac:dyDescent="0.3">
      <c r="A1063" s="1" t="s">
        <v>201</v>
      </c>
      <c r="B1063" s="1" t="s">
        <v>4903</v>
      </c>
      <c r="C1063" s="1" t="s">
        <v>4914</v>
      </c>
      <c r="D1063" s="1">
        <v>2019</v>
      </c>
      <c r="E1063" s="1" t="str">
        <f t="shared" si="4"/>
        <v>RIORIO 5 HATCH BACK 1.42019</v>
      </c>
      <c r="F1063" s="1" t="s">
        <v>849</v>
      </c>
      <c r="G1063" s="1">
        <v>8586810</v>
      </c>
      <c r="H1063" s="1">
        <v>7000000</v>
      </c>
    </row>
    <row r="1064" spans="1:8" ht="13.5" customHeight="1" x14ac:dyDescent="0.3">
      <c r="A1064" s="1" t="s">
        <v>201</v>
      </c>
      <c r="B1064" s="1" t="s">
        <v>4903</v>
      </c>
      <c r="C1064" s="1" t="s">
        <v>4914</v>
      </c>
      <c r="D1064" s="1">
        <v>2020</v>
      </c>
      <c r="E1064" s="1" t="str">
        <f t="shared" si="4"/>
        <v>RIORIO 5 HATCH BACK 1.42020</v>
      </c>
      <c r="F1064" s="1" t="s">
        <v>2042</v>
      </c>
      <c r="G1064" s="1">
        <v>9278620</v>
      </c>
      <c r="H1064" s="1">
        <v>7100000</v>
      </c>
    </row>
    <row r="1065" spans="1:8" ht="13.5" customHeight="1" x14ac:dyDescent="0.3">
      <c r="A1065" s="1" t="s">
        <v>201</v>
      </c>
      <c r="B1065" s="1" t="s">
        <v>4903</v>
      </c>
      <c r="C1065" s="1" t="s">
        <v>4914</v>
      </c>
      <c r="D1065" s="1">
        <v>2021</v>
      </c>
      <c r="E1065" s="1" t="str">
        <f t="shared" si="4"/>
        <v>RIORIO 5 HATCH BACK 1.42021</v>
      </c>
      <c r="F1065" s="1" t="s">
        <v>1729</v>
      </c>
      <c r="G1065" s="1">
        <v>9290000</v>
      </c>
      <c r="H1065" s="1">
        <v>7800000</v>
      </c>
    </row>
    <row r="1066" spans="1:8" ht="13.5" customHeight="1" x14ac:dyDescent="0.3">
      <c r="A1066" s="1" t="s">
        <v>201</v>
      </c>
      <c r="B1066" s="1" t="s">
        <v>4903</v>
      </c>
      <c r="C1066" s="1" t="s">
        <v>4914</v>
      </c>
      <c r="D1066" s="1">
        <v>2021</v>
      </c>
      <c r="E1066" s="1" t="str">
        <f t="shared" si="4"/>
        <v>RIORIO 5 HATCH BACK 1.42021</v>
      </c>
      <c r="F1066" s="1" t="s">
        <v>552</v>
      </c>
      <c r="G1066" s="1">
        <v>8500000</v>
      </c>
      <c r="H1066" s="1">
        <v>7000000</v>
      </c>
    </row>
    <row r="1067" spans="1:8" ht="13.5" customHeight="1" x14ac:dyDescent="0.3">
      <c r="A1067" s="1" t="s">
        <v>201</v>
      </c>
      <c r="B1067" s="1" t="s">
        <v>4903</v>
      </c>
      <c r="C1067" s="1" t="s">
        <v>4915</v>
      </c>
      <c r="D1067" s="1">
        <v>2021</v>
      </c>
      <c r="E1067" s="1" t="str">
        <f t="shared" si="4"/>
        <v>RIORIO 5 HATCH BACK 1.62021</v>
      </c>
      <c r="F1067" s="1" t="s">
        <v>1930</v>
      </c>
      <c r="G1067" s="1">
        <v>10390000</v>
      </c>
      <c r="H1067" s="1">
        <v>8400000</v>
      </c>
    </row>
    <row r="1068" spans="1:8" ht="13.5" customHeight="1" x14ac:dyDescent="0.3">
      <c r="A1068" s="1" t="s">
        <v>201</v>
      </c>
      <c r="B1068" s="1" t="s">
        <v>4903</v>
      </c>
      <c r="C1068" s="1" t="s">
        <v>4915</v>
      </c>
      <c r="D1068" s="1">
        <v>2021</v>
      </c>
      <c r="E1068" s="1" t="str">
        <f t="shared" si="4"/>
        <v>RIORIO 5 HATCH BACK 1.62021</v>
      </c>
      <c r="F1068" s="1" t="s">
        <v>1785</v>
      </c>
      <c r="G1068" s="1">
        <v>8780120</v>
      </c>
      <c r="H1068" s="1">
        <v>7500000</v>
      </c>
    </row>
    <row r="1069" spans="1:8" ht="13.5" customHeight="1" x14ac:dyDescent="0.3">
      <c r="A1069" s="1" t="s">
        <v>201</v>
      </c>
      <c r="B1069" s="1" t="s">
        <v>212</v>
      </c>
      <c r="C1069" s="1" t="s">
        <v>4916</v>
      </c>
      <c r="D1069" s="1">
        <v>2024</v>
      </c>
      <c r="E1069" s="1" t="str">
        <f t="shared" si="4"/>
        <v>SELTOSSELTOS EX 1.52024</v>
      </c>
      <c r="F1069" s="1" t="s">
        <v>4917</v>
      </c>
      <c r="G1069" s="1">
        <v>14490000</v>
      </c>
      <c r="H1069" s="1">
        <v>13500000</v>
      </c>
    </row>
    <row r="1070" spans="1:8" ht="13.5" customHeight="1" x14ac:dyDescent="0.3">
      <c r="A1070" s="1" t="s">
        <v>201</v>
      </c>
      <c r="B1070" s="1" t="s">
        <v>212</v>
      </c>
      <c r="C1070" s="1" t="s">
        <v>4916</v>
      </c>
      <c r="D1070" s="1">
        <v>2024</v>
      </c>
      <c r="E1070" s="1" t="str">
        <f t="shared" si="4"/>
        <v>SELTOSSELTOS EX 1.52024</v>
      </c>
      <c r="F1070" s="1" t="s">
        <v>1245</v>
      </c>
      <c r="G1070" s="1">
        <v>15490000</v>
      </c>
      <c r="H1070" s="1">
        <v>13400000</v>
      </c>
    </row>
    <row r="1071" spans="1:8" ht="13.5" customHeight="1" x14ac:dyDescent="0.3">
      <c r="A1071" s="1" t="s">
        <v>201</v>
      </c>
      <c r="B1071" s="1" t="s">
        <v>212</v>
      </c>
      <c r="C1071" s="1" t="s">
        <v>4916</v>
      </c>
      <c r="D1071" s="1">
        <v>2024</v>
      </c>
      <c r="E1071" s="1" t="str">
        <f t="shared" si="4"/>
        <v>SELTOSSELTOS EX 1.52024</v>
      </c>
      <c r="F1071" s="1" t="s">
        <v>1313</v>
      </c>
      <c r="G1071" s="1">
        <v>16990000</v>
      </c>
      <c r="H1071" s="1">
        <v>15000000</v>
      </c>
    </row>
    <row r="1072" spans="1:8" ht="13.5" customHeight="1" x14ac:dyDescent="0.3">
      <c r="A1072" s="1" t="s">
        <v>201</v>
      </c>
      <c r="B1072" s="1" t="s">
        <v>212</v>
      </c>
      <c r="C1072" s="1" t="s">
        <v>4918</v>
      </c>
      <c r="D1072" s="1">
        <v>2020</v>
      </c>
      <c r="E1072" s="1" t="str">
        <f t="shared" si="4"/>
        <v>SELTOSSELTOS EX 1.62020</v>
      </c>
      <c r="F1072" s="1" t="s">
        <v>2006</v>
      </c>
      <c r="G1072" s="1">
        <v>13990000</v>
      </c>
      <c r="H1072" s="1">
        <v>11000000</v>
      </c>
    </row>
    <row r="1073" spans="1:8" ht="13.5" customHeight="1" x14ac:dyDescent="0.3">
      <c r="A1073" s="1" t="s">
        <v>201</v>
      </c>
      <c r="B1073" s="1" t="s">
        <v>212</v>
      </c>
      <c r="C1073" s="1" t="s">
        <v>4918</v>
      </c>
      <c r="D1073" s="1">
        <v>2020</v>
      </c>
      <c r="E1073" s="1" t="str">
        <f t="shared" si="4"/>
        <v>SELTOSSELTOS EX 1.62020</v>
      </c>
      <c r="F1073" s="1" t="s">
        <v>2278</v>
      </c>
      <c r="G1073" s="1">
        <v>16290000</v>
      </c>
      <c r="H1073" s="1">
        <v>14000000</v>
      </c>
    </row>
    <row r="1074" spans="1:8" ht="13.5" customHeight="1" x14ac:dyDescent="0.3">
      <c r="A1074" s="1" t="s">
        <v>201</v>
      </c>
      <c r="B1074" s="1" t="s">
        <v>212</v>
      </c>
      <c r="C1074" s="1" t="s">
        <v>4918</v>
      </c>
      <c r="D1074" s="1">
        <v>2021</v>
      </c>
      <c r="E1074" s="1" t="str">
        <f t="shared" si="4"/>
        <v>SELTOSSELTOS EX 1.62021</v>
      </c>
      <c r="F1074" s="1" t="s">
        <v>2098</v>
      </c>
      <c r="G1074" s="1">
        <v>13990000</v>
      </c>
      <c r="H1074" s="1">
        <v>11500000</v>
      </c>
    </row>
    <row r="1075" spans="1:8" ht="13.5" customHeight="1" x14ac:dyDescent="0.3">
      <c r="A1075" s="1" t="s">
        <v>201</v>
      </c>
      <c r="B1075" s="1" t="s">
        <v>212</v>
      </c>
      <c r="C1075" s="1" t="s">
        <v>213</v>
      </c>
      <c r="D1075" s="1">
        <v>2020</v>
      </c>
      <c r="E1075" s="1" t="str">
        <f t="shared" si="4"/>
        <v>SELTOSSELTOS EX 1.6 AUT2020</v>
      </c>
      <c r="F1075" s="1" t="s">
        <v>1336</v>
      </c>
      <c r="G1075" s="1">
        <v>13590000</v>
      </c>
      <c r="H1075" s="1">
        <v>11500000</v>
      </c>
    </row>
    <row r="1076" spans="1:8" ht="13.5" customHeight="1" x14ac:dyDescent="0.3">
      <c r="A1076" s="1" t="s">
        <v>201</v>
      </c>
      <c r="B1076" s="1" t="s">
        <v>212</v>
      </c>
      <c r="C1076" s="1" t="s">
        <v>213</v>
      </c>
      <c r="D1076" s="1">
        <v>2021</v>
      </c>
      <c r="E1076" s="1" t="str">
        <f t="shared" si="4"/>
        <v>SELTOSSELTOS EX 1.6 AUT2021</v>
      </c>
      <c r="F1076" s="1" t="s">
        <v>2385</v>
      </c>
      <c r="G1076" s="1">
        <v>15990000</v>
      </c>
      <c r="H1076" s="1">
        <v>14000000</v>
      </c>
    </row>
    <row r="1077" spans="1:8" ht="13.5" customHeight="1" x14ac:dyDescent="0.3">
      <c r="A1077" s="1" t="s">
        <v>201</v>
      </c>
      <c r="B1077" s="1" t="s">
        <v>212</v>
      </c>
      <c r="C1077" s="1" t="s">
        <v>4919</v>
      </c>
      <c r="D1077" s="1">
        <v>2024</v>
      </c>
      <c r="E1077" s="1" t="str">
        <f t="shared" si="4"/>
        <v>SELTOSSELTOS EX IVT 1.5 AUT2024</v>
      </c>
      <c r="F1077" s="1" t="s">
        <v>584</v>
      </c>
      <c r="G1077" s="1">
        <v>16590000</v>
      </c>
      <c r="H1077" s="1">
        <v>14050000</v>
      </c>
    </row>
    <row r="1078" spans="1:8" ht="13.5" customHeight="1" x14ac:dyDescent="0.3">
      <c r="A1078" s="1" t="s">
        <v>201</v>
      </c>
      <c r="B1078" s="1" t="s">
        <v>212</v>
      </c>
      <c r="C1078" s="1" t="s">
        <v>4919</v>
      </c>
      <c r="D1078" s="1">
        <v>2024</v>
      </c>
      <c r="E1078" s="1" t="str">
        <f t="shared" si="4"/>
        <v>SELTOSSELTOS EX IVT 1.5 AUT2024</v>
      </c>
      <c r="F1078" s="1" t="s">
        <v>1357</v>
      </c>
      <c r="G1078" s="1">
        <v>17540000</v>
      </c>
      <c r="H1078" s="1">
        <v>15000000</v>
      </c>
    </row>
    <row r="1079" spans="1:8" ht="13.5" customHeight="1" x14ac:dyDescent="0.3">
      <c r="A1079" s="1" t="s">
        <v>201</v>
      </c>
      <c r="B1079" s="1" t="s">
        <v>212</v>
      </c>
      <c r="C1079" s="1" t="s">
        <v>4920</v>
      </c>
      <c r="D1079" s="1">
        <v>2021</v>
      </c>
      <c r="E1079" s="1" t="str">
        <f t="shared" si="4"/>
        <v>SELTOSSELTOS MPI 1.6 AUT2021</v>
      </c>
      <c r="F1079" s="1" t="s">
        <v>2024</v>
      </c>
      <c r="G1079" s="1">
        <v>12490000</v>
      </c>
      <c r="H1079" s="1">
        <v>12000000</v>
      </c>
    </row>
    <row r="1080" spans="1:8" ht="13.5" customHeight="1" x14ac:dyDescent="0.3">
      <c r="A1080" s="1" t="s">
        <v>201</v>
      </c>
      <c r="B1080" s="1" t="s">
        <v>212</v>
      </c>
      <c r="C1080" s="1" t="s">
        <v>4920</v>
      </c>
      <c r="D1080" s="1">
        <v>2021</v>
      </c>
      <c r="E1080" s="1" t="str">
        <f t="shared" si="4"/>
        <v>SELTOSSELTOS MPI 1.6 AUT2021</v>
      </c>
      <c r="F1080" s="1" t="s">
        <v>1498</v>
      </c>
      <c r="G1080" s="1">
        <v>14196620</v>
      </c>
      <c r="H1080" s="1">
        <v>12300000</v>
      </c>
    </row>
    <row r="1081" spans="1:8" ht="13.5" customHeight="1" x14ac:dyDescent="0.3">
      <c r="A1081" s="1" t="s">
        <v>201</v>
      </c>
      <c r="B1081" s="1" t="s">
        <v>212</v>
      </c>
      <c r="C1081" s="1" t="s">
        <v>4920</v>
      </c>
      <c r="D1081" s="1">
        <v>2021</v>
      </c>
      <c r="E1081" s="1" t="str">
        <f t="shared" si="4"/>
        <v>SELTOSSELTOS MPI 1.6 AUT2021</v>
      </c>
      <c r="F1081" s="1" t="s">
        <v>1091</v>
      </c>
      <c r="G1081" s="1">
        <v>13490000</v>
      </c>
      <c r="H1081" s="1">
        <v>11200000</v>
      </c>
    </row>
    <row r="1082" spans="1:8" ht="13.5" customHeight="1" x14ac:dyDescent="0.3">
      <c r="A1082" s="1" t="s">
        <v>201</v>
      </c>
      <c r="B1082" s="1" t="s">
        <v>212</v>
      </c>
      <c r="C1082" s="1" t="s">
        <v>4920</v>
      </c>
      <c r="D1082" s="1">
        <v>2021</v>
      </c>
      <c r="E1082" s="1" t="str">
        <f t="shared" si="4"/>
        <v>SELTOSSELTOS MPI 1.6 AUT2021</v>
      </c>
      <c r="F1082" s="1" t="s">
        <v>1929</v>
      </c>
      <c r="G1082" s="1">
        <v>14700470</v>
      </c>
      <c r="H1082" s="1">
        <v>11800000</v>
      </c>
    </row>
    <row r="1083" spans="1:8" ht="13.5" customHeight="1" x14ac:dyDescent="0.3">
      <c r="A1083" s="1" t="s">
        <v>201</v>
      </c>
      <c r="B1083" s="1" t="s">
        <v>212</v>
      </c>
      <c r="C1083" s="1" t="s">
        <v>4920</v>
      </c>
      <c r="D1083" s="1">
        <v>2022</v>
      </c>
      <c r="E1083" s="1" t="str">
        <f t="shared" si="4"/>
        <v>SELTOSSELTOS MPI 1.6 AUT2022</v>
      </c>
      <c r="F1083" s="1" t="s">
        <v>1653</v>
      </c>
      <c r="G1083" s="1">
        <v>14990000</v>
      </c>
      <c r="H1083" s="1">
        <v>13500000</v>
      </c>
    </row>
    <row r="1084" spans="1:8" ht="13.5" customHeight="1" x14ac:dyDescent="0.3">
      <c r="A1084" s="1" t="s">
        <v>201</v>
      </c>
      <c r="B1084" s="1" t="s">
        <v>212</v>
      </c>
      <c r="C1084" s="1" t="s">
        <v>4921</v>
      </c>
      <c r="D1084" s="1">
        <v>2021</v>
      </c>
      <c r="E1084" s="1" t="str">
        <f t="shared" si="4"/>
        <v>SELTOSSELTOS MPI 6MT 1.62021</v>
      </c>
      <c r="F1084" s="1" t="s">
        <v>378</v>
      </c>
      <c r="G1084" s="1">
        <v>12790000</v>
      </c>
      <c r="H1084" s="1">
        <v>10200000</v>
      </c>
    </row>
    <row r="1085" spans="1:8" ht="13.5" customHeight="1" x14ac:dyDescent="0.3">
      <c r="A1085" s="1" t="s">
        <v>201</v>
      </c>
      <c r="B1085" s="1" t="s">
        <v>212</v>
      </c>
      <c r="C1085" s="1" t="s">
        <v>4921</v>
      </c>
      <c r="D1085" s="1">
        <v>2021</v>
      </c>
      <c r="E1085" s="1" t="str">
        <f t="shared" si="4"/>
        <v>SELTOSSELTOS MPI 6MT 1.62021</v>
      </c>
      <c r="F1085" s="1" t="s">
        <v>471</v>
      </c>
      <c r="G1085" s="1">
        <v>26390000</v>
      </c>
      <c r="H1085" s="1">
        <v>21700000</v>
      </c>
    </row>
    <row r="1086" spans="1:8" ht="13.5" customHeight="1" x14ac:dyDescent="0.3">
      <c r="A1086" s="1" t="s">
        <v>201</v>
      </c>
      <c r="B1086" s="1" t="s">
        <v>212</v>
      </c>
      <c r="C1086" s="1" t="s">
        <v>4921</v>
      </c>
      <c r="D1086" s="1">
        <v>2021</v>
      </c>
      <c r="E1086" s="1" t="str">
        <f t="shared" si="4"/>
        <v>SELTOSSELTOS MPI 6MT 1.62021</v>
      </c>
      <c r="F1086" s="1" t="s">
        <v>1802</v>
      </c>
      <c r="G1086" s="1">
        <v>12590000</v>
      </c>
      <c r="H1086" s="1">
        <v>10800000</v>
      </c>
    </row>
    <row r="1087" spans="1:8" ht="13.5" customHeight="1" x14ac:dyDescent="0.3">
      <c r="A1087" s="1" t="s">
        <v>201</v>
      </c>
      <c r="B1087" s="1" t="s">
        <v>212</v>
      </c>
      <c r="C1087" s="1" t="s">
        <v>4921</v>
      </c>
      <c r="D1087" s="1">
        <v>2021</v>
      </c>
      <c r="E1087" s="1" t="str">
        <f t="shared" si="4"/>
        <v>SELTOSSELTOS MPI 6MT 1.62021</v>
      </c>
      <c r="F1087" s="1" t="s">
        <v>864</v>
      </c>
      <c r="G1087" s="1">
        <v>13290000</v>
      </c>
      <c r="H1087" s="1">
        <v>11000000</v>
      </c>
    </row>
    <row r="1088" spans="1:8" ht="13.5" customHeight="1" x14ac:dyDescent="0.3">
      <c r="A1088" s="1" t="s">
        <v>201</v>
      </c>
      <c r="B1088" s="1" t="s">
        <v>212</v>
      </c>
      <c r="C1088" s="1" t="s">
        <v>4921</v>
      </c>
      <c r="D1088" s="1">
        <v>2021</v>
      </c>
      <c r="E1088" s="1" t="str">
        <f t="shared" si="4"/>
        <v>SELTOSSELTOS MPI 6MT 1.62021</v>
      </c>
      <c r="F1088" s="1" t="s">
        <v>1921</v>
      </c>
      <c r="G1088" s="1">
        <v>12190000</v>
      </c>
      <c r="H1088" s="1">
        <v>11000000</v>
      </c>
    </row>
    <row r="1089" spans="1:8" ht="13.5" customHeight="1" x14ac:dyDescent="0.3">
      <c r="A1089" s="1" t="s">
        <v>201</v>
      </c>
      <c r="B1089" s="1" t="s">
        <v>212</v>
      </c>
      <c r="C1089" s="1" t="s">
        <v>4921</v>
      </c>
      <c r="D1089" s="1">
        <v>2021</v>
      </c>
      <c r="E1089" s="1" t="str">
        <f t="shared" si="4"/>
        <v>SELTOSSELTOS MPI 6MT 1.62021</v>
      </c>
      <c r="F1089" s="1" t="s">
        <v>2049</v>
      </c>
      <c r="G1089" s="1">
        <v>14490000</v>
      </c>
      <c r="H1089" s="1">
        <v>12002942</v>
      </c>
    </row>
    <row r="1090" spans="1:8" ht="13.5" customHeight="1" x14ac:dyDescent="0.3">
      <c r="A1090" s="1" t="s">
        <v>201</v>
      </c>
      <c r="B1090" s="1" t="s">
        <v>212</v>
      </c>
      <c r="C1090" s="1" t="s">
        <v>4921</v>
      </c>
      <c r="D1090" s="1">
        <v>2021</v>
      </c>
      <c r="E1090" s="1" t="str">
        <f t="shared" si="4"/>
        <v>SELTOSSELTOS MPI 6MT 1.62021</v>
      </c>
      <c r="F1090" s="1" t="s">
        <v>456</v>
      </c>
      <c r="G1090" s="1">
        <v>11990000</v>
      </c>
      <c r="H1090" s="1">
        <v>10000000</v>
      </c>
    </row>
    <row r="1091" spans="1:8" ht="13.5" customHeight="1" x14ac:dyDescent="0.3">
      <c r="A1091" s="1" t="s">
        <v>201</v>
      </c>
      <c r="B1091" s="1" t="s">
        <v>212</v>
      </c>
      <c r="C1091" s="1" t="s">
        <v>4921</v>
      </c>
      <c r="D1091" s="1">
        <v>2022</v>
      </c>
      <c r="E1091" s="1" t="str">
        <f t="shared" si="4"/>
        <v>SELTOSSELTOS MPI 6MT 1.62022</v>
      </c>
      <c r="F1091" s="1" t="s">
        <v>1959</v>
      </c>
      <c r="G1091" s="1">
        <v>14490000</v>
      </c>
      <c r="H1091" s="1">
        <v>12300000</v>
      </c>
    </row>
    <row r="1092" spans="1:8" ht="13.5" customHeight="1" x14ac:dyDescent="0.3">
      <c r="A1092" s="1" t="s">
        <v>201</v>
      </c>
      <c r="B1092" s="1" t="s">
        <v>212</v>
      </c>
      <c r="C1092" s="1" t="s">
        <v>4921</v>
      </c>
      <c r="D1092" s="1">
        <v>2023</v>
      </c>
      <c r="E1092" s="1" t="str">
        <f t="shared" si="4"/>
        <v>SELTOSSELTOS MPI 6MT 1.62023</v>
      </c>
      <c r="F1092" s="1" t="s">
        <v>614</v>
      </c>
      <c r="G1092" s="1">
        <v>15690000</v>
      </c>
      <c r="H1092" s="1">
        <v>13300000</v>
      </c>
    </row>
    <row r="1093" spans="1:8" ht="13.5" customHeight="1" x14ac:dyDescent="0.3">
      <c r="A1093" s="1" t="s">
        <v>201</v>
      </c>
      <c r="B1093" s="1" t="s">
        <v>212</v>
      </c>
      <c r="C1093" s="1" t="s">
        <v>4921</v>
      </c>
      <c r="D1093" s="1">
        <v>2023</v>
      </c>
      <c r="E1093" s="1" t="str">
        <f t="shared" si="4"/>
        <v>SELTOSSELTOS MPI 6MT 1.62023</v>
      </c>
      <c r="F1093" s="1" t="s">
        <v>803</v>
      </c>
      <c r="G1093" s="1">
        <v>13790000</v>
      </c>
      <c r="H1093" s="1">
        <v>11700000</v>
      </c>
    </row>
    <row r="1094" spans="1:8" ht="13.5" customHeight="1" x14ac:dyDescent="0.3">
      <c r="A1094" s="1" t="s">
        <v>201</v>
      </c>
      <c r="B1094" s="1" t="s">
        <v>212</v>
      </c>
      <c r="C1094" s="1" t="s">
        <v>4921</v>
      </c>
      <c r="D1094" s="1">
        <v>2023</v>
      </c>
      <c r="E1094" s="1" t="str">
        <f t="shared" si="4"/>
        <v>SELTOSSELTOS MPI 6MT 1.62023</v>
      </c>
      <c r="F1094" s="1" t="s">
        <v>1761</v>
      </c>
      <c r="G1094" s="1">
        <v>15390000</v>
      </c>
      <c r="H1094" s="1">
        <v>13000000</v>
      </c>
    </row>
    <row r="1095" spans="1:8" ht="13.5" customHeight="1" x14ac:dyDescent="0.3">
      <c r="A1095" s="1" t="s">
        <v>201</v>
      </c>
      <c r="B1095" s="1" t="s">
        <v>212</v>
      </c>
      <c r="C1095" s="1" t="s">
        <v>4921</v>
      </c>
      <c r="D1095" s="1">
        <v>2023</v>
      </c>
      <c r="E1095" s="1" t="str">
        <f t="shared" si="4"/>
        <v>SELTOSSELTOS MPI 6MT 1.62023</v>
      </c>
      <c r="F1095" s="1" t="s">
        <v>679</v>
      </c>
      <c r="G1095" s="1">
        <v>13990000</v>
      </c>
      <c r="H1095" s="1">
        <v>12000000</v>
      </c>
    </row>
    <row r="1096" spans="1:8" ht="13.5" customHeight="1" x14ac:dyDescent="0.3">
      <c r="A1096" s="1" t="s">
        <v>201</v>
      </c>
      <c r="B1096" s="1" t="s">
        <v>2911</v>
      </c>
      <c r="C1096" s="1" t="s">
        <v>4922</v>
      </c>
      <c r="D1096" s="1">
        <v>2021</v>
      </c>
      <c r="E1096" s="1" t="str">
        <f t="shared" si="4"/>
        <v>SOLUTOSOLUTO 1.42021</v>
      </c>
      <c r="F1096" s="1" t="s">
        <v>1121</v>
      </c>
      <c r="G1096" s="1">
        <v>6890000</v>
      </c>
      <c r="H1096" s="1">
        <v>5500000</v>
      </c>
    </row>
    <row r="1097" spans="1:8" ht="13.5" customHeight="1" x14ac:dyDescent="0.3">
      <c r="A1097" s="1" t="s">
        <v>201</v>
      </c>
      <c r="B1097" s="1" t="s">
        <v>2911</v>
      </c>
      <c r="C1097" s="1" t="s">
        <v>4922</v>
      </c>
      <c r="D1097" s="1">
        <v>2021</v>
      </c>
      <c r="E1097" s="1" t="str">
        <f t="shared" si="4"/>
        <v>SOLUTOSOLUTO 1.42021</v>
      </c>
      <c r="F1097" s="1" t="s">
        <v>1691</v>
      </c>
      <c r="G1097" s="1">
        <v>7090000</v>
      </c>
      <c r="H1097" s="1">
        <v>5800000</v>
      </c>
    </row>
    <row r="1098" spans="1:8" ht="13.5" customHeight="1" x14ac:dyDescent="0.3">
      <c r="A1098" s="1" t="s">
        <v>201</v>
      </c>
      <c r="B1098" s="1" t="s">
        <v>2911</v>
      </c>
      <c r="C1098" s="1" t="s">
        <v>4922</v>
      </c>
      <c r="D1098" s="1">
        <v>2021</v>
      </c>
      <c r="E1098" s="1" t="str">
        <f t="shared" si="4"/>
        <v>SOLUTOSOLUTO 1.42021</v>
      </c>
      <c r="F1098" s="1" t="s">
        <v>1978</v>
      </c>
      <c r="G1098" s="1">
        <v>7490000</v>
      </c>
      <c r="H1098" s="1">
        <v>6000000</v>
      </c>
    </row>
    <row r="1099" spans="1:8" ht="13.5" customHeight="1" x14ac:dyDescent="0.3">
      <c r="A1099" s="1" t="s">
        <v>201</v>
      </c>
      <c r="B1099" s="1" t="s">
        <v>2911</v>
      </c>
      <c r="C1099" s="1" t="s">
        <v>4922</v>
      </c>
      <c r="D1099" s="1">
        <v>2021</v>
      </c>
      <c r="E1099" s="1" t="str">
        <f t="shared" si="4"/>
        <v>SOLUTOSOLUTO 1.42021</v>
      </c>
      <c r="F1099" s="1" t="s">
        <v>1844</v>
      </c>
      <c r="G1099" s="1">
        <v>6890000</v>
      </c>
      <c r="H1099" s="1">
        <v>5500000</v>
      </c>
    </row>
    <row r="1100" spans="1:8" ht="13.5" customHeight="1" x14ac:dyDescent="0.3">
      <c r="A1100" s="1" t="s">
        <v>201</v>
      </c>
      <c r="B1100" s="1" t="s">
        <v>2911</v>
      </c>
      <c r="C1100" s="1" t="s">
        <v>4922</v>
      </c>
      <c r="D1100" s="1">
        <v>2021</v>
      </c>
      <c r="E1100" s="1" t="str">
        <f t="shared" si="4"/>
        <v>SOLUTOSOLUTO 1.42021</v>
      </c>
      <c r="F1100" s="1" t="s">
        <v>2230</v>
      </c>
      <c r="G1100" s="1">
        <v>7990000</v>
      </c>
      <c r="H1100" s="1">
        <v>6500000</v>
      </c>
    </row>
    <row r="1101" spans="1:8" ht="13.5" customHeight="1" x14ac:dyDescent="0.3">
      <c r="A1101" s="1" t="s">
        <v>201</v>
      </c>
      <c r="B1101" s="1" t="s">
        <v>2911</v>
      </c>
      <c r="C1101" s="1" t="s">
        <v>4922</v>
      </c>
      <c r="D1101" s="1">
        <v>2021</v>
      </c>
      <c r="E1101" s="1" t="str">
        <f t="shared" si="4"/>
        <v>SOLUTOSOLUTO 1.42021</v>
      </c>
      <c r="F1101" s="1" t="s">
        <v>1627</v>
      </c>
      <c r="G1101" s="1">
        <v>7290000</v>
      </c>
      <c r="H1101" s="1">
        <v>6000000</v>
      </c>
    </row>
    <row r="1102" spans="1:8" ht="13.5" customHeight="1" x14ac:dyDescent="0.3">
      <c r="A1102" s="1" t="s">
        <v>201</v>
      </c>
      <c r="B1102" s="1" t="s">
        <v>2911</v>
      </c>
      <c r="C1102" s="1" t="s">
        <v>4922</v>
      </c>
      <c r="D1102" s="1">
        <v>2021</v>
      </c>
      <c r="E1102" s="1" t="str">
        <f t="shared" si="4"/>
        <v>SOLUTOSOLUTO 1.42021</v>
      </c>
      <c r="F1102" s="1" t="s">
        <v>366</v>
      </c>
      <c r="G1102" s="1">
        <v>7490000</v>
      </c>
      <c r="H1102" s="1">
        <v>5900000</v>
      </c>
    </row>
    <row r="1103" spans="1:8" ht="13.5" customHeight="1" x14ac:dyDescent="0.3">
      <c r="A1103" s="1" t="s">
        <v>201</v>
      </c>
      <c r="B1103" s="1" t="s">
        <v>2911</v>
      </c>
      <c r="C1103" s="1" t="s">
        <v>4922</v>
      </c>
      <c r="D1103" s="1">
        <v>2021</v>
      </c>
      <c r="E1103" s="1" t="str">
        <f t="shared" si="4"/>
        <v>SOLUTOSOLUTO 1.42021</v>
      </c>
      <c r="F1103" s="1" t="s">
        <v>978</v>
      </c>
      <c r="G1103" s="1">
        <v>7390000</v>
      </c>
      <c r="H1103" s="1">
        <v>5550000</v>
      </c>
    </row>
    <row r="1104" spans="1:8" ht="13.5" customHeight="1" x14ac:dyDescent="0.3">
      <c r="A1104" s="1" t="s">
        <v>201</v>
      </c>
      <c r="B1104" s="1" t="s">
        <v>2911</v>
      </c>
      <c r="C1104" s="1" t="s">
        <v>4922</v>
      </c>
      <c r="D1104" s="1">
        <v>2022</v>
      </c>
      <c r="E1104" s="1" t="str">
        <f t="shared" si="4"/>
        <v>SOLUTOSOLUTO 1.42022</v>
      </c>
      <c r="F1104" s="1" t="s">
        <v>2309</v>
      </c>
      <c r="G1104" s="1">
        <v>7790000</v>
      </c>
      <c r="H1104" s="1">
        <v>6700000</v>
      </c>
    </row>
    <row r="1105" spans="1:8" ht="13.5" customHeight="1" x14ac:dyDescent="0.3">
      <c r="A1105" s="1" t="s">
        <v>201</v>
      </c>
      <c r="B1105" s="1" t="s">
        <v>2911</v>
      </c>
      <c r="C1105" s="1" t="s">
        <v>4922</v>
      </c>
      <c r="D1105" s="1">
        <v>2022</v>
      </c>
      <c r="E1105" s="1" t="str">
        <f t="shared" si="4"/>
        <v>SOLUTOSOLUTO 1.42022</v>
      </c>
      <c r="F1105" s="1" t="s">
        <v>705</v>
      </c>
      <c r="G1105" s="1">
        <v>8289060</v>
      </c>
      <c r="H1105" s="1">
        <v>7000000</v>
      </c>
    </row>
    <row r="1106" spans="1:8" ht="13.5" customHeight="1" x14ac:dyDescent="0.3">
      <c r="A1106" s="1" t="s">
        <v>201</v>
      </c>
      <c r="B1106" s="1" t="s">
        <v>2911</v>
      </c>
      <c r="C1106" s="1" t="s">
        <v>4922</v>
      </c>
      <c r="D1106" s="1">
        <v>2022</v>
      </c>
      <c r="E1106" s="1" t="str">
        <f t="shared" si="4"/>
        <v>SOLUTOSOLUTO 1.42022</v>
      </c>
      <c r="F1106" s="1" t="s">
        <v>1096</v>
      </c>
      <c r="G1106" s="1">
        <v>7990000</v>
      </c>
      <c r="H1106" s="1">
        <v>6800000</v>
      </c>
    </row>
    <row r="1107" spans="1:8" ht="13.5" customHeight="1" x14ac:dyDescent="0.3">
      <c r="A1107" s="1" t="s">
        <v>201</v>
      </c>
      <c r="B1107" s="1" t="s">
        <v>2911</v>
      </c>
      <c r="C1107" s="1" t="s">
        <v>4922</v>
      </c>
      <c r="D1107" s="1">
        <v>2022</v>
      </c>
      <c r="E1107" s="1" t="str">
        <f t="shared" si="4"/>
        <v>SOLUTOSOLUTO 1.42022</v>
      </c>
      <c r="F1107" s="1" t="s">
        <v>869</v>
      </c>
      <c r="G1107" s="1">
        <v>7890000</v>
      </c>
      <c r="H1107" s="1">
        <v>6500000</v>
      </c>
    </row>
    <row r="1108" spans="1:8" ht="13.5" customHeight="1" x14ac:dyDescent="0.3">
      <c r="A1108" s="1" t="s">
        <v>201</v>
      </c>
      <c r="B1108" s="1" t="s">
        <v>2911</v>
      </c>
      <c r="C1108" s="1" t="s">
        <v>4922</v>
      </c>
      <c r="D1108" s="1">
        <v>2023</v>
      </c>
      <c r="E1108" s="1" t="str">
        <f t="shared" si="4"/>
        <v>SOLUTOSOLUTO 1.42023</v>
      </c>
      <c r="F1108" s="1" t="s">
        <v>787</v>
      </c>
      <c r="G1108" s="1">
        <v>8790000</v>
      </c>
      <c r="H1108" s="1">
        <v>7200000</v>
      </c>
    </row>
    <row r="1109" spans="1:8" ht="13.5" customHeight="1" x14ac:dyDescent="0.3">
      <c r="A1109" s="1" t="s">
        <v>201</v>
      </c>
      <c r="B1109" s="1" t="s">
        <v>2911</v>
      </c>
      <c r="C1109" s="1" t="s">
        <v>4922</v>
      </c>
      <c r="D1109" s="1">
        <v>2023</v>
      </c>
      <c r="E1109" s="1" t="str">
        <f t="shared" si="4"/>
        <v>SOLUTOSOLUTO 1.42023</v>
      </c>
      <c r="F1109" s="1" t="s">
        <v>860</v>
      </c>
      <c r="G1109" s="1">
        <v>8790000</v>
      </c>
      <c r="H1109" s="1">
        <v>7200000</v>
      </c>
    </row>
    <row r="1110" spans="1:8" ht="13.5" customHeight="1" x14ac:dyDescent="0.3">
      <c r="A1110" s="1" t="s">
        <v>201</v>
      </c>
      <c r="B1110" s="1" t="s">
        <v>2911</v>
      </c>
      <c r="C1110" s="1" t="s">
        <v>4922</v>
      </c>
      <c r="D1110" s="1">
        <v>2023</v>
      </c>
      <c r="E1110" s="1" t="str">
        <f t="shared" si="4"/>
        <v>SOLUTOSOLUTO 1.42023</v>
      </c>
      <c r="F1110" s="1" t="s">
        <v>1200</v>
      </c>
      <c r="G1110" s="1">
        <v>9290000</v>
      </c>
      <c r="H1110" s="1">
        <v>7500000</v>
      </c>
    </row>
    <row r="1111" spans="1:8" ht="13.5" customHeight="1" x14ac:dyDescent="0.3">
      <c r="A1111" s="1" t="s">
        <v>201</v>
      </c>
      <c r="B1111" s="1" t="s">
        <v>2911</v>
      </c>
      <c r="C1111" s="1" t="s">
        <v>4922</v>
      </c>
      <c r="D1111" s="1">
        <v>2023</v>
      </c>
      <c r="E1111" s="1" t="str">
        <f t="shared" si="4"/>
        <v>SOLUTOSOLUTO 1.42023</v>
      </c>
      <c r="F1111" s="1" t="s">
        <v>359</v>
      </c>
      <c r="G1111" s="1">
        <v>8990000</v>
      </c>
      <c r="H1111" s="1">
        <v>7200000</v>
      </c>
    </row>
    <row r="1112" spans="1:8" ht="13.5" customHeight="1" x14ac:dyDescent="0.3">
      <c r="A1112" s="1" t="s">
        <v>201</v>
      </c>
      <c r="B1112" s="1" t="s">
        <v>2911</v>
      </c>
      <c r="C1112" s="1" t="s">
        <v>4923</v>
      </c>
      <c r="D1112" s="1">
        <v>2020</v>
      </c>
      <c r="E1112" s="1" t="str">
        <f t="shared" si="4"/>
        <v>SOLUTOSOLUTO LX 1.42020</v>
      </c>
      <c r="F1112" s="1" t="s">
        <v>2352</v>
      </c>
      <c r="G1112" s="1">
        <v>7220000</v>
      </c>
      <c r="H1112" s="1">
        <v>6000000</v>
      </c>
    </row>
    <row r="1113" spans="1:8" ht="13.5" customHeight="1" x14ac:dyDescent="0.3">
      <c r="A1113" s="1" t="s">
        <v>201</v>
      </c>
      <c r="B1113" s="1" t="s">
        <v>2911</v>
      </c>
      <c r="C1113" s="1" t="s">
        <v>4923</v>
      </c>
      <c r="D1113" s="1">
        <v>2020</v>
      </c>
      <c r="E1113" s="1" t="str">
        <f t="shared" si="4"/>
        <v>SOLUTOSOLUTO LX 1.42020</v>
      </c>
      <c r="F1113" s="1" t="s">
        <v>2362</v>
      </c>
      <c r="G1113" s="1">
        <v>7990000</v>
      </c>
      <c r="H1113" s="1">
        <v>6500000</v>
      </c>
    </row>
    <row r="1114" spans="1:8" ht="13.5" customHeight="1" x14ac:dyDescent="0.3">
      <c r="A1114" s="1" t="s">
        <v>201</v>
      </c>
      <c r="B1114" s="1" t="s">
        <v>2911</v>
      </c>
      <c r="C1114" s="1" t="s">
        <v>4923</v>
      </c>
      <c r="D1114" s="1">
        <v>2020</v>
      </c>
      <c r="E1114" s="1" t="str">
        <f t="shared" si="4"/>
        <v>SOLUTOSOLUTO LX 1.42020</v>
      </c>
      <c r="F1114" s="1" t="s">
        <v>4924</v>
      </c>
      <c r="G1114" s="1">
        <v>6990000</v>
      </c>
      <c r="H1114" s="1">
        <v>5800000</v>
      </c>
    </row>
    <row r="1115" spans="1:8" ht="13.5" customHeight="1" x14ac:dyDescent="0.3">
      <c r="A1115" s="1" t="s">
        <v>201</v>
      </c>
      <c r="B1115" s="1" t="s">
        <v>2911</v>
      </c>
      <c r="C1115" s="1" t="s">
        <v>4923</v>
      </c>
      <c r="D1115" s="1">
        <v>2020</v>
      </c>
      <c r="E1115" s="1" t="str">
        <f t="shared" si="4"/>
        <v>SOLUTOSOLUTO LX 1.42020</v>
      </c>
      <c r="F1115" s="1" t="s">
        <v>2227</v>
      </c>
      <c r="G1115" s="1">
        <v>6855000</v>
      </c>
      <c r="H1115" s="1">
        <v>5300000</v>
      </c>
    </row>
    <row r="1116" spans="1:8" ht="13.5" customHeight="1" x14ac:dyDescent="0.3">
      <c r="A1116" s="1" t="s">
        <v>201</v>
      </c>
      <c r="B1116" s="1" t="s">
        <v>2911</v>
      </c>
      <c r="C1116" s="1" t="s">
        <v>4923</v>
      </c>
      <c r="D1116" s="1">
        <v>2020</v>
      </c>
      <c r="E1116" s="1" t="str">
        <f t="shared" si="4"/>
        <v>SOLUTOSOLUTO LX 1.42020</v>
      </c>
      <c r="F1116" s="1" t="s">
        <v>2141</v>
      </c>
      <c r="G1116" s="1">
        <v>8190000</v>
      </c>
      <c r="H1116" s="1">
        <v>6500000</v>
      </c>
    </row>
    <row r="1117" spans="1:8" ht="13.5" customHeight="1" x14ac:dyDescent="0.3">
      <c r="A1117" s="1" t="s">
        <v>201</v>
      </c>
      <c r="B1117" s="1" t="s">
        <v>2911</v>
      </c>
      <c r="C1117" s="1" t="s">
        <v>4923</v>
      </c>
      <c r="D1117" s="1">
        <v>2024</v>
      </c>
      <c r="E1117" s="1" t="str">
        <f t="shared" si="4"/>
        <v>SOLUTOSOLUTO LX 1.42024</v>
      </c>
      <c r="F1117" s="1" t="s">
        <v>495</v>
      </c>
      <c r="G1117" s="1">
        <v>9490000</v>
      </c>
      <c r="H1117" s="1">
        <v>7850000</v>
      </c>
    </row>
    <row r="1118" spans="1:8" ht="13.5" customHeight="1" x14ac:dyDescent="0.3">
      <c r="A1118" s="1" t="s">
        <v>201</v>
      </c>
      <c r="B1118" s="1" t="s">
        <v>2911</v>
      </c>
      <c r="C1118" s="1" t="s">
        <v>4925</v>
      </c>
      <c r="D1118" s="1">
        <v>2024</v>
      </c>
      <c r="E1118" s="1" t="str">
        <f t="shared" si="4"/>
        <v>SOLUTOSOLUTO MPI 1.42024</v>
      </c>
      <c r="F1118" s="1" t="s">
        <v>1038</v>
      </c>
      <c r="G1118" s="1">
        <v>10290000</v>
      </c>
      <c r="H1118" s="1">
        <v>8500000</v>
      </c>
    </row>
    <row r="1119" spans="1:8" ht="13.5" customHeight="1" x14ac:dyDescent="0.3">
      <c r="A1119" s="1" t="s">
        <v>201</v>
      </c>
      <c r="B1119" s="1" t="s">
        <v>2911</v>
      </c>
      <c r="C1119" s="1" t="s">
        <v>4925</v>
      </c>
      <c r="D1119" s="1">
        <v>2024</v>
      </c>
      <c r="E1119" s="1" t="str">
        <f t="shared" si="4"/>
        <v>SOLUTOSOLUTO MPI 1.42024</v>
      </c>
      <c r="F1119" s="1" t="s">
        <v>704</v>
      </c>
      <c r="G1119" s="1">
        <v>9490000</v>
      </c>
      <c r="H1119" s="1">
        <v>8000000</v>
      </c>
    </row>
    <row r="1120" spans="1:8" ht="13.5" customHeight="1" x14ac:dyDescent="0.3">
      <c r="A1120" s="1" t="s">
        <v>201</v>
      </c>
      <c r="B1120" s="1" t="s">
        <v>2911</v>
      </c>
      <c r="C1120" s="1" t="s">
        <v>4925</v>
      </c>
      <c r="D1120" s="1">
        <v>2024</v>
      </c>
      <c r="E1120" s="1" t="str">
        <f t="shared" si="4"/>
        <v>SOLUTOSOLUTO MPI 1.42024</v>
      </c>
      <c r="F1120" s="1" t="s">
        <v>809</v>
      </c>
      <c r="G1120" s="1">
        <v>9690000</v>
      </c>
      <c r="H1120" s="1">
        <v>8000000</v>
      </c>
    </row>
    <row r="1121" spans="1:8" ht="13.5" customHeight="1" x14ac:dyDescent="0.3">
      <c r="A1121" s="1" t="s">
        <v>201</v>
      </c>
      <c r="B1121" s="1" t="s">
        <v>2911</v>
      </c>
      <c r="C1121" s="1" t="s">
        <v>4925</v>
      </c>
      <c r="D1121" s="1">
        <v>2026</v>
      </c>
      <c r="E1121" s="1" t="str">
        <f t="shared" si="4"/>
        <v>SOLUTOSOLUTO MPI 1.42026</v>
      </c>
      <c r="F1121" s="1" t="s">
        <v>585</v>
      </c>
      <c r="G1121" s="1">
        <v>11413000</v>
      </c>
      <c r="H1121" s="1">
        <v>10000000</v>
      </c>
    </row>
    <row r="1122" spans="1:8" ht="13.5" customHeight="1" x14ac:dyDescent="0.3">
      <c r="A1122" s="1" t="s">
        <v>201</v>
      </c>
      <c r="B1122" s="1" t="s">
        <v>3076</v>
      </c>
      <c r="C1122" s="1" t="s">
        <v>4926</v>
      </c>
      <c r="D1122" s="1">
        <v>2021</v>
      </c>
      <c r="E1122" s="1" t="str">
        <f t="shared" si="4"/>
        <v>SONETSONET EX 1.52021</v>
      </c>
      <c r="F1122" s="1" t="s">
        <v>488</v>
      </c>
      <c r="G1122" s="1">
        <v>12190000</v>
      </c>
      <c r="H1122" s="1">
        <v>9750000</v>
      </c>
    </row>
    <row r="1123" spans="1:8" ht="13.5" customHeight="1" x14ac:dyDescent="0.3">
      <c r="A1123" s="1" t="s">
        <v>201</v>
      </c>
      <c r="B1123" s="1" t="s">
        <v>3076</v>
      </c>
      <c r="C1123" s="1" t="s">
        <v>4926</v>
      </c>
      <c r="D1123" s="1">
        <v>2021</v>
      </c>
      <c r="E1123" s="1" t="str">
        <f t="shared" si="4"/>
        <v>SONETSONET EX 1.52021</v>
      </c>
      <c r="F1123" s="1" t="s">
        <v>1613</v>
      </c>
      <c r="G1123" s="1">
        <v>11890000</v>
      </c>
      <c r="H1123" s="1">
        <v>10000000</v>
      </c>
    </row>
    <row r="1124" spans="1:8" ht="13.5" customHeight="1" x14ac:dyDescent="0.3">
      <c r="A1124" s="1" t="s">
        <v>201</v>
      </c>
      <c r="B1124" s="1" t="s">
        <v>3076</v>
      </c>
      <c r="C1124" s="1" t="s">
        <v>4926</v>
      </c>
      <c r="D1124" s="1">
        <v>2021</v>
      </c>
      <c r="E1124" s="1" t="str">
        <f t="shared" si="4"/>
        <v>SONETSONET EX 1.52021</v>
      </c>
      <c r="F1124" s="1" t="s">
        <v>2023</v>
      </c>
      <c r="G1124" s="1">
        <v>13290000</v>
      </c>
      <c r="H1124" s="1">
        <v>10300000</v>
      </c>
    </row>
    <row r="1125" spans="1:8" ht="13.5" customHeight="1" x14ac:dyDescent="0.3">
      <c r="A1125" s="1" t="s">
        <v>201</v>
      </c>
      <c r="B1125" s="1" t="s">
        <v>3076</v>
      </c>
      <c r="C1125" s="1" t="s">
        <v>4926</v>
      </c>
      <c r="D1125" s="1">
        <v>2021</v>
      </c>
      <c r="E1125" s="1" t="str">
        <f t="shared" si="4"/>
        <v>SONETSONET EX 1.52021</v>
      </c>
      <c r="F1125" s="1" t="s">
        <v>1027</v>
      </c>
      <c r="G1125" s="1">
        <v>11290000</v>
      </c>
      <c r="H1125" s="1">
        <v>9000000</v>
      </c>
    </row>
    <row r="1126" spans="1:8" ht="13.5" customHeight="1" x14ac:dyDescent="0.3">
      <c r="A1126" s="1" t="s">
        <v>201</v>
      </c>
      <c r="B1126" s="1" t="s">
        <v>3076</v>
      </c>
      <c r="C1126" s="1" t="s">
        <v>4926</v>
      </c>
      <c r="D1126" s="1">
        <v>2021</v>
      </c>
      <c r="E1126" s="1" t="str">
        <f t="shared" si="4"/>
        <v>SONETSONET EX 1.52021</v>
      </c>
      <c r="F1126" s="1" t="s">
        <v>666</v>
      </c>
      <c r="G1126" s="1">
        <v>11990000</v>
      </c>
      <c r="H1126" s="1">
        <v>10500000</v>
      </c>
    </row>
    <row r="1127" spans="1:8" ht="13.5" customHeight="1" x14ac:dyDescent="0.3">
      <c r="A1127" s="1" t="s">
        <v>201</v>
      </c>
      <c r="B1127" s="1" t="s">
        <v>3076</v>
      </c>
      <c r="C1127" s="1" t="s">
        <v>4926</v>
      </c>
      <c r="D1127" s="1">
        <v>2021</v>
      </c>
      <c r="E1127" s="1" t="str">
        <f t="shared" si="4"/>
        <v>SONETSONET EX 1.52021</v>
      </c>
      <c r="F1127" s="1" t="s">
        <v>1839</v>
      </c>
      <c r="G1127" s="1">
        <v>11990000</v>
      </c>
      <c r="H1127" s="1">
        <v>9000000</v>
      </c>
    </row>
    <row r="1128" spans="1:8" ht="13.5" customHeight="1" x14ac:dyDescent="0.3">
      <c r="A1128" s="1" t="s">
        <v>201</v>
      </c>
      <c r="B1128" s="1" t="s">
        <v>3076</v>
      </c>
      <c r="C1128" s="1" t="s">
        <v>4926</v>
      </c>
      <c r="D1128" s="1">
        <v>2021</v>
      </c>
      <c r="E1128" s="1" t="str">
        <f t="shared" si="4"/>
        <v>SONETSONET EX 1.52021</v>
      </c>
      <c r="F1128" s="1" t="s">
        <v>779</v>
      </c>
      <c r="G1128" s="1">
        <v>12690000</v>
      </c>
      <c r="H1128" s="1">
        <v>10350000</v>
      </c>
    </row>
    <row r="1129" spans="1:8" ht="13.5" customHeight="1" x14ac:dyDescent="0.3">
      <c r="A1129" s="1" t="s">
        <v>201</v>
      </c>
      <c r="B1129" s="1" t="s">
        <v>3076</v>
      </c>
      <c r="C1129" s="1" t="s">
        <v>4926</v>
      </c>
      <c r="D1129" s="1">
        <v>2022</v>
      </c>
      <c r="E1129" s="1" t="str">
        <f t="shared" si="4"/>
        <v>SONETSONET EX 1.52022</v>
      </c>
      <c r="F1129" s="1" t="s">
        <v>1389</v>
      </c>
      <c r="G1129" s="1">
        <v>12670000</v>
      </c>
      <c r="H1129" s="1">
        <v>11500000</v>
      </c>
    </row>
    <row r="1130" spans="1:8" ht="13.5" customHeight="1" x14ac:dyDescent="0.3">
      <c r="A1130" s="1" t="s">
        <v>201</v>
      </c>
      <c r="B1130" s="1" t="s">
        <v>3076</v>
      </c>
      <c r="C1130" s="1" t="s">
        <v>4926</v>
      </c>
      <c r="D1130" s="1">
        <v>2022</v>
      </c>
      <c r="E1130" s="1" t="str">
        <f t="shared" si="4"/>
        <v>SONETSONET EX 1.52022</v>
      </c>
      <c r="F1130" s="1" t="s">
        <v>1238</v>
      </c>
      <c r="G1130" s="1">
        <v>12490000</v>
      </c>
      <c r="H1130" s="1">
        <v>10000000</v>
      </c>
    </row>
    <row r="1131" spans="1:8" ht="13.5" customHeight="1" x14ac:dyDescent="0.3">
      <c r="A1131" s="1" t="s">
        <v>201</v>
      </c>
      <c r="B1131" s="1" t="s">
        <v>3076</v>
      </c>
      <c r="C1131" s="1" t="s">
        <v>4926</v>
      </c>
      <c r="D1131" s="1">
        <v>2022</v>
      </c>
      <c r="E1131" s="1" t="str">
        <f t="shared" si="4"/>
        <v>SONETSONET EX 1.52022</v>
      </c>
      <c r="F1131" s="1" t="s">
        <v>1078</v>
      </c>
      <c r="G1131" s="1">
        <v>12990000</v>
      </c>
      <c r="H1131" s="1">
        <v>11000000</v>
      </c>
    </row>
    <row r="1132" spans="1:8" ht="13.5" customHeight="1" x14ac:dyDescent="0.3">
      <c r="A1132" s="1" t="s">
        <v>201</v>
      </c>
      <c r="B1132" s="1" t="s">
        <v>3076</v>
      </c>
      <c r="C1132" s="1" t="s">
        <v>4926</v>
      </c>
      <c r="D1132" s="1">
        <v>2022</v>
      </c>
      <c r="E1132" s="1" t="str">
        <f t="shared" si="4"/>
        <v>SONETSONET EX 1.52022</v>
      </c>
      <c r="F1132" s="1" t="s">
        <v>538</v>
      </c>
      <c r="G1132" s="1">
        <v>12590000</v>
      </c>
      <c r="H1132" s="1">
        <v>10600000</v>
      </c>
    </row>
    <row r="1133" spans="1:8" ht="13.5" customHeight="1" x14ac:dyDescent="0.3">
      <c r="A1133" s="1" t="s">
        <v>201</v>
      </c>
      <c r="B1133" s="1" t="s">
        <v>3076</v>
      </c>
      <c r="C1133" s="1" t="s">
        <v>4926</v>
      </c>
      <c r="D1133" s="1">
        <v>2022</v>
      </c>
      <c r="E1133" s="1" t="str">
        <f t="shared" si="4"/>
        <v>SONETSONET EX 1.52022</v>
      </c>
      <c r="F1133" s="1" t="s">
        <v>876</v>
      </c>
      <c r="G1133" s="1">
        <v>12590000</v>
      </c>
      <c r="H1133" s="1">
        <v>10500000</v>
      </c>
    </row>
    <row r="1134" spans="1:8" ht="13.5" customHeight="1" x14ac:dyDescent="0.3">
      <c r="A1134" s="1" t="s">
        <v>201</v>
      </c>
      <c r="B1134" s="1" t="s">
        <v>3076</v>
      </c>
      <c r="C1134" s="1" t="s">
        <v>4926</v>
      </c>
      <c r="D1134" s="1">
        <v>2022</v>
      </c>
      <c r="E1134" s="1" t="str">
        <f t="shared" si="4"/>
        <v>SONETSONET EX 1.52022</v>
      </c>
      <c r="F1134" s="1" t="s">
        <v>878</v>
      </c>
      <c r="G1134" s="1">
        <v>13190000</v>
      </c>
      <c r="H1134" s="1">
        <v>11000000</v>
      </c>
    </row>
    <row r="1135" spans="1:8" ht="13.5" customHeight="1" x14ac:dyDescent="0.3">
      <c r="A1135" s="1" t="s">
        <v>201</v>
      </c>
      <c r="B1135" s="1" t="s">
        <v>3076</v>
      </c>
      <c r="C1135" s="1" t="s">
        <v>4926</v>
      </c>
      <c r="D1135" s="1">
        <v>2022</v>
      </c>
      <c r="E1135" s="1" t="str">
        <f t="shared" si="4"/>
        <v>SONETSONET EX 1.52022</v>
      </c>
      <c r="F1135" s="1" t="s">
        <v>1737</v>
      </c>
      <c r="G1135" s="1">
        <v>12990000</v>
      </c>
      <c r="H1135" s="1">
        <v>11000000</v>
      </c>
    </row>
    <row r="1136" spans="1:8" ht="13.5" customHeight="1" x14ac:dyDescent="0.3">
      <c r="A1136" s="1" t="s">
        <v>201</v>
      </c>
      <c r="B1136" s="1" t="s">
        <v>3076</v>
      </c>
      <c r="C1136" s="1" t="s">
        <v>4926</v>
      </c>
      <c r="D1136" s="1">
        <v>2022</v>
      </c>
      <c r="E1136" s="1" t="str">
        <f t="shared" si="4"/>
        <v>SONETSONET EX 1.52022</v>
      </c>
      <c r="F1136" s="1" t="s">
        <v>2252</v>
      </c>
      <c r="G1136" s="1">
        <v>13990000</v>
      </c>
      <c r="H1136" s="1">
        <v>12000000</v>
      </c>
    </row>
    <row r="1137" spans="1:8" ht="13.5" customHeight="1" x14ac:dyDescent="0.3">
      <c r="A1137" s="1" t="s">
        <v>201</v>
      </c>
      <c r="B1137" s="1" t="s">
        <v>3076</v>
      </c>
      <c r="C1137" s="1" t="s">
        <v>4926</v>
      </c>
      <c r="D1137" s="1">
        <v>2022</v>
      </c>
      <c r="E1137" s="1" t="str">
        <f t="shared" si="4"/>
        <v>SONETSONET EX 1.52022</v>
      </c>
      <c r="F1137" s="1" t="s">
        <v>1609</v>
      </c>
      <c r="G1137" s="1">
        <v>13390002</v>
      </c>
      <c r="H1137" s="1">
        <v>11500000</v>
      </c>
    </row>
    <row r="1138" spans="1:8" ht="13.5" customHeight="1" x14ac:dyDescent="0.3">
      <c r="A1138" s="1" t="s">
        <v>201</v>
      </c>
      <c r="B1138" s="1" t="s">
        <v>3076</v>
      </c>
      <c r="C1138" s="1" t="s">
        <v>4926</v>
      </c>
      <c r="D1138" s="1">
        <v>2022</v>
      </c>
      <c r="E1138" s="1" t="str">
        <f t="shared" si="4"/>
        <v>SONETSONET EX 1.52022</v>
      </c>
      <c r="F1138" s="1" t="s">
        <v>1119</v>
      </c>
      <c r="G1138" s="1">
        <v>12990000</v>
      </c>
      <c r="H1138" s="1">
        <v>9700000</v>
      </c>
    </row>
    <row r="1139" spans="1:8" ht="13.5" customHeight="1" x14ac:dyDescent="0.3">
      <c r="A1139" s="1" t="s">
        <v>201</v>
      </c>
      <c r="B1139" s="1" t="s">
        <v>3076</v>
      </c>
      <c r="C1139" s="1" t="s">
        <v>4926</v>
      </c>
      <c r="D1139" s="1">
        <v>2023</v>
      </c>
      <c r="E1139" s="1" t="str">
        <f t="shared" si="4"/>
        <v>SONETSONET EX 1.52023</v>
      </c>
      <c r="F1139" s="1" t="s">
        <v>1712</v>
      </c>
      <c r="G1139" s="1">
        <v>13990000</v>
      </c>
      <c r="H1139" s="1">
        <v>11500000</v>
      </c>
    </row>
    <row r="1140" spans="1:8" ht="13.5" customHeight="1" x14ac:dyDescent="0.3">
      <c r="A1140" s="1" t="s">
        <v>201</v>
      </c>
      <c r="B1140" s="1" t="s">
        <v>3076</v>
      </c>
      <c r="C1140" s="1" t="s">
        <v>4926</v>
      </c>
      <c r="D1140" s="1">
        <v>2023</v>
      </c>
      <c r="E1140" s="1" t="str">
        <f t="shared" si="4"/>
        <v>SONETSONET EX 1.52023</v>
      </c>
      <c r="F1140" s="1" t="s">
        <v>1905</v>
      </c>
      <c r="G1140" s="1">
        <v>15690000</v>
      </c>
      <c r="H1140" s="1">
        <v>13000000</v>
      </c>
    </row>
    <row r="1141" spans="1:8" ht="13.5" customHeight="1" x14ac:dyDescent="0.3">
      <c r="A1141" s="1" t="s">
        <v>201</v>
      </c>
      <c r="B1141" s="1" t="s">
        <v>3076</v>
      </c>
      <c r="C1141" s="1" t="s">
        <v>4926</v>
      </c>
      <c r="D1141" s="1">
        <v>2023</v>
      </c>
      <c r="E1141" s="1" t="str">
        <f t="shared" si="4"/>
        <v>SONETSONET EX 1.52023</v>
      </c>
      <c r="F1141" s="1" t="s">
        <v>784</v>
      </c>
      <c r="G1141" s="1">
        <v>13290000</v>
      </c>
      <c r="H1141" s="1">
        <v>11000000</v>
      </c>
    </row>
    <row r="1142" spans="1:8" ht="13.5" customHeight="1" x14ac:dyDescent="0.3">
      <c r="A1142" s="1" t="s">
        <v>201</v>
      </c>
      <c r="B1142" s="1" t="s">
        <v>3076</v>
      </c>
      <c r="C1142" s="1" t="s">
        <v>4926</v>
      </c>
      <c r="D1142" s="1">
        <v>2024</v>
      </c>
      <c r="E1142" s="1" t="str">
        <f t="shared" si="4"/>
        <v>SONETSONET EX 1.52024</v>
      </c>
      <c r="F1142" s="1" t="s">
        <v>1291</v>
      </c>
      <c r="G1142" s="1">
        <v>16490000</v>
      </c>
      <c r="H1142" s="1">
        <v>14000000</v>
      </c>
    </row>
    <row r="1143" spans="1:8" ht="13.5" customHeight="1" x14ac:dyDescent="0.3">
      <c r="A1143" s="1" t="s">
        <v>201</v>
      </c>
      <c r="B1143" s="1" t="s">
        <v>3076</v>
      </c>
      <c r="C1143" s="1" t="s">
        <v>4926</v>
      </c>
      <c r="D1143" s="1">
        <v>2024</v>
      </c>
      <c r="E1143" s="1" t="str">
        <f t="shared" si="4"/>
        <v>SONETSONET EX 1.52024</v>
      </c>
      <c r="F1143" s="1" t="s">
        <v>516</v>
      </c>
      <c r="G1143" s="1">
        <v>14045560</v>
      </c>
      <c r="H1143" s="1">
        <v>12100000</v>
      </c>
    </row>
    <row r="1144" spans="1:8" ht="13.5" customHeight="1" x14ac:dyDescent="0.3">
      <c r="A1144" s="1" t="s">
        <v>201</v>
      </c>
      <c r="B1144" s="1" t="s">
        <v>3076</v>
      </c>
      <c r="C1144" s="1" t="s">
        <v>4926</v>
      </c>
      <c r="D1144" s="1">
        <v>2024</v>
      </c>
      <c r="E1144" s="1" t="str">
        <f t="shared" si="4"/>
        <v>SONETSONET EX 1.52024</v>
      </c>
      <c r="F1144" s="1" t="s">
        <v>714</v>
      </c>
      <c r="G1144" s="1">
        <v>13190000</v>
      </c>
      <c r="H1144" s="1">
        <v>11200000</v>
      </c>
    </row>
    <row r="1145" spans="1:8" ht="13.5" customHeight="1" x14ac:dyDescent="0.3">
      <c r="A1145" s="1" t="s">
        <v>201</v>
      </c>
      <c r="B1145" s="1" t="s">
        <v>3076</v>
      </c>
      <c r="C1145" s="1" t="s">
        <v>4927</v>
      </c>
      <c r="D1145" s="1">
        <v>2025</v>
      </c>
      <c r="E1145" s="1" t="str">
        <f t="shared" si="4"/>
        <v>SONETSONET EX 4X2 MT 1.52025</v>
      </c>
      <c r="F1145" s="1" t="s">
        <v>712</v>
      </c>
      <c r="G1145" s="1">
        <v>13704120</v>
      </c>
      <c r="H1145" s="1">
        <v>12000000</v>
      </c>
    </row>
    <row r="1146" spans="1:8" ht="13.5" customHeight="1" x14ac:dyDescent="0.3">
      <c r="A1146" s="1" t="s">
        <v>201</v>
      </c>
      <c r="B1146" s="1" t="s">
        <v>3076</v>
      </c>
      <c r="C1146" s="1" t="s">
        <v>4928</v>
      </c>
      <c r="D1146" s="1">
        <v>2021</v>
      </c>
      <c r="E1146" s="1" t="str">
        <f t="shared" si="4"/>
        <v>SONETSONET EX IVT 1.5 AUT2021</v>
      </c>
      <c r="F1146" s="1" t="s">
        <v>1599</v>
      </c>
      <c r="G1146" s="1">
        <v>12990000</v>
      </c>
      <c r="H1146" s="1">
        <v>11000000</v>
      </c>
    </row>
    <row r="1147" spans="1:8" ht="13.5" customHeight="1" x14ac:dyDescent="0.3">
      <c r="A1147" s="1" t="s">
        <v>201</v>
      </c>
      <c r="B1147" s="1" t="s">
        <v>3076</v>
      </c>
      <c r="C1147" s="1" t="s">
        <v>4928</v>
      </c>
      <c r="D1147" s="1">
        <v>2021</v>
      </c>
      <c r="E1147" s="1" t="str">
        <f t="shared" si="4"/>
        <v>SONETSONET EX IVT 1.5 AUT2021</v>
      </c>
      <c r="F1147" s="1" t="s">
        <v>1529</v>
      </c>
      <c r="G1147" s="1">
        <v>13910000</v>
      </c>
      <c r="H1147" s="1">
        <v>12000000</v>
      </c>
    </row>
    <row r="1148" spans="1:8" ht="13.5" customHeight="1" x14ac:dyDescent="0.3">
      <c r="A1148" s="1" t="s">
        <v>201</v>
      </c>
      <c r="B1148" s="1" t="s">
        <v>3076</v>
      </c>
      <c r="C1148" s="1" t="s">
        <v>4928</v>
      </c>
      <c r="D1148" s="1">
        <v>2024</v>
      </c>
      <c r="E1148" s="1" t="str">
        <f t="shared" si="4"/>
        <v>SONETSONET EX IVT 1.5 AUT2024</v>
      </c>
      <c r="F1148" s="1" t="s">
        <v>758</v>
      </c>
      <c r="G1148" s="1">
        <v>14492120</v>
      </c>
      <c r="H1148" s="1">
        <v>12500000</v>
      </c>
    </row>
    <row r="1149" spans="1:8" ht="13.5" customHeight="1" x14ac:dyDescent="0.3">
      <c r="A1149" s="1" t="s">
        <v>201</v>
      </c>
      <c r="B1149" s="1" t="s">
        <v>3076</v>
      </c>
      <c r="C1149" s="1" t="s">
        <v>4928</v>
      </c>
      <c r="D1149" s="1">
        <v>2024</v>
      </c>
      <c r="E1149" s="1" t="str">
        <f t="shared" si="4"/>
        <v>SONETSONET EX IVT 1.5 AUT2024</v>
      </c>
      <c r="F1149" s="1" t="s">
        <v>1807</v>
      </c>
      <c r="G1149" s="1">
        <v>15890000</v>
      </c>
      <c r="H1149" s="1">
        <v>14000000</v>
      </c>
    </row>
    <row r="1150" spans="1:8" ht="13.5" customHeight="1" x14ac:dyDescent="0.3">
      <c r="A1150" s="1" t="s">
        <v>201</v>
      </c>
      <c r="B1150" s="1" t="s">
        <v>3076</v>
      </c>
      <c r="C1150" s="1" t="s">
        <v>4928</v>
      </c>
      <c r="D1150" s="1">
        <v>2024</v>
      </c>
      <c r="E1150" s="1" t="str">
        <f t="shared" si="4"/>
        <v>SONETSONET EX IVT 1.5 AUT2024</v>
      </c>
      <c r="F1150" s="1" t="s">
        <v>1103</v>
      </c>
      <c r="G1150" s="1">
        <v>16490000</v>
      </c>
      <c r="H1150" s="1">
        <v>15500000</v>
      </c>
    </row>
    <row r="1151" spans="1:8" ht="13.5" customHeight="1" x14ac:dyDescent="0.3">
      <c r="A1151" s="1" t="s">
        <v>201</v>
      </c>
      <c r="B1151" s="1" t="s">
        <v>215</v>
      </c>
      <c r="C1151" s="1" t="s">
        <v>4929</v>
      </c>
      <c r="D1151" s="1">
        <v>2019</v>
      </c>
      <c r="E1151" s="1" t="str">
        <f t="shared" si="4"/>
        <v>SORENTOSORENTO 2.2 AUT2019</v>
      </c>
      <c r="F1151" s="1" t="s">
        <v>2172</v>
      </c>
      <c r="G1151" s="1">
        <v>23490000</v>
      </c>
      <c r="H1151" s="1">
        <v>19000000</v>
      </c>
    </row>
    <row r="1152" spans="1:8" ht="13.5" customHeight="1" x14ac:dyDescent="0.3">
      <c r="A1152" s="1" t="s">
        <v>201</v>
      </c>
      <c r="B1152" s="1" t="s">
        <v>215</v>
      </c>
      <c r="C1152" s="1" t="s">
        <v>4930</v>
      </c>
      <c r="D1152" s="1">
        <v>2022</v>
      </c>
      <c r="E1152" s="1" t="str">
        <f t="shared" si="4"/>
        <v>SORENTOSORENTO 2WD 2.5 AUT2022</v>
      </c>
      <c r="F1152" s="1" t="s">
        <v>1233</v>
      </c>
      <c r="G1152" s="1">
        <v>25190000</v>
      </c>
      <c r="H1152" s="1">
        <v>22000000</v>
      </c>
    </row>
    <row r="1153" spans="1:8" ht="13.5" customHeight="1" x14ac:dyDescent="0.3">
      <c r="A1153" s="1" t="s">
        <v>201</v>
      </c>
      <c r="B1153" s="1" t="s">
        <v>215</v>
      </c>
      <c r="C1153" s="1" t="s">
        <v>4930</v>
      </c>
      <c r="D1153" s="1">
        <v>2024</v>
      </c>
      <c r="E1153" s="1" t="str">
        <f t="shared" si="4"/>
        <v>SORENTOSORENTO 2WD 2.5 AUT2024</v>
      </c>
      <c r="F1153" s="1" t="s">
        <v>842</v>
      </c>
      <c r="G1153" s="1">
        <v>29800000</v>
      </c>
      <c r="H1153" s="1">
        <v>26000000</v>
      </c>
    </row>
    <row r="1154" spans="1:8" ht="13.5" customHeight="1" x14ac:dyDescent="0.3">
      <c r="A1154" s="1" t="s">
        <v>201</v>
      </c>
      <c r="B1154" s="1" t="s">
        <v>215</v>
      </c>
      <c r="C1154" s="1" t="s">
        <v>4931</v>
      </c>
      <c r="D1154" s="1">
        <v>2018</v>
      </c>
      <c r="E1154" s="1" t="str">
        <f t="shared" si="4"/>
        <v>SORENTOSORENTO DOHC 2.42018</v>
      </c>
      <c r="F1154" s="1" t="s">
        <v>709</v>
      </c>
      <c r="G1154" s="1">
        <v>11658000</v>
      </c>
      <c r="H1154" s="1">
        <v>9500000</v>
      </c>
    </row>
    <row r="1155" spans="1:8" ht="13.5" customHeight="1" x14ac:dyDescent="0.3">
      <c r="A1155" s="1" t="s">
        <v>201</v>
      </c>
      <c r="B1155" s="1" t="s">
        <v>215</v>
      </c>
      <c r="C1155" s="1" t="s">
        <v>4932</v>
      </c>
      <c r="D1155" s="1">
        <v>2021</v>
      </c>
      <c r="E1155" s="1" t="str">
        <f t="shared" si="4"/>
        <v>SORENTOSORENTO DOHC 2.4 AT2021</v>
      </c>
      <c r="F1155" s="1" t="s">
        <v>665</v>
      </c>
      <c r="G1155" s="1">
        <v>17890000</v>
      </c>
      <c r="H1155" s="1">
        <v>15000000</v>
      </c>
    </row>
    <row r="1156" spans="1:8" ht="13.5" customHeight="1" x14ac:dyDescent="0.3">
      <c r="A1156" s="1" t="s">
        <v>201</v>
      </c>
      <c r="B1156" s="1" t="s">
        <v>215</v>
      </c>
      <c r="C1156" s="1" t="s">
        <v>4933</v>
      </c>
      <c r="D1156" s="1">
        <v>2020</v>
      </c>
      <c r="E1156" s="1" t="str">
        <f t="shared" si="4"/>
        <v>SORENTOSORENTO EX 2.22020</v>
      </c>
      <c r="F1156" s="1" t="s">
        <v>550</v>
      </c>
      <c r="G1156" s="1">
        <v>15990000</v>
      </c>
      <c r="H1156" s="1">
        <v>14000000</v>
      </c>
    </row>
    <row r="1157" spans="1:8" ht="13.5" customHeight="1" x14ac:dyDescent="0.3">
      <c r="A1157" s="1" t="s">
        <v>201</v>
      </c>
      <c r="B1157" s="1" t="s">
        <v>215</v>
      </c>
      <c r="C1157" s="1" t="s">
        <v>4934</v>
      </c>
      <c r="D1157" s="1">
        <v>2018</v>
      </c>
      <c r="E1157" s="1" t="str">
        <f t="shared" si="4"/>
        <v>SORENTOSORENTO EX 2.2 AUT2018</v>
      </c>
      <c r="F1157" s="1" t="s">
        <v>1954</v>
      </c>
      <c r="G1157" s="1">
        <v>14190000</v>
      </c>
      <c r="H1157" s="1">
        <v>12300000</v>
      </c>
    </row>
    <row r="1158" spans="1:8" ht="13.5" customHeight="1" x14ac:dyDescent="0.3">
      <c r="A1158" s="1" t="s">
        <v>201</v>
      </c>
      <c r="B1158" s="1" t="s">
        <v>215</v>
      </c>
      <c r="C1158" s="1" t="s">
        <v>4934</v>
      </c>
      <c r="D1158" s="1">
        <v>2019</v>
      </c>
      <c r="E1158" s="1" t="str">
        <f t="shared" si="4"/>
        <v>SORENTOSORENTO EX 2.2 AUT2019</v>
      </c>
      <c r="F1158" s="1" t="s">
        <v>1537</v>
      </c>
      <c r="G1158" s="1">
        <v>17690000</v>
      </c>
      <c r="H1158" s="1">
        <v>14350000</v>
      </c>
    </row>
    <row r="1159" spans="1:8" ht="13.5" customHeight="1" x14ac:dyDescent="0.3">
      <c r="A1159" s="1" t="s">
        <v>201</v>
      </c>
      <c r="B1159" s="1" t="s">
        <v>215</v>
      </c>
      <c r="C1159" s="1" t="s">
        <v>4935</v>
      </c>
      <c r="D1159" s="1">
        <v>2020</v>
      </c>
      <c r="E1159" s="1" t="str">
        <f t="shared" si="4"/>
        <v>SORENTOSORENTO EX 2.42020</v>
      </c>
      <c r="F1159" s="1" t="s">
        <v>1630</v>
      </c>
      <c r="G1159" s="1">
        <v>16590000</v>
      </c>
      <c r="H1159" s="1">
        <v>14300000</v>
      </c>
    </row>
    <row r="1160" spans="1:8" ht="13.5" customHeight="1" x14ac:dyDescent="0.3">
      <c r="A1160" s="1" t="s">
        <v>201</v>
      </c>
      <c r="B1160" s="1" t="s">
        <v>215</v>
      </c>
      <c r="C1160" s="1" t="s">
        <v>4935</v>
      </c>
      <c r="D1160" s="1">
        <v>2020</v>
      </c>
      <c r="E1160" s="1" t="str">
        <f t="shared" si="4"/>
        <v>SORENTOSORENTO EX 2.42020</v>
      </c>
      <c r="F1160" s="1" t="s">
        <v>1087</v>
      </c>
      <c r="G1160" s="1">
        <v>14990000</v>
      </c>
      <c r="H1160" s="1">
        <v>12600000</v>
      </c>
    </row>
    <row r="1161" spans="1:8" ht="13.5" customHeight="1" x14ac:dyDescent="0.3">
      <c r="A1161" s="1" t="s">
        <v>201</v>
      </c>
      <c r="B1161" s="1" t="s">
        <v>215</v>
      </c>
      <c r="C1161" s="1" t="s">
        <v>4936</v>
      </c>
      <c r="D1161" s="1">
        <v>2017</v>
      </c>
      <c r="E1161" s="1" t="str">
        <f t="shared" si="4"/>
        <v>SORENTOSORENTO EX 2.4 AT2017</v>
      </c>
      <c r="F1161" s="1" t="s">
        <v>1359</v>
      </c>
      <c r="G1161" s="1">
        <v>13713970</v>
      </c>
      <c r="H1161" s="1">
        <v>10500000</v>
      </c>
    </row>
    <row r="1162" spans="1:8" ht="13.5" customHeight="1" x14ac:dyDescent="0.3">
      <c r="A1162" s="1" t="s">
        <v>201</v>
      </c>
      <c r="B1162" s="1" t="s">
        <v>215</v>
      </c>
      <c r="C1162" s="1" t="s">
        <v>4937</v>
      </c>
      <c r="D1162" s="1">
        <v>2019</v>
      </c>
      <c r="E1162" s="1" t="str">
        <f t="shared" si="4"/>
        <v>SORENTOSORENTO EX 2.4 AUT2019</v>
      </c>
      <c r="F1162" s="1" t="s">
        <v>788</v>
      </c>
      <c r="G1162" s="1">
        <v>16490000</v>
      </c>
      <c r="H1162" s="1">
        <v>14000000</v>
      </c>
    </row>
    <row r="1163" spans="1:8" ht="13.5" customHeight="1" x14ac:dyDescent="0.3">
      <c r="A1163" s="1" t="s">
        <v>201</v>
      </c>
      <c r="B1163" s="1" t="s">
        <v>215</v>
      </c>
      <c r="C1163" s="1" t="s">
        <v>4937</v>
      </c>
      <c r="D1163" s="1">
        <v>2019</v>
      </c>
      <c r="E1163" s="1" t="str">
        <f t="shared" si="4"/>
        <v>SORENTOSORENTO EX 2.4 AUT2019</v>
      </c>
      <c r="F1163" s="1" t="s">
        <v>1643</v>
      </c>
      <c r="G1163" s="1">
        <v>34990000</v>
      </c>
      <c r="H1163" s="1">
        <v>29800000</v>
      </c>
    </row>
    <row r="1164" spans="1:8" ht="13.5" customHeight="1" x14ac:dyDescent="0.3">
      <c r="A1164" s="1" t="s">
        <v>201</v>
      </c>
      <c r="B1164" s="1" t="s">
        <v>215</v>
      </c>
      <c r="C1164" s="1" t="s">
        <v>4938</v>
      </c>
      <c r="D1164" s="1">
        <v>2021</v>
      </c>
      <c r="E1164" s="1" t="str">
        <f t="shared" si="4"/>
        <v>SORENTOSORENTO EX 2WD 2.22021</v>
      </c>
      <c r="F1164" s="1" t="s">
        <v>2097</v>
      </c>
      <c r="G1164" s="1">
        <v>21190000</v>
      </c>
      <c r="H1164" s="1">
        <v>17352942</v>
      </c>
    </row>
    <row r="1165" spans="1:8" ht="13.5" customHeight="1" x14ac:dyDescent="0.3">
      <c r="A1165" s="1" t="s">
        <v>201</v>
      </c>
      <c r="B1165" s="1" t="s">
        <v>215</v>
      </c>
      <c r="C1165" s="1" t="s">
        <v>4939</v>
      </c>
      <c r="D1165" s="1">
        <v>2017</v>
      </c>
      <c r="E1165" s="1" t="str">
        <f t="shared" si="4"/>
        <v>SORENTOSORENTO EX 4X4 2.2 AUT2017</v>
      </c>
      <c r="F1165" s="1" t="s">
        <v>2387</v>
      </c>
      <c r="G1165" s="1">
        <v>18990000</v>
      </c>
      <c r="H1165" s="1">
        <v>16500000</v>
      </c>
    </row>
    <row r="1166" spans="1:8" ht="13.5" customHeight="1" x14ac:dyDescent="0.3">
      <c r="A1166" s="1" t="s">
        <v>201</v>
      </c>
      <c r="B1166" s="1" t="s">
        <v>215</v>
      </c>
      <c r="C1166" s="1" t="s">
        <v>4939</v>
      </c>
      <c r="D1166" s="1">
        <v>2018</v>
      </c>
      <c r="E1166" s="1" t="str">
        <f t="shared" si="4"/>
        <v>SORENTOSORENTO EX 4X4 2.2 AUT2018</v>
      </c>
      <c r="F1166" s="1" t="s">
        <v>2374</v>
      </c>
      <c r="G1166" s="1">
        <v>19690000</v>
      </c>
      <c r="H1166" s="1">
        <v>17700000</v>
      </c>
    </row>
    <row r="1167" spans="1:8" ht="13.5" customHeight="1" x14ac:dyDescent="0.3">
      <c r="A1167" s="1" t="s">
        <v>201</v>
      </c>
      <c r="B1167" s="1" t="s">
        <v>4940</v>
      </c>
      <c r="C1167" s="1" t="s">
        <v>4941</v>
      </c>
      <c r="D1167" s="1">
        <v>2018</v>
      </c>
      <c r="E1167" s="1" t="str">
        <f t="shared" si="4"/>
        <v>SOULSOUL EX 1.62018</v>
      </c>
      <c r="F1167" s="1" t="s">
        <v>1556</v>
      </c>
      <c r="G1167" s="1">
        <v>9590000</v>
      </c>
      <c r="H1167" s="1">
        <v>8000000</v>
      </c>
    </row>
    <row r="1168" spans="1:8" ht="13.5" customHeight="1" x14ac:dyDescent="0.3">
      <c r="A1168" s="1" t="s">
        <v>201</v>
      </c>
      <c r="B1168" s="1" t="s">
        <v>4940</v>
      </c>
      <c r="C1168" s="1" t="s">
        <v>4942</v>
      </c>
      <c r="D1168" s="1">
        <v>2017</v>
      </c>
      <c r="E1168" s="1" t="str">
        <f t="shared" si="4"/>
        <v>SOULSOUL EX 1.6 AUT2017</v>
      </c>
      <c r="F1168" s="1" t="s">
        <v>2332</v>
      </c>
      <c r="G1168" s="1">
        <v>7990000</v>
      </c>
      <c r="H1168" s="1">
        <v>6800000</v>
      </c>
    </row>
    <row r="1169" spans="1:8" ht="13.5" customHeight="1" x14ac:dyDescent="0.3">
      <c r="A1169" s="1" t="s">
        <v>201</v>
      </c>
      <c r="B1169" s="1" t="s">
        <v>4940</v>
      </c>
      <c r="C1169" s="1" t="s">
        <v>4942</v>
      </c>
      <c r="D1169" s="1">
        <v>2017</v>
      </c>
      <c r="E1169" s="1" t="str">
        <f t="shared" si="4"/>
        <v>SOULSOUL EX 1.6 AUT2017</v>
      </c>
      <c r="F1169" s="1" t="s">
        <v>852</v>
      </c>
      <c r="G1169" s="1">
        <v>9690000</v>
      </c>
      <c r="H1169" s="1">
        <v>7500000</v>
      </c>
    </row>
    <row r="1170" spans="1:8" ht="13.5" customHeight="1" x14ac:dyDescent="0.3">
      <c r="A1170" s="1" t="s">
        <v>201</v>
      </c>
      <c r="B1170" s="1" t="s">
        <v>218</v>
      </c>
      <c r="C1170" s="1" t="s">
        <v>4943</v>
      </c>
      <c r="D1170" s="1">
        <v>2019</v>
      </c>
      <c r="E1170" s="1" t="str">
        <f t="shared" si="4"/>
        <v>SPORTAGESPORTAGE 2.02019</v>
      </c>
      <c r="F1170" s="1" t="s">
        <v>547</v>
      </c>
      <c r="G1170" s="1">
        <v>10990000</v>
      </c>
      <c r="H1170" s="1">
        <v>9250000</v>
      </c>
    </row>
    <row r="1171" spans="1:8" ht="13.5" customHeight="1" x14ac:dyDescent="0.3">
      <c r="A1171" s="1" t="s">
        <v>201</v>
      </c>
      <c r="B1171" s="1" t="s">
        <v>218</v>
      </c>
      <c r="C1171" s="1" t="s">
        <v>4943</v>
      </c>
      <c r="D1171" s="1">
        <v>2019</v>
      </c>
      <c r="E1171" s="1" t="str">
        <f t="shared" si="4"/>
        <v>SPORTAGESPORTAGE 2.02019</v>
      </c>
      <c r="F1171" s="1" t="s">
        <v>2747</v>
      </c>
      <c r="G1171" s="1">
        <v>13840000</v>
      </c>
      <c r="H1171" s="1">
        <v>15700000</v>
      </c>
    </row>
    <row r="1172" spans="1:8" ht="13.5" customHeight="1" x14ac:dyDescent="0.3">
      <c r="A1172" s="1" t="s">
        <v>201</v>
      </c>
      <c r="B1172" s="1" t="s">
        <v>218</v>
      </c>
      <c r="C1172" s="1" t="s">
        <v>4944</v>
      </c>
      <c r="D1172" s="1">
        <v>2019</v>
      </c>
      <c r="E1172" s="1" t="str">
        <f t="shared" si="4"/>
        <v>SPORTAGESPORTAGE 2.0 AUT2019</v>
      </c>
      <c r="F1172" s="1" t="s">
        <v>2184</v>
      </c>
      <c r="G1172" s="1">
        <v>16790000</v>
      </c>
      <c r="H1172" s="1">
        <v>15000000</v>
      </c>
    </row>
    <row r="1173" spans="1:8" ht="13.5" customHeight="1" x14ac:dyDescent="0.3">
      <c r="A1173" s="1" t="s">
        <v>201</v>
      </c>
      <c r="B1173" s="1" t="s">
        <v>218</v>
      </c>
      <c r="C1173" s="1" t="s">
        <v>4944</v>
      </c>
      <c r="D1173" s="1">
        <v>2019</v>
      </c>
      <c r="E1173" s="1" t="str">
        <f t="shared" si="4"/>
        <v>SPORTAGESPORTAGE 2.0 AUT2019</v>
      </c>
      <c r="F1173" s="1" t="s">
        <v>2743</v>
      </c>
      <c r="G1173" s="1">
        <v>16990000</v>
      </c>
      <c r="H1173" s="1">
        <v>17500000</v>
      </c>
    </row>
    <row r="1174" spans="1:8" ht="13.5" customHeight="1" x14ac:dyDescent="0.3">
      <c r="A1174" s="1" t="s">
        <v>201</v>
      </c>
      <c r="B1174" s="1" t="s">
        <v>218</v>
      </c>
      <c r="C1174" s="1" t="s">
        <v>4945</v>
      </c>
      <c r="D1174" s="1">
        <v>2023</v>
      </c>
      <c r="E1174" s="1" t="str">
        <f t="shared" si="4"/>
        <v>SPORTAGESPORTAGE EX 2.02023</v>
      </c>
      <c r="F1174" s="1" t="s">
        <v>532</v>
      </c>
      <c r="G1174" s="1">
        <v>19290000</v>
      </c>
      <c r="H1174" s="1">
        <v>15700000</v>
      </c>
    </row>
    <row r="1175" spans="1:8" ht="13.5" customHeight="1" x14ac:dyDescent="0.3">
      <c r="A1175" s="1" t="s">
        <v>201</v>
      </c>
      <c r="B1175" s="1" t="s">
        <v>218</v>
      </c>
      <c r="C1175" s="1" t="s">
        <v>219</v>
      </c>
      <c r="D1175" s="1">
        <v>2022</v>
      </c>
      <c r="E1175" s="1" t="str">
        <f t="shared" si="4"/>
        <v>SPORTAGESPORTAGE EX 2.0 AUT2022</v>
      </c>
      <c r="F1175" s="1" t="s">
        <v>1439</v>
      </c>
      <c r="G1175" s="1">
        <v>47589120</v>
      </c>
      <c r="H1175" s="1">
        <v>40500000</v>
      </c>
    </row>
    <row r="1176" spans="1:8" ht="13.5" customHeight="1" x14ac:dyDescent="0.3">
      <c r="A1176" s="1" t="s">
        <v>201</v>
      </c>
      <c r="B1176" s="1" t="s">
        <v>218</v>
      </c>
      <c r="C1176" s="1" t="s">
        <v>219</v>
      </c>
      <c r="D1176" s="1">
        <v>2022</v>
      </c>
      <c r="E1176" s="1" t="str">
        <f t="shared" si="4"/>
        <v>SPORTAGESPORTAGE EX 2.0 AUT2022</v>
      </c>
      <c r="F1176" s="1" t="s">
        <v>757</v>
      </c>
      <c r="G1176" s="1">
        <v>20990000</v>
      </c>
      <c r="H1176" s="1">
        <v>18000000</v>
      </c>
    </row>
    <row r="1177" spans="1:8" ht="13.5" customHeight="1" x14ac:dyDescent="0.3">
      <c r="A1177" s="1" t="s">
        <v>201</v>
      </c>
      <c r="B1177" s="1" t="s">
        <v>218</v>
      </c>
      <c r="C1177" s="1" t="s">
        <v>219</v>
      </c>
      <c r="D1177" s="1">
        <v>2022</v>
      </c>
      <c r="E1177" s="1" t="str">
        <f t="shared" si="4"/>
        <v>SPORTAGESPORTAGE EX 2.0 AUT2022</v>
      </c>
      <c r="F1177" s="1" t="s">
        <v>2033</v>
      </c>
      <c r="G1177" s="1">
        <v>22490000</v>
      </c>
      <c r="H1177" s="1">
        <v>18500000</v>
      </c>
    </row>
    <row r="1178" spans="1:8" ht="13.5" customHeight="1" x14ac:dyDescent="0.3">
      <c r="A1178" s="1" t="s">
        <v>201</v>
      </c>
      <c r="B1178" s="1" t="s">
        <v>218</v>
      </c>
      <c r="C1178" s="1" t="s">
        <v>219</v>
      </c>
      <c r="D1178" s="1">
        <v>2023</v>
      </c>
      <c r="E1178" s="1" t="str">
        <f t="shared" si="4"/>
        <v>SPORTAGESPORTAGE EX 2.0 AUT2023</v>
      </c>
      <c r="F1178" s="1" t="s">
        <v>1349</v>
      </c>
      <c r="G1178" s="1">
        <v>21288620</v>
      </c>
      <c r="H1178" s="1">
        <v>18500000</v>
      </c>
    </row>
    <row r="1179" spans="1:8" ht="13.5" customHeight="1" x14ac:dyDescent="0.3">
      <c r="A1179" s="1" t="s">
        <v>201</v>
      </c>
      <c r="B1179" s="1" t="s">
        <v>218</v>
      </c>
      <c r="C1179" s="1" t="s">
        <v>219</v>
      </c>
      <c r="D1179" s="1">
        <v>2024</v>
      </c>
      <c r="E1179" s="1" t="str">
        <f t="shared" si="4"/>
        <v>SPORTAGESPORTAGE EX 2.0 AUT2024</v>
      </c>
      <c r="F1179" s="1" t="s">
        <v>745</v>
      </c>
      <c r="G1179" s="1">
        <v>21590000</v>
      </c>
      <c r="H1179" s="1">
        <v>18500000</v>
      </c>
    </row>
    <row r="1180" spans="1:8" ht="13.5" customHeight="1" x14ac:dyDescent="0.3">
      <c r="A1180" s="1" t="s">
        <v>201</v>
      </c>
      <c r="B1180" s="1" t="s">
        <v>218</v>
      </c>
      <c r="C1180" s="1" t="s">
        <v>219</v>
      </c>
      <c r="D1180" s="1">
        <v>2025</v>
      </c>
      <c r="E1180" s="1" t="str">
        <f t="shared" si="4"/>
        <v>SPORTAGESPORTAGE EX 2.0 AUT2025</v>
      </c>
      <c r="F1180" s="1" t="s">
        <v>947</v>
      </c>
      <c r="G1180" s="1">
        <v>24243620</v>
      </c>
      <c r="H1180" s="1">
        <v>22000000</v>
      </c>
    </row>
    <row r="1181" spans="1:8" ht="13.5" customHeight="1" x14ac:dyDescent="0.3">
      <c r="A1181" s="1" t="s">
        <v>201</v>
      </c>
      <c r="B1181" s="1" t="s">
        <v>218</v>
      </c>
      <c r="C1181" s="1" t="s">
        <v>221</v>
      </c>
      <c r="D1181" s="1">
        <v>2023</v>
      </c>
      <c r="E1181" s="1" t="str">
        <f t="shared" si="4"/>
        <v>SPORTAGESPORTAGE EX 2.0L2023</v>
      </c>
      <c r="F1181" s="1" t="s">
        <v>661</v>
      </c>
      <c r="G1181" s="1">
        <v>18890000</v>
      </c>
      <c r="H1181" s="1">
        <v>16000000</v>
      </c>
    </row>
    <row r="1182" spans="1:8" ht="13.5" customHeight="1" x14ac:dyDescent="0.3">
      <c r="A1182" s="1" t="s">
        <v>201</v>
      </c>
      <c r="B1182" s="1" t="s">
        <v>218</v>
      </c>
      <c r="C1182" s="1" t="s">
        <v>221</v>
      </c>
      <c r="D1182" s="1">
        <v>2023</v>
      </c>
      <c r="E1182" s="1" t="str">
        <f t="shared" si="4"/>
        <v>SPORTAGESPORTAGE EX 2.0L2023</v>
      </c>
      <c r="F1182" s="1" t="s">
        <v>625</v>
      </c>
      <c r="G1182" s="1">
        <v>20600000</v>
      </c>
      <c r="H1182" s="1">
        <v>17650000</v>
      </c>
    </row>
    <row r="1183" spans="1:8" ht="13.5" customHeight="1" x14ac:dyDescent="0.3">
      <c r="A1183" s="1" t="s">
        <v>201</v>
      </c>
      <c r="B1183" s="1" t="s">
        <v>218</v>
      </c>
      <c r="C1183" s="1" t="s">
        <v>4946</v>
      </c>
      <c r="D1183" s="1">
        <v>2022</v>
      </c>
      <c r="E1183" s="1" t="str">
        <f t="shared" si="4"/>
        <v>SPORTAGESPORTAGE EX DSL 2.0 AUT2022</v>
      </c>
      <c r="F1183" s="1" t="s">
        <v>1403</v>
      </c>
      <c r="G1183" s="1">
        <v>18990000</v>
      </c>
      <c r="H1183" s="1">
        <v>17850000</v>
      </c>
    </row>
    <row r="1184" spans="1:8" ht="13.5" customHeight="1" x14ac:dyDescent="0.3">
      <c r="A1184" s="1" t="s">
        <v>201</v>
      </c>
      <c r="B1184" s="1" t="s">
        <v>218</v>
      </c>
      <c r="C1184" s="1" t="s">
        <v>4946</v>
      </c>
      <c r="D1184" s="1">
        <v>2022</v>
      </c>
      <c r="E1184" s="1" t="str">
        <f t="shared" si="4"/>
        <v>SPORTAGESPORTAGE EX DSL 2.0 AUT2022</v>
      </c>
      <c r="F1184" s="1" t="s">
        <v>1747</v>
      </c>
      <c r="G1184" s="1">
        <v>23190000</v>
      </c>
      <c r="H1184" s="1">
        <v>20000000</v>
      </c>
    </row>
    <row r="1185" spans="1:8" ht="13.5" customHeight="1" x14ac:dyDescent="0.3">
      <c r="A1185" s="1" t="s">
        <v>201</v>
      </c>
      <c r="B1185" s="1" t="s">
        <v>218</v>
      </c>
      <c r="C1185" s="1" t="s">
        <v>4946</v>
      </c>
      <c r="D1185" s="1">
        <v>2023</v>
      </c>
      <c r="E1185" s="1" t="str">
        <f t="shared" si="4"/>
        <v>SPORTAGESPORTAGE EX DSL 2.0 AUT2023</v>
      </c>
      <c r="F1185" s="1" t="s">
        <v>683</v>
      </c>
      <c r="G1185" s="1">
        <v>20990000</v>
      </c>
      <c r="H1185" s="1">
        <v>18000000</v>
      </c>
    </row>
    <row r="1186" spans="1:8" ht="13.5" customHeight="1" x14ac:dyDescent="0.3">
      <c r="A1186" s="1" t="s">
        <v>201</v>
      </c>
      <c r="B1186" s="1" t="s">
        <v>218</v>
      </c>
      <c r="C1186" s="1" t="s">
        <v>4946</v>
      </c>
      <c r="D1186" s="1">
        <v>2023</v>
      </c>
      <c r="E1186" s="1" t="str">
        <f t="shared" si="4"/>
        <v>SPORTAGESPORTAGE EX DSL 2.0 AUT2023</v>
      </c>
      <c r="F1186" s="1" t="s">
        <v>4947</v>
      </c>
      <c r="G1186" s="1">
        <v>23990000</v>
      </c>
      <c r="H1186" s="1">
        <v>22000000</v>
      </c>
    </row>
    <row r="1187" spans="1:8" ht="13.5" customHeight="1" x14ac:dyDescent="0.3">
      <c r="A1187" s="1" t="s">
        <v>201</v>
      </c>
      <c r="B1187" s="1" t="s">
        <v>218</v>
      </c>
      <c r="C1187" s="1" t="s">
        <v>4946</v>
      </c>
      <c r="D1187" s="1">
        <v>2024</v>
      </c>
      <c r="E1187" s="1" t="str">
        <f t="shared" si="4"/>
        <v>SPORTAGESPORTAGE EX DSL 2.0 AUT2024</v>
      </c>
      <c r="F1187" s="1" t="s">
        <v>966</v>
      </c>
      <c r="G1187" s="1">
        <v>25190000</v>
      </c>
      <c r="H1187" s="1">
        <v>22000000</v>
      </c>
    </row>
    <row r="1188" spans="1:8" ht="13.5" customHeight="1" x14ac:dyDescent="0.3">
      <c r="A1188" s="1" t="s">
        <v>201</v>
      </c>
      <c r="B1188" s="1" t="s">
        <v>218</v>
      </c>
      <c r="C1188" s="1" t="s">
        <v>4948</v>
      </c>
      <c r="D1188" s="1">
        <v>2022</v>
      </c>
      <c r="E1188" s="1" t="str">
        <f t="shared" si="4"/>
        <v>SPORTAGESPORTAGE EX DVGT 4X4 1.6 AUT2022</v>
      </c>
      <c r="F1188" s="1" t="s">
        <v>1226</v>
      </c>
      <c r="G1188" s="1">
        <v>22690000</v>
      </c>
      <c r="H1188" s="1">
        <v>19000000</v>
      </c>
    </row>
    <row r="1189" spans="1:8" ht="13.5" customHeight="1" x14ac:dyDescent="0.3">
      <c r="A1189" s="1" t="s">
        <v>201</v>
      </c>
      <c r="B1189" s="1" t="s">
        <v>218</v>
      </c>
      <c r="C1189" s="1" t="s">
        <v>4949</v>
      </c>
      <c r="D1189" s="1">
        <v>2017</v>
      </c>
      <c r="E1189" s="1" t="str">
        <f t="shared" si="4"/>
        <v>SPORTAGESPORTAGE LX  2.02017</v>
      </c>
      <c r="F1189" s="1" t="s">
        <v>2139</v>
      </c>
      <c r="G1189" s="1">
        <v>12890000</v>
      </c>
      <c r="H1189" s="1">
        <v>10500000</v>
      </c>
    </row>
    <row r="1190" spans="1:8" ht="13.5" customHeight="1" x14ac:dyDescent="0.3">
      <c r="A1190" s="1" t="s">
        <v>201</v>
      </c>
      <c r="B1190" s="1" t="s">
        <v>218</v>
      </c>
      <c r="C1190" s="1" t="s">
        <v>4949</v>
      </c>
      <c r="D1190" s="1">
        <v>2017</v>
      </c>
      <c r="E1190" s="1" t="str">
        <f t="shared" si="4"/>
        <v>SPORTAGESPORTAGE LX  2.02017</v>
      </c>
      <c r="F1190" s="1" t="s">
        <v>1848</v>
      </c>
      <c r="G1190" s="1">
        <v>10000000</v>
      </c>
      <c r="H1190" s="1">
        <v>8300000</v>
      </c>
    </row>
    <row r="1191" spans="1:8" ht="13.5" customHeight="1" x14ac:dyDescent="0.3">
      <c r="A1191" s="1" t="s">
        <v>201</v>
      </c>
      <c r="B1191" s="1" t="s">
        <v>218</v>
      </c>
      <c r="C1191" s="1" t="s">
        <v>4949</v>
      </c>
      <c r="D1191" s="1">
        <v>2017</v>
      </c>
      <c r="E1191" s="1" t="str">
        <f t="shared" si="4"/>
        <v>SPORTAGESPORTAGE LX  2.02017</v>
      </c>
      <c r="F1191" s="1" t="s">
        <v>1278</v>
      </c>
      <c r="G1191" s="1">
        <v>11190000</v>
      </c>
      <c r="H1191" s="1">
        <v>9500000</v>
      </c>
    </row>
    <row r="1192" spans="1:8" ht="13.5" customHeight="1" x14ac:dyDescent="0.3">
      <c r="A1192" s="1" t="s">
        <v>201</v>
      </c>
      <c r="B1192" s="1" t="s">
        <v>218</v>
      </c>
      <c r="C1192" s="1" t="s">
        <v>4949</v>
      </c>
      <c r="D1192" s="1">
        <v>2017</v>
      </c>
      <c r="E1192" s="1" t="str">
        <f t="shared" si="4"/>
        <v>SPORTAGESPORTAGE LX  2.02017</v>
      </c>
      <c r="F1192" s="1" t="s">
        <v>2351</v>
      </c>
      <c r="G1192" s="1">
        <v>13490000</v>
      </c>
      <c r="H1192" s="1">
        <v>12500000</v>
      </c>
    </row>
    <row r="1193" spans="1:8" ht="13.5" customHeight="1" x14ac:dyDescent="0.3">
      <c r="A1193" s="1" t="s">
        <v>201</v>
      </c>
      <c r="B1193" s="1" t="s">
        <v>218</v>
      </c>
      <c r="C1193" s="1" t="s">
        <v>4949</v>
      </c>
      <c r="D1193" s="1">
        <v>2018</v>
      </c>
      <c r="E1193" s="1" t="str">
        <f t="shared" si="4"/>
        <v>SPORTAGESPORTAGE LX  2.02018</v>
      </c>
      <c r="F1193" s="1" t="s">
        <v>2040</v>
      </c>
      <c r="G1193" s="1">
        <v>12290000</v>
      </c>
      <c r="H1193" s="1">
        <v>10000000</v>
      </c>
    </row>
    <row r="1194" spans="1:8" ht="13.5" customHeight="1" x14ac:dyDescent="0.3">
      <c r="A1194" s="1" t="s">
        <v>201</v>
      </c>
      <c r="B1194" s="1" t="s">
        <v>218</v>
      </c>
      <c r="C1194" s="1" t="s">
        <v>4949</v>
      </c>
      <c r="D1194" s="1">
        <v>2019</v>
      </c>
      <c r="E1194" s="1" t="str">
        <f t="shared" si="4"/>
        <v>SPORTAGESPORTAGE LX  2.02019</v>
      </c>
      <c r="F1194" s="1" t="s">
        <v>2815</v>
      </c>
      <c r="G1194" s="1">
        <v>13990000</v>
      </c>
      <c r="H1194" s="1">
        <v>17000000</v>
      </c>
    </row>
    <row r="1195" spans="1:8" ht="13.5" customHeight="1" x14ac:dyDescent="0.3">
      <c r="A1195" s="1" t="s">
        <v>201</v>
      </c>
      <c r="B1195" s="1" t="s">
        <v>218</v>
      </c>
      <c r="C1195" s="1" t="s">
        <v>4949</v>
      </c>
      <c r="D1195" s="1">
        <v>2019</v>
      </c>
      <c r="E1195" s="1" t="str">
        <f t="shared" si="4"/>
        <v>SPORTAGESPORTAGE LX  2.02019</v>
      </c>
      <c r="F1195" s="1" t="s">
        <v>467</v>
      </c>
      <c r="G1195" s="1">
        <v>13790000</v>
      </c>
      <c r="H1195" s="1">
        <v>11000000</v>
      </c>
    </row>
    <row r="1196" spans="1:8" ht="13.5" customHeight="1" x14ac:dyDescent="0.3">
      <c r="A1196" s="1" t="s">
        <v>201</v>
      </c>
      <c r="B1196" s="1" t="s">
        <v>218</v>
      </c>
      <c r="C1196" s="1" t="s">
        <v>4949</v>
      </c>
      <c r="D1196" s="1">
        <v>2020</v>
      </c>
      <c r="E1196" s="1" t="str">
        <f t="shared" si="4"/>
        <v>SPORTAGESPORTAGE LX  2.02020</v>
      </c>
      <c r="F1196" s="1" t="s">
        <v>2346</v>
      </c>
      <c r="G1196" s="1">
        <v>15990000</v>
      </c>
      <c r="H1196" s="1">
        <v>13000000</v>
      </c>
    </row>
    <row r="1197" spans="1:8" ht="13.5" customHeight="1" x14ac:dyDescent="0.3">
      <c r="A1197" s="1" t="s">
        <v>201</v>
      </c>
      <c r="B1197" s="1" t="s">
        <v>218</v>
      </c>
      <c r="C1197" s="1" t="s">
        <v>4949</v>
      </c>
      <c r="D1197" s="1">
        <v>2020</v>
      </c>
      <c r="E1197" s="1" t="str">
        <f t="shared" si="4"/>
        <v>SPORTAGESPORTAGE LX  2.02020</v>
      </c>
      <c r="F1197" s="1" t="s">
        <v>1644</v>
      </c>
      <c r="G1197" s="1">
        <v>13590000</v>
      </c>
      <c r="H1197" s="1">
        <v>11500000</v>
      </c>
    </row>
    <row r="1198" spans="1:8" ht="13.5" customHeight="1" x14ac:dyDescent="0.3">
      <c r="A1198" s="1" t="s">
        <v>201</v>
      </c>
      <c r="B1198" s="1" t="s">
        <v>218</v>
      </c>
      <c r="C1198" s="1" t="s">
        <v>4949</v>
      </c>
      <c r="D1198" s="1">
        <v>2020</v>
      </c>
      <c r="E1198" s="1" t="str">
        <f t="shared" si="4"/>
        <v>SPORTAGESPORTAGE LX  2.02020</v>
      </c>
      <c r="F1198" s="1" t="s">
        <v>739</v>
      </c>
      <c r="G1198" s="1">
        <v>31580000</v>
      </c>
      <c r="H1198" s="1">
        <v>25852592</v>
      </c>
    </row>
    <row r="1199" spans="1:8" ht="13.5" customHeight="1" x14ac:dyDescent="0.3">
      <c r="A1199" s="1" t="s">
        <v>201</v>
      </c>
      <c r="B1199" s="1" t="s">
        <v>218</v>
      </c>
      <c r="C1199" s="1" t="s">
        <v>4949</v>
      </c>
      <c r="D1199" s="1">
        <v>2021</v>
      </c>
      <c r="E1199" s="1" t="str">
        <f t="shared" si="4"/>
        <v>SPORTAGESPORTAGE LX  2.02021</v>
      </c>
      <c r="F1199" s="1" t="s">
        <v>1501</v>
      </c>
      <c r="G1199" s="1">
        <v>13590000</v>
      </c>
      <c r="H1199" s="1">
        <v>11500000</v>
      </c>
    </row>
    <row r="1200" spans="1:8" ht="13.5" customHeight="1" x14ac:dyDescent="0.3">
      <c r="A1200" s="1" t="s">
        <v>201</v>
      </c>
      <c r="B1200" s="1" t="s">
        <v>218</v>
      </c>
      <c r="C1200" s="1" t="s">
        <v>4950</v>
      </c>
      <c r="D1200" s="1">
        <v>2018</v>
      </c>
      <c r="E1200" s="1" t="str">
        <f t="shared" si="4"/>
        <v>SPORTAGESPORTAGE LX 2.02018</v>
      </c>
      <c r="F1200" s="1" t="s">
        <v>1997</v>
      </c>
      <c r="G1200" s="1">
        <v>12490000</v>
      </c>
      <c r="H1200" s="1">
        <v>10000000</v>
      </c>
    </row>
    <row r="1201" spans="1:8" ht="13.5" customHeight="1" x14ac:dyDescent="0.3">
      <c r="A1201" s="1" t="s">
        <v>201</v>
      </c>
      <c r="B1201" s="1" t="s">
        <v>218</v>
      </c>
      <c r="C1201" s="1" t="s">
        <v>4950</v>
      </c>
      <c r="D1201" s="1">
        <v>2018</v>
      </c>
      <c r="E1201" s="1" t="str">
        <f t="shared" si="4"/>
        <v>SPORTAGESPORTAGE LX 2.02018</v>
      </c>
      <c r="F1201" s="1" t="s">
        <v>1963</v>
      </c>
      <c r="G1201" s="1">
        <v>11945000</v>
      </c>
      <c r="H1201" s="1">
        <v>10500000</v>
      </c>
    </row>
    <row r="1202" spans="1:8" ht="13.5" customHeight="1" x14ac:dyDescent="0.3">
      <c r="A1202" s="1" t="s">
        <v>201</v>
      </c>
      <c r="B1202" s="1" t="s">
        <v>218</v>
      </c>
      <c r="C1202" s="1" t="s">
        <v>4950</v>
      </c>
      <c r="D1202" s="1">
        <v>2019</v>
      </c>
      <c r="E1202" s="1" t="str">
        <f t="shared" si="4"/>
        <v>SPORTAGESPORTAGE LX 2.02019</v>
      </c>
      <c r="F1202" s="1" t="s">
        <v>2792</v>
      </c>
      <c r="G1202" s="1">
        <v>13990000</v>
      </c>
      <c r="H1202" s="1">
        <v>16500000</v>
      </c>
    </row>
    <row r="1203" spans="1:8" ht="13.5" customHeight="1" x14ac:dyDescent="0.3">
      <c r="A1203" s="1" t="s">
        <v>201</v>
      </c>
      <c r="B1203" s="1" t="s">
        <v>218</v>
      </c>
      <c r="C1203" s="1" t="s">
        <v>4950</v>
      </c>
      <c r="D1203" s="1">
        <v>2020</v>
      </c>
      <c r="E1203" s="1" t="str">
        <f t="shared" si="4"/>
        <v>SPORTAGESPORTAGE LX 2.02020</v>
      </c>
      <c r="F1203" s="1" t="s">
        <v>1077</v>
      </c>
      <c r="G1203" s="1">
        <v>12696650</v>
      </c>
      <c r="H1203" s="1">
        <v>10500000</v>
      </c>
    </row>
    <row r="1204" spans="1:8" ht="13.5" customHeight="1" x14ac:dyDescent="0.3">
      <c r="A1204" s="1" t="s">
        <v>201</v>
      </c>
      <c r="B1204" s="1" t="s">
        <v>218</v>
      </c>
      <c r="C1204" s="1" t="s">
        <v>4950</v>
      </c>
      <c r="D1204" s="1">
        <v>2020</v>
      </c>
      <c r="E1204" s="1" t="str">
        <f t="shared" si="4"/>
        <v>SPORTAGESPORTAGE LX 2.02020</v>
      </c>
      <c r="F1204" s="1" t="s">
        <v>2553</v>
      </c>
      <c r="G1204" s="1">
        <v>15490000</v>
      </c>
      <c r="H1204" s="1">
        <v>16000000</v>
      </c>
    </row>
    <row r="1205" spans="1:8" ht="13.5" customHeight="1" x14ac:dyDescent="0.3">
      <c r="A1205" s="1" t="s">
        <v>201</v>
      </c>
      <c r="B1205" s="1" t="s">
        <v>218</v>
      </c>
      <c r="C1205" s="1" t="s">
        <v>4950</v>
      </c>
      <c r="D1205" s="1">
        <v>2020</v>
      </c>
      <c r="E1205" s="1" t="str">
        <f t="shared" si="4"/>
        <v>SPORTAGESPORTAGE LX 2.02020</v>
      </c>
      <c r="F1205" s="1" t="s">
        <v>2259</v>
      </c>
      <c r="G1205" s="1">
        <v>14990000</v>
      </c>
      <c r="H1205" s="1">
        <v>13000000</v>
      </c>
    </row>
    <row r="1206" spans="1:8" ht="13.5" customHeight="1" x14ac:dyDescent="0.3">
      <c r="A1206" s="1" t="s">
        <v>201</v>
      </c>
      <c r="B1206" s="1" t="s">
        <v>218</v>
      </c>
      <c r="C1206" s="1" t="s">
        <v>4951</v>
      </c>
      <c r="D1206" s="1">
        <v>2017</v>
      </c>
      <c r="E1206" s="1" t="str">
        <f t="shared" si="4"/>
        <v>SPORTAGESPORTAGE LX 2.0 AT2017</v>
      </c>
      <c r="F1206" s="1" t="s">
        <v>894</v>
      </c>
      <c r="G1206" s="1">
        <v>12490000</v>
      </c>
      <c r="H1206" s="1">
        <v>10300000</v>
      </c>
    </row>
    <row r="1207" spans="1:8" ht="13.5" customHeight="1" x14ac:dyDescent="0.3">
      <c r="A1207" s="1" t="s">
        <v>201</v>
      </c>
      <c r="B1207" s="1" t="s">
        <v>218</v>
      </c>
      <c r="C1207" s="1" t="s">
        <v>4952</v>
      </c>
      <c r="D1207" s="1">
        <v>2016</v>
      </c>
      <c r="E1207" s="1" t="str">
        <f t="shared" si="4"/>
        <v>SPORTAGESPORTAGE LX 4X4 2.02016</v>
      </c>
      <c r="F1207" s="1" t="s">
        <v>2607</v>
      </c>
      <c r="G1207" s="1">
        <v>15990000</v>
      </c>
      <c r="H1207" s="1">
        <v>12500000</v>
      </c>
    </row>
    <row r="1208" spans="1:8" ht="13.5" customHeight="1" x14ac:dyDescent="0.3">
      <c r="A1208" s="1" t="s">
        <v>201</v>
      </c>
      <c r="B1208" s="1" t="s">
        <v>218</v>
      </c>
      <c r="C1208" s="1" t="s">
        <v>4953</v>
      </c>
      <c r="D1208" s="1">
        <v>2021</v>
      </c>
      <c r="E1208" s="1" t="str">
        <f t="shared" si="4"/>
        <v>SPORTAGESPORTAGE QL 2.0 AUT2021</v>
      </c>
      <c r="F1208" s="1" t="s">
        <v>2067</v>
      </c>
      <c r="G1208" s="1">
        <v>18190000</v>
      </c>
      <c r="H1208" s="1">
        <v>14500000</v>
      </c>
    </row>
    <row r="1209" spans="1:8" ht="13.5" customHeight="1" x14ac:dyDescent="0.3">
      <c r="A1209" s="1" t="s">
        <v>201</v>
      </c>
      <c r="B1209" s="1" t="s">
        <v>218</v>
      </c>
      <c r="C1209" s="1" t="s">
        <v>4954</v>
      </c>
      <c r="D1209" s="1">
        <v>2019</v>
      </c>
      <c r="E1209" s="1" t="str">
        <f t="shared" si="4"/>
        <v>SPORTAGESPORTAGE QL MT 2.02019</v>
      </c>
      <c r="F1209" s="1" t="s">
        <v>2072</v>
      </c>
      <c r="G1209" s="1">
        <v>14490000</v>
      </c>
      <c r="H1209" s="1">
        <v>14000000</v>
      </c>
    </row>
    <row r="1210" spans="1:8" ht="13.5" customHeight="1" x14ac:dyDescent="0.3">
      <c r="A1210" s="1" t="s">
        <v>201</v>
      </c>
      <c r="B1210" s="1" t="s">
        <v>218</v>
      </c>
      <c r="C1210" s="1" t="s">
        <v>4954</v>
      </c>
      <c r="D1210" s="1">
        <v>2021</v>
      </c>
      <c r="E1210" s="1" t="str">
        <f t="shared" si="4"/>
        <v>SPORTAGESPORTAGE QL MT 2.02021</v>
      </c>
      <c r="F1210" s="1" t="s">
        <v>2696</v>
      </c>
      <c r="G1210" s="1">
        <v>17990000</v>
      </c>
      <c r="H1210" s="1">
        <v>18972689</v>
      </c>
    </row>
    <row r="1211" spans="1:8" ht="13.5" customHeight="1" x14ac:dyDescent="0.3">
      <c r="A1211" s="1" t="s">
        <v>201</v>
      </c>
      <c r="B1211" s="1" t="s">
        <v>218</v>
      </c>
      <c r="C1211" s="1" t="s">
        <v>4954</v>
      </c>
      <c r="D1211" s="1">
        <v>2021</v>
      </c>
      <c r="E1211" s="1" t="str">
        <f t="shared" si="4"/>
        <v>SPORTAGESPORTAGE QL MT 2.02021</v>
      </c>
      <c r="F1211" s="1" t="s">
        <v>1504</v>
      </c>
      <c r="G1211" s="1">
        <v>13590000</v>
      </c>
      <c r="H1211" s="1">
        <v>11500000</v>
      </c>
    </row>
    <row r="1212" spans="1:8" ht="13.5" customHeight="1" x14ac:dyDescent="0.3">
      <c r="A1212" s="1" t="s">
        <v>201</v>
      </c>
      <c r="B1212" s="1" t="s">
        <v>218</v>
      </c>
      <c r="C1212" s="1" t="s">
        <v>4954</v>
      </c>
      <c r="D1212" s="1">
        <v>2021</v>
      </c>
      <c r="E1212" s="1" t="str">
        <f t="shared" si="4"/>
        <v>SPORTAGESPORTAGE QL MT 2.02021</v>
      </c>
      <c r="F1212" s="1" t="s">
        <v>1485</v>
      </c>
      <c r="G1212" s="1">
        <v>13890000</v>
      </c>
      <c r="H1212" s="1">
        <v>11700000</v>
      </c>
    </row>
    <row r="1213" spans="1:8" ht="13.5" customHeight="1" x14ac:dyDescent="0.3">
      <c r="A1213" s="1" t="s">
        <v>4955</v>
      </c>
      <c r="B1213" s="1" t="s">
        <v>4955</v>
      </c>
      <c r="C1213" s="1" t="s">
        <v>4956</v>
      </c>
      <c r="D1213" s="1">
        <v>2023</v>
      </c>
      <c r="E1213" s="1" t="str">
        <f t="shared" si="4"/>
        <v>LEXUSRX350 4X4 3.5 AT2023</v>
      </c>
      <c r="F1213" s="1" t="s">
        <v>1845</v>
      </c>
      <c r="G1213" s="1">
        <v>34990000</v>
      </c>
      <c r="H1213" s="1">
        <v>36000000</v>
      </c>
    </row>
    <row r="1214" spans="1:8" ht="13.5" customHeight="1" x14ac:dyDescent="0.3">
      <c r="A1214" s="1" t="s">
        <v>4957</v>
      </c>
      <c r="B1214" s="1" t="s">
        <v>4957</v>
      </c>
      <c r="C1214" s="1" t="s">
        <v>4958</v>
      </c>
      <c r="D1214" s="1">
        <v>2021</v>
      </c>
      <c r="E1214" s="1" t="str">
        <f t="shared" si="4"/>
        <v>LIFANLF X7 SX 1.82021</v>
      </c>
      <c r="F1214" s="1" t="s">
        <v>790</v>
      </c>
      <c r="G1214" s="1">
        <v>7290000</v>
      </c>
      <c r="H1214" s="1">
        <v>6100000</v>
      </c>
    </row>
    <row r="1215" spans="1:8" ht="13.5" customHeight="1" x14ac:dyDescent="0.3">
      <c r="A1215" s="1" t="s">
        <v>226</v>
      </c>
      <c r="B1215" s="1" t="s">
        <v>226</v>
      </c>
      <c r="C1215" s="1" t="s">
        <v>227</v>
      </c>
      <c r="D1215" s="1">
        <v>2020</v>
      </c>
      <c r="E1215" s="1" t="str">
        <f t="shared" si="4"/>
        <v>MAHINDRAKUV 100 HATCH BACK 1.22020</v>
      </c>
      <c r="F1215" s="1" t="s">
        <v>1326</v>
      </c>
      <c r="G1215" s="1">
        <v>5590000</v>
      </c>
      <c r="H1215" s="1">
        <v>4000000</v>
      </c>
    </row>
    <row r="1216" spans="1:8" ht="13.5" customHeight="1" x14ac:dyDescent="0.3">
      <c r="A1216" s="1" t="s">
        <v>226</v>
      </c>
      <c r="B1216" s="1" t="s">
        <v>226</v>
      </c>
      <c r="C1216" s="1" t="s">
        <v>227</v>
      </c>
      <c r="D1216" s="1">
        <v>2022</v>
      </c>
      <c r="E1216" s="1" t="str">
        <f t="shared" si="4"/>
        <v>MAHINDRAKUV 100 HATCH BACK 1.22022</v>
      </c>
      <c r="F1216" s="1" t="s">
        <v>228</v>
      </c>
      <c r="G1216" s="1">
        <v>6490000</v>
      </c>
      <c r="H1216" s="1">
        <v>4850000</v>
      </c>
    </row>
    <row r="1217" spans="1:8" ht="13.5" customHeight="1" x14ac:dyDescent="0.3">
      <c r="A1217" s="1" t="s">
        <v>226</v>
      </c>
      <c r="B1217" s="1" t="s">
        <v>226</v>
      </c>
      <c r="C1217" s="1" t="s">
        <v>4959</v>
      </c>
      <c r="D1217" s="1">
        <v>2022</v>
      </c>
      <c r="E1217" s="1" t="str">
        <f t="shared" si="4"/>
        <v>MAHINDRAKUV100 ELITE 1.22022</v>
      </c>
      <c r="F1217" s="1" t="s">
        <v>629</v>
      </c>
      <c r="G1217" s="1">
        <v>13680000</v>
      </c>
      <c r="H1217" s="1">
        <v>10550000</v>
      </c>
    </row>
    <row r="1218" spans="1:8" ht="13.5" customHeight="1" x14ac:dyDescent="0.3">
      <c r="A1218" s="1" t="s">
        <v>226</v>
      </c>
      <c r="B1218" s="1" t="s">
        <v>226</v>
      </c>
      <c r="C1218" s="1" t="s">
        <v>4960</v>
      </c>
      <c r="D1218" s="1">
        <v>2019</v>
      </c>
      <c r="E1218" s="1" t="str">
        <f t="shared" si="4"/>
        <v>MAHINDRAXUV 500 2.2 AUT2019</v>
      </c>
      <c r="F1218" s="1" t="s">
        <v>2393</v>
      </c>
      <c r="G1218" s="1">
        <v>7000000</v>
      </c>
      <c r="H1218" s="1">
        <v>10115966</v>
      </c>
    </row>
    <row r="1219" spans="1:8" ht="13.5" customHeight="1" x14ac:dyDescent="0.3">
      <c r="A1219" s="1" t="s">
        <v>226</v>
      </c>
      <c r="B1219" s="1" t="s">
        <v>226</v>
      </c>
      <c r="C1219" s="1" t="s">
        <v>4961</v>
      </c>
      <c r="D1219" s="1">
        <v>2017</v>
      </c>
      <c r="E1219" s="1" t="str">
        <f t="shared" si="4"/>
        <v>MAHINDRAXUV500 FL CRDE 2.22017</v>
      </c>
      <c r="F1219" s="1" t="s">
        <v>2645</v>
      </c>
      <c r="G1219" s="1">
        <v>4750000</v>
      </c>
      <c r="H1219" s="1">
        <v>10000000</v>
      </c>
    </row>
    <row r="1220" spans="1:8" ht="13.5" customHeight="1" x14ac:dyDescent="0.3">
      <c r="A1220" s="1" t="s">
        <v>3630</v>
      </c>
      <c r="B1220" s="1" t="s">
        <v>3630</v>
      </c>
      <c r="C1220" s="1" t="s">
        <v>4962</v>
      </c>
      <c r="D1220" s="1">
        <v>2022</v>
      </c>
      <c r="E1220" s="1" t="str">
        <f t="shared" si="4"/>
        <v>MAXUST60 DCAB 2.82022</v>
      </c>
      <c r="F1220" s="1" t="s">
        <v>2060</v>
      </c>
      <c r="G1220" s="1">
        <v>13990000</v>
      </c>
      <c r="H1220" s="1">
        <v>11500000</v>
      </c>
    </row>
    <row r="1221" spans="1:8" ht="13.5" customHeight="1" x14ac:dyDescent="0.3">
      <c r="A1221" s="1" t="s">
        <v>3630</v>
      </c>
      <c r="B1221" s="1" t="s">
        <v>3630</v>
      </c>
      <c r="C1221" s="1" t="s">
        <v>4963</v>
      </c>
      <c r="D1221" s="1">
        <v>2022</v>
      </c>
      <c r="E1221" s="1" t="str">
        <f t="shared" si="4"/>
        <v>MAXUST60 DCAB 4X4 2.0 AUT2022</v>
      </c>
      <c r="F1221" s="1" t="s">
        <v>1536</v>
      </c>
      <c r="G1221" s="1">
        <v>14690000</v>
      </c>
      <c r="H1221" s="1">
        <v>12500000</v>
      </c>
    </row>
    <row r="1222" spans="1:8" ht="13.5" customHeight="1" x14ac:dyDescent="0.3">
      <c r="A1222" s="1" t="s">
        <v>3630</v>
      </c>
      <c r="B1222" s="1" t="s">
        <v>3630</v>
      </c>
      <c r="C1222" s="1" t="s">
        <v>4963</v>
      </c>
      <c r="D1222" s="1">
        <v>2022</v>
      </c>
      <c r="E1222" s="1" t="str">
        <f t="shared" si="4"/>
        <v>MAXUST60 DCAB 4X4 2.0 AUT2022</v>
      </c>
      <c r="F1222" s="1" t="s">
        <v>1373</v>
      </c>
      <c r="G1222" s="1">
        <v>16690000</v>
      </c>
      <c r="H1222" s="1">
        <v>14200000</v>
      </c>
    </row>
    <row r="1223" spans="1:8" ht="13.5" customHeight="1" x14ac:dyDescent="0.3">
      <c r="A1223" s="1" t="s">
        <v>3630</v>
      </c>
      <c r="B1223" s="1" t="s">
        <v>3630</v>
      </c>
      <c r="C1223" s="1" t="s">
        <v>4964</v>
      </c>
      <c r="D1223" s="1">
        <v>2024</v>
      </c>
      <c r="E1223" s="1" t="str">
        <f t="shared" si="4"/>
        <v>MAXUST90 4WD 2.0 AUT2024</v>
      </c>
      <c r="F1223" s="1" t="s">
        <v>1769</v>
      </c>
      <c r="G1223" s="1">
        <v>27690000</v>
      </c>
      <c r="H1223" s="1">
        <v>24000000</v>
      </c>
    </row>
    <row r="1224" spans="1:8" ht="13.5" customHeight="1" x14ac:dyDescent="0.3">
      <c r="A1224" s="1" t="s">
        <v>3630</v>
      </c>
      <c r="B1224" s="1" t="s">
        <v>3630</v>
      </c>
      <c r="C1224" s="1" t="s">
        <v>4965</v>
      </c>
      <c r="D1224" s="1">
        <v>2023</v>
      </c>
      <c r="E1224" s="1" t="str">
        <f t="shared" si="4"/>
        <v>MAXUST90 4X4 2.0 AUT2023</v>
      </c>
      <c r="F1224" s="1" t="s">
        <v>1350</v>
      </c>
      <c r="G1224" s="1">
        <v>20599120</v>
      </c>
      <c r="H1224" s="1">
        <v>17500000</v>
      </c>
    </row>
    <row r="1225" spans="1:8" ht="13.5" customHeight="1" x14ac:dyDescent="0.3">
      <c r="A1225" s="1" t="s">
        <v>229</v>
      </c>
      <c r="B1225" s="1" t="s">
        <v>230</v>
      </c>
      <c r="C1225" s="1" t="s">
        <v>4966</v>
      </c>
      <c r="D1225" s="1">
        <v>2022</v>
      </c>
      <c r="E1225" s="1" t="str">
        <f t="shared" si="4"/>
        <v>CX-30ALL NEW CX30 GTX 4X4 2.0 AUT2022</v>
      </c>
      <c r="F1225" s="1" t="s">
        <v>477</v>
      </c>
      <c r="G1225" s="1">
        <v>20990000</v>
      </c>
      <c r="H1225" s="1">
        <v>18000000</v>
      </c>
    </row>
    <row r="1226" spans="1:8" ht="13.5" customHeight="1" x14ac:dyDescent="0.3">
      <c r="A1226" s="1" t="s">
        <v>229</v>
      </c>
      <c r="B1226" s="1" t="s">
        <v>229</v>
      </c>
      <c r="C1226" s="1" t="s">
        <v>4967</v>
      </c>
      <c r="D1226" s="1">
        <v>2019</v>
      </c>
      <c r="E1226" s="1" t="str">
        <f t="shared" si="4"/>
        <v>MAZDA3  1.62019</v>
      </c>
      <c r="F1226" s="1" t="s">
        <v>1950</v>
      </c>
      <c r="G1226" s="1">
        <v>10190000</v>
      </c>
      <c r="H1226" s="1">
        <v>7915966</v>
      </c>
    </row>
    <row r="1227" spans="1:8" ht="13.5" customHeight="1" x14ac:dyDescent="0.3">
      <c r="A1227" s="1" t="s">
        <v>229</v>
      </c>
      <c r="B1227" s="1" t="s">
        <v>229</v>
      </c>
      <c r="C1227" s="1" t="s">
        <v>4968</v>
      </c>
      <c r="D1227" s="1">
        <v>2022</v>
      </c>
      <c r="E1227" s="1" t="str">
        <f t="shared" si="4"/>
        <v>MAZDA3 SEDAN 2.02022</v>
      </c>
      <c r="F1227" s="1" t="s">
        <v>2197</v>
      </c>
      <c r="G1227" s="1">
        <v>15990000</v>
      </c>
      <c r="H1227" s="1">
        <v>13270000</v>
      </c>
    </row>
    <row r="1228" spans="1:8" ht="13.5" customHeight="1" x14ac:dyDescent="0.3">
      <c r="A1228" s="1" t="s">
        <v>229</v>
      </c>
      <c r="B1228" s="1" t="s">
        <v>229</v>
      </c>
      <c r="C1228" s="1" t="s">
        <v>4969</v>
      </c>
      <c r="D1228" s="1">
        <v>2016</v>
      </c>
      <c r="E1228" s="1" t="str">
        <f t="shared" si="4"/>
        <v>MAZDAALL NEW 2 SPORT GT HB 1.52016</v>
      </c>
      <c r="F1228" s="1" t="s">
        <v>1816</v>
      </c>
      <c r="G1228" s="1">
        <v>7790000</v>
      </c>
      <c r="H1228" s="1">
        <v>5915966</v>
      </c>
    </row>
    <row r="1229" spans="1:8" ht="13.5" customHeight="1" x14ac:dyDescent="0.3">
      <c r="A1229" s="1" t="s">
        <v>229</v>
      </c>
      <c r="B1229" s="1" t="s">
        <v>229</v>
      </c>
      <c r="C1229" s="1" t="s">
        <v>4970</v>
      </c>
      <c r="D1229" s="1">
        <v>2020</v>
      </c>
      <c r="E1229" s="1" t="str">
        <f t="shared" si="4"/>
        <v>MAZDAALL NEW 3 2.02020</v>
      </c>
      <c r="F1229" s="1" t="s">
        <v>2627</v>
      </c>
      <c r="G1229" s="1">
        <v>14990000</v>
      </c>
      <c r="H1229" s="1">
        <v>13000000</v>
      </c>
    </row>
    <row r="1230" spans="1:8" ht="13.5" customHeight="1" x14ac:dyDescent="0.3">
      <c r="A1230" s="1" t="s">
        <v>229</v>
      </c>
      <c r="B1230" s="1" t="s">
        <v>229</v>
      </c>
      <c r="C1230" s="1" t="s">
        <v>4971</v>
      </c>
      <c r="D1230" s="1">
        <v>2021</v>
      </c>
      <c r="E1230" s="1" t="str">
        <f t="shared" si="4"/>
        <v>MAZDAALL NEW 3 HB 2.02021</v>
      </c>
      <c r="F1230" s="1" t="s">
        <v>1695</v>
      </c>
      <c r="G1230" s="1">
        <v>14790000</v>
      </c>
      <c r="H1230" s="1">
        <v>12500000</v>
      </c>
    </row>
    <row r="1231" spans="1:8" ht="13.5" customHeight="1" x14ac:dyDescent="0.3">
      <c r="A1231" s="1" t="s">
        <v>229</v>
      </c>
      <c r="B1231" s="1" t="s">
        <v>229</v>
      </c>
      <c r="C1231" s="1" t="s">
        <v>4972</v>
      </c>
      <c r="D1231" s="1">
        <v>2020</v>
      </c>
      <c r="E1231" s="1" t="str">
        <f t="shared" si="4"/>
        <v>MAZDAALL NEW 6 2.02020</v>
      </c>
      <c r="F1231" s="1" t="s">
        <v>1635</v>
      </c>
      <c r="G1231" s="1">
        <v>15490000</v>
      </c>
      <c r="H1231" s="1">
        <v>13500000</v>
      </c>
    </row>
    <row r="1232" spans="1:8" ht="13.5" customHeight="1" x14ac:dyDescent="0.3">
      <c r="A1232" s="1" t="s">
        <v>229</v>
      </c>
      <c r="B1232" s="1" t="s">
        <v>229</v>
      </c>
      <c r="C1232" s="1" t="s">
        <v>4973</v>
      </c>
      <c r="D1232" s="1">
        <v>2017</v>
      </c>
      <c r="E1232" s="1" t="str">
        <f t="shared" si="4"/>
        <v>MAZDAALL NEW CX 3 R 2.0 AUT2017</v>
      </c>
      <c r="F1232" s="1" t="s">
        <v>1934</v>
      </c>
      <c r="G1232" s="1">
        <v>10600000</v>
      </c>
      <c r="H1232" s="1">
        <v>10200000</v>
      </c>
    </row>
    <row r="1233" spans="1:8" ht="13.5" customHeight="1" x14ac:dyDescent="0.3">
      <c r="A1233" s="1" t="s">
        <v>229</v>
      </c>
      <c r="B1233" s="1" t="s">
        <v>229</v>
      </c>
      <c r="C1233" s="1" t="s">
        <v>4973</v>
      </c>
      <c r="D1233" s="1">
        <v>2020</v>
      </c>
      <c r="E1233" s="1" t="str">
        <f t="shared" si="4"/>
        <v>MAZDAALL NEW CX 3 R 2.0 AUT2020</v>
      </c>
      <c r="F1233" s="1" t="s">
        <v>1704</v>
      </c>
      <c r="G1233" s="1">
        <v>12850000</v>
      </c>
      <c r="H1233" s="1">
        <v>11000000</v>
      </c>
    </row>
    <row r="1234" spans="1:8" ht="13.5" customHeight="1" x14ac:dyDescent="0.3">
      <c r="A1234" s="1" t="s">
        <v>229</v>
      </c>
      <c r="B1234" s="1" t="s">
        <v>229</v>
      </c>
      <c r="C1234" s="1" t="s">
        <v>4974</v>
      </c>
      <c r="D1234" s="1">
        <v>2020</v>
      </c>
      <c r="E1234" s="1" t="str">
        <f t="shared" si="4"/>
        <v>MAZDAALL NEW CX 5 2.0 AUT2020</v>
      </c>
      <c r="F1234" s="1" t="s">
        <v>1031</v>
      </c>
      <c r="G1234" s="1">
        <v>14990000</v>
      </c>
      <c r="H1234" s="1">
        <v>12800000</v>
      </c>
    </row>
    <row r="1235" spans="1:8" ht="13.5" customHeight="1" x14ac:dyDescent="0.3">
      <c r="A1235" s="1" t="s">
        <v>229</v>
      </c>
      <c r="B1235" s="1" t="s">
        <v>229</v>
      </c>
      <c r="C1235" s="1" t="s">
        <v>4975</v>
      </c>
      <c r="D1235" s="1">
        <v>2018</v>
      </c>
      <c r="E1235" s="1" t="str">
        <f t="shared" si="4"/>
        <v>MAZDAALL NEW CX 5 R 2.0 AUT2018</v>
      </c>
      <c r="F1235" s="1" t="s">
        <v>1900</v>
      </c>
      <c r="G1235" s="1">
        <v>15790000</v>
      </c>
      <c r="H1235" s="1">
        <v>13000000</v>
      </c>
    </row>
    <row r="1236" spans="1:8" ht="13.5" customHeight="1" x14ac:dyDescent="0.3">
      <c r="A1236" s="1" t="s">
        <v>229</v>
      </c>
      <c r="B1236" s="1" t="s">
        <v>229</v>
      </c>
      <c r="C1236" s="1" t="s">
        <v>4975</v>
      </c>
      <c r="D1236" s="1">
        <v>2019</v>
      </c>
      <c r="E1236" s="1" t="str">
        <f t="shared" si="4"/>
        <v>MAZDAALL NEW CX 5 R 2.0 AUT2019</v>
      </c>
      <c r="F1236" s="1" t="s">
        <v>2741</v>
      </c>
      <c r="G1236" s="1">
        <v>20990000</v>
      </c>
      <c r="H1236" s="1">
        <v>19000000</v>
      </c>
    </row>
    <row r="1237" spans="1:8" ht="13.5" customHeight="1" x14ac:dyDescent="0.3">
      <c r="A1237" s="1" t="s">
        <v>229</v>
      </c>
      <c r="B1237" s="1" t="s">
        <v>229</v>
      </c>
      <c r="C1237" s="1" t="s">
        <v>4976</v>
      </c>
      <c r="D1237" s="1">
        <v>2020</v>
      </c>
      <c r="E1237" s="1" t="str">
        <f t="shared" si="4"/>
        <v>MAZDAALL NEW CX 5 R 4X4 2.02020</v>
      </c>
      <c r="F1237" s="1" t="s">
        <v>1583</v>
      </c>
      <c r="G1237" s="1">
        <v>15890000</v>
      </c>
      <c r="H1237" s="1">
        <v>13500000</v>
      </c>
    </row>
    <row r="1238" spans="1:8" ht="13.5" customHeight="1" x14ac:dyDescent="0.3">
      <c r="A1238" s="1" t="s">
        <v>229</v>
      </c>
      <c r="B1238" s="1" t="s">
        <v>229</v>
      </c>
      <c r="C1238" s="1" t="s">
        <v>4977</v>
      </c>
      <c r="D1238" s="1">
        <v>2018</v>
      </c>
      <c r="E1238" s="1" t="str">
        <f t="shared" si="4"/>
        <v>MAZDAALL NEW CX 5 R 4X4 2.0 AUT2018</v>
      </c>
      <c r="F1238" s="1" t="s">
        <v>2123</v>
      </c>
      <c r="G1238" s="1">
        <v>16990000</v>
      </c>
      <c r="H1238" s="1">
        <v>14000000</v>
      </c>
    </row>
    <row r="1239" spans="1:8" ht="13.5" customHeight="1" x14ac:dyDescent="0.3">
      <c r="A1239" s="1" t="s">
        <v>229</v>
      </c>
      <c r="B1239" s="1" t="s">
        <v>229</v>
      </c>
      <c r="C1239" s="1" t="s">
        <v>4978</v>
      </c>
      <c r="D1239" s="1">
        <v>2020</v>
      </c>
      <c r="E1239" s="1" t="str">
        <f t="shared" si="4"/>
        <v>MAZDAALL NEW CX30 2.02020</v>
      </c>
      <c r="F1239" s="1" t="s">
        <v>2289</v>
      </c>
      <c r="G1239" s="1">
        <v>16990000</v>
      </c>
      <c r="H1239" s="1">
        <v>14000000</v>
      </c>
    </row>
    <row r="1240" spans="1:8" ht="13.5" customHeight="1" x14ac:dyDescent="0.3">
      <c r="A1240" s="1" t="s">
        <v>229</v>
      </c>
      <c r="B1240" s="1" t="s">
        <v>229</v>
      </c>
      <c r="C1240" s="1" t="s">
        <v>4979</v>
      </c>
      <c r="D1240" s="1">
        <v>2020</v>
      </c>
      <c r="E1240" s="1" t="str">
        <f t="shared" si="4"/>
        <v>MAZDAALL NEW CX30 2.0 AUT2020</v>
      </c>
      <c r="F1240" s="1" t="s">
        <v>942</v>
      </c>
      <c r="G1240" s="1">
        <v>15790000</v>
      </c>
      <c r="H1240" s="1">
        <v>11409244</v>
      </c>
    </row>
    <row r="1241" spans="1:8" ht="13.5" customHeight="1" x14ac:dyDescent="0.3">
      <c r="A1241" s="1" t="s">
        <v>229</v>
      </c>
      <c r="B1241" s="1" t="s">
        <v>229</v>
      </c>
      <c r="C1241" s="1" t="s">
        <v>4979</v>
      </c>
      <c r="D1241" s="1">
        <v>2021</v>
      </c>
      <c r="E1241" s="1" t="str">
        <f t="shared" si="4"/>
        <v>MAZDAALL NEW CX30 2.0 AUT2021</v>
      </c>
      <c r="F1241" s="1" t="s">
        <v>2175</v>
      </c>
      <c r="G1241" s="1">
        <v>17490000</v>
      </c>
      <c r="H1241" s="1">
        <v>14500000</v>
      </c>
    </row>
    <row r="1242" spans="1:8" ht="13.5" customHeight="1" x14ac:dyDescent="0.3">
      <c r="A1242" s="1" t="s">
        <v>229</v>
      </c>
      <c r="B1242" s="1" t="s">
        <v>229</v>
      </c>
      <c r="C1242" s="1" t="s">
        <v>4979</v>
      </c>
      <c r="D1242" s="1">
        <v>2022</v>
      </c>
      <c r="E1242" s="1" t="str">
        <f t="shared" si="4"/>
        <v>MAZDAALL NEW CX30 2.0 AUT2022</v>
      </c>
      <c r="F1242" s="1" t="s">
        <v>1300</v>
      </c>
      <c r="G1242" s="1">
        <v>17540000</v>
      </c>
      <c r="H1242" s="1">
        <v>15200000</v>
      </c>
    </row>
    <row r="1243" spans="1:8" ht="13.5" customHeight="1" x14ac:dyDescent="0.3">
      <c r="A1243" s="1" t="s">
        <v>229</v>
      </c>
      <c r="B1243" s="1" t="s">
        <v>229</v>
      </c>
      <c r="C1243" s="1" t="s">
        <v>4980</v>
      </c>
      <c r="D1243" s="1">
        <v>2020</v>
      </c>
      <c r="E1243" s="1" t="str">
        <f t="shared" si="4"/>
        <v>MAZDAALL NEW CX30 GTX 2.0 AUT2020</v>
      </c>
      <c r="F1243" s="1" t="s">
        <v>2169</v>
      </c>
      <c r="G1243" s="1">
        <v>14490000</v>
      </c>
      <c r="H1243" s="1">
        <v>11800000</v>
      </c>
    </row>
    <row r="1244" spans="1:8" ht="13.5" customHeight="1" x14ac:dyDescent="0.3">
      <c r="A1244" s="1" t="s">
        <v>229</v>
      </c>
      <c r="B1244" s="1" t="s">
        <v>229</v>
      </c>
      <c r="C1244" s="1" t="s">
        <v>4981</v>
      </c>
      <c r="D1244" s="1">
        <v>2020</v>
      </c>
      <c r="E1244" s="1" t="str">
        <f t="shared" si="4"/>
        <v>MAZDABT 50 4X4 2.22020</v>
      </c>
      <c r="F1244" s="1" t="s">
        <v>2305</v>
      </c>
      <c r="G1244" s="1">
        <v>18290000</v>
      </c>
      <c r="H1244" s="1">
        <v>15900000</v>
      </c>
    </row>
    <row r="1245" spans="1:8" ht="13.5" customHeight="1" x14ac:dyDescent="0.3">
      <c r="A1245" s="1" t="s">
        <v>229</v>
      </c>
      <c r="B1245" s="1" t="s">
        <v>229</v>
      </c>
      <c r="C1245" s="1" t="s">
        <v>4982</v>
      </c>
      <c r="D1245" s="1">
        <v>2022</v>
      </c>
      <c r="E1245" s="1" t="str">
        <f t="shared" si="4"/>
        <v>MAZDABT 50 4X4 DCAB 3.2 AUT2022</v>
      </c>
      <c r="F1245" s="1" t="s">
        <v>2225</v>
      </c>
      <c r="G1245" s="1">
        <v>25490000</v>
      </c>
      <c r="H1245" s="1">
        <v>22000000</v>
      </c>
    </row>
    <row r="1246" spans="1:8" ht="13.5" customHeight="1" x14ac:dyDescent="0.3">
      <c r="A1246" s="1" t="s">
        <v>229</v>
      </c>
      <c r="B1246" s="1" t="s">
        <v>229</v>
      </c>
      <c r="C1246" s="1" t="s">
        <v>4983</v>
      </c>
      <c r="D1246" s="1">
        <v>2012</v>
      </c>
      <c r="E1246" s="1" t="str">
        <f t="shared" si="4"/>
        <v>MAZDACX 5 GT 4WD 2.0 AUT2012</v>
      </c>
      <c r="F1246" s="1" t="s">
        <v>2301</v>
      </c>
      <c r="G1246" s="1">
        <v>8900000</v>
      </c>
      <c r="H1246" s="1">
        <v>7700000</v>
      </c>
    </row>
    <row r="1247" spans="1:8" ht="13.5" customHeight="1" x14ac:dyDescent="0.3">
      <c r="A1247" s="1" t="s">
        <v>229</v>
      </c>
      <c r="B1247" s="1" t="s">
        <v>229</v>
      </c>
      <c r="C1247" s="1" t="s">
        <v>4984</v>
      </c>
      <c r="D1247" s="1">
        <v>2020</v>
      </c>
      <c r="E1247" s="1" t="str">
        <f t="shared" si="4"/>
        <v>MAZDACX5 OTTO 2.02020</v>
      </c>
      <c r="F1247" s="1" t="s">
        <v>970</v>
      </c>
      <c r="G1247" s="1">
        <v>15675000</v>
      </c>
      <c r="H1247" s="1">
        <v>13000000</v>
      </c>
    </row>
    <row r="1248" spans="1:8" ht="13.5" customHeight="1" x14ac:dyDescent="0.3">
      <c r="A1248" s="1" t="s">
        <v>229</v>
      </c>
      <c r="B1248" s="1" t="s">
        <v>229</v>
      </c>
      <c r="C1248" s="1" t="s">
        <v>4985</v>
      </c>
      <c r="D1248" s="1">
        <v>2020</v>
      </c>
      <c r="E1248" s="1" t="str">
        <f t="shared" si="4"/>
        <v>MAZDACX5 OTTO 2.0 AUT2020</v>
      </c>
      <c r="F1248" s="1" t="s">
        <v>1367</v>
      </c>
      <c r="G1248" s="1">
        <v>16490000</v>
      </c>
      <c r="H1248" s="1">
        <v>14000000</v>
      </c>
    </row>
    <row r="1249" spans="1:8" ht="13.5" customHeight="1" x14ac:dyDescent="0.3">
      <c r="A1249" s="1" t="s">
        <v>229</v>
      </c>
      <c r="B1249" s="1" t="s">
        <v>229</v>
      </c>
      <c r="C1249" s="1" t="s">
        <v>4985</v>
      </c>
      <c r="D1249" s="1">
        <v>2022</v>
      </c>
      <c r="E1249" s="1" t="str">
        <f t="shared" si="4"/>
        <v>MAZDACX5 OTTO 2.0 AUT2022</v>
      </c>
      <c r="F1249" s="1" t="s">
        <v>1479</v>
      </c>
      <c r="G1249" s="1">
        <v>18690000</v>
      </c>
      <c r="H1249" s="1">
        <v>16350000</v>
      </c>
    </row>
    <row r="1250" spans="1:8" ht="13.5" customHeight="1" x14ac:dyDescent="0.3">
      <c r="A1250" s="1" t="s">
        <v>229</v>
      </c>
      <c r="B1250" s="1" t="s">
        <v>229</v>
      </c>
      <c r="C1250" s="1" t="s">
        <v>4985</v>
      </c>
      <c r="D1250" s="1">
        <v>2022</v>
      </c>
      <c r="E1250" s="1" t="str">
        <f t="shared" si="4"/>
        <v>MAZDACX5 OTTO 2.0 AUT2022</v>
      </c>
      <c r="F1250" s="1" t="s">
        <v>1065</v>
      </c>
      <c r="G1250" s="1">
        <v>17990000</v>
      </c>
      <c r="H1250" s="1">
        <v>15500000</v>
      </c>
    </row>
    <row r="1251" spans="1:8" ht="13.5" customHeight="1" x14ac:dyDescent="0.3">
      <c r="A1251" s="1" t="s">
        <v>229</v>
      </c>
      <c r="B1251" s="1" t="s">
        <v>229</v>
      </c>
      <c r="C1251" s="1" t="s">
        <v>4986</v>
      </c>
      <c r="D1251" s="1">
        <v>2016</v>
      </c>
      <c r="E1251" s="1" t="str">
        <f t="shared" si="4"/>
        <v>MAZDANEW 3 1.62016</v>
      </c>
      <c r="F1251" s="1" t="s">
        <v>2244</v>
      </c>
      <c r="G1251" s="1">
        <v>9390000</v>
      </c>
      <c r="H1251" s="1">
        <v>7000000</v>
      </c>
    </row>
    <row r="1252" spans="1:8" ht="13.5" customHeight="1" x14ac:dyDescent="0.3">
      <c r="A1252" s="1" t="s">
        <v>229</v>
      </c>
      <c r="B1252" s="1" t="s">
        <v>229</v>
      </c>
      <c r="C1252" s="1" t="s">
        <v>4987</v>
      </c>
      <c r="D1252" s="1">
        <v>2018</v>
      </c>
      <c r="E1252" s="1" t="str">
        <f t="shared" si="4"/>
        <v>MAZDANEW 3 1.6 AUT2018</v>
      </c>
      <c r="F1252" s="1" t="s">
        <v>492</v>
      </c>
      <c r="G1252" s="1">
        <v>9990000</v>
      </c>
      <c r="H1252" s="1">
        <v>8000000</v>
      </c>
    </row>
    <row r="1253" spans="1:8" ht="13.5" customHeight="1" x14ac:dyDescent="0.3">
      <c r="A1253" s="1" t="s">
        <v>229</v>
      </c>
      <c r="B1253" s="1" t="s">
        <v>229</v>
      </c>
      <c r="C1253" s="1" t="s">
        <v>4988</v>
      </c>
      <c r="D1253" s="1">
        <v>2018</v>
      </c>
      <c r="E1253" s="1" t="str">
        <f t="shared" si="4"/>
        <v>MAZDANEW 3 HB 2.02018</v>
      </c>
      <c r="F1253" s="1" t="s">
        <v>2159</v>
      </c>
      <c r="G1253" s="1">
        <v>12290000</v>
      </c>
      <c r="H1253" s="1">
        <v>10000000</v>
      </c>
    </row>
    <row r="1254" spans="1:8" ht="13.5" customHeight="1" x14ac:dyDescent="0.3">
      <c r="A1254" s="1" t="s">
        <v>229</v>
      </c>
      <c r="B1254" s="1" t="s">
        <v>229</v>
      </c>
      <c r="C1254" s="1" t="s">
        <v>4989</v>
      </c>
      <c r="D1254" s="1">
        <v>2022</v>
      </c>
      <c r="E1254" s="1" t="str">
        <f t="shared" si="4"/>
        <v>MAZDANEW 6 2.02022</v>
      </c>
      <c r="F1254" s="1" t="s">
        <v>1444</v>
      </c>
      <c r="G1254" s="1">
        <v>16890000</v>
      </c>
      <c r="H1254" s="1">
        <v>14700000</v>
      </c>
    </row>
    <row r="1255" spans="1:8" ht="13.5" customHeight="1" x14ac:dyDescent="0.3">
      <c r="A1255" s="1" t="s">
        <v>229</v>
      </c>
      <c r="B1255" s="1" t="s">
        <v>229</v>
      </c>
      <c r="C1255" s="1" t="s">
        <v>4989</v>
      </c>
      <c r="D1255" s="1">
        <v>2023</v>
      </c>
      <c r="E1255" s="1" t="str">
        <f t="shared" si="4"/>
        <v>MAZDANEW 6 2.02023</v>
      </c>
      <c r="F1255" s="1" t="s">
        <v>1423</v>
      </c>
      <c r="G1255" s="1">
        <v>17290000</v>
      </c>
      <c r="H1255" s="1">
        <v>14700000</v>
      </c>
    </row>
    <row r="1256" spans="1:8" ht="13.5" customHeight="1" x14ac:dyDescent="0.3">
      <c r="A1256" s="1" t="s">
        <v>229</v>
      </c>
      <c r="B1256" s="1" t="s">
        <v>229</v>
      </c>
      <c r="C1256" s="1" t="s">
        <v>4990</v>
      </c>
      <c r="D1256" s="1">
        <v>2017</v>
      </c>
      <c r="E1256" s="1" t="str">
        <f t="shared" si="4"/>
        <v>MAZDANEW 6 2.5 AUT2017</v>
      </c>
      <c r="F1256" s="1" t="s">
        <v>2154</v>
      </c>
      <c r="G1256" s="1">
        <v>9990000</v>
      </c>
      <c r="H1256" s="1">
        <v>8300000</v>
      </c>
    </row>
    <row r="1257" spans="1:8" ht="13.5" customHeight="1" x14ac:dyDescent="0.3">
      <c r="A1257" s="1" t="s">
        <v>229</v>
      </c>
      <c r="B1257" s="1" t="s">
        <v>229</v>
      </c>
      <c r="C1257" s="1" t="s">
        <v>4991</v>
      </c>
      <c r="D1257" s="1">
        <v>2015</v>
      </c>
      <c r="E1257" s="1" t="str">
        <f t="shared" si="4"/>
        <v>MAZDANEW 6 V 2.0 AUT2015</v>
      </c>
      <c r="F1257" s="1" t="s">
        <v>1582</v>
      </c>
      <c r="G1257" s="1">
        <v>8990000</v>
      </c>
      <c r="H1257" s="1">
        <v>7300000</v>
      </c>
    </row>
    <row r="1258" spans="1:8" ht="13.5" customHeight="1" x14ac:dyDescent="0.3">
      <c r="A1258" s="1" t="s">
        <v>229</v>
      </c>
      <c r="B1258" s="1" t="s">
        <v>229</v>
      </c>
      <c r="C1258" s="1" t="s">
        <v>4992</v>
      </c>
      <c r="D1258" s="1">
        <v>2018</v>
      </c>
      <c r="E1258" s="1" t="str">
        <f t="shared" si="4"/>
        <v>MAZDANEW CX 3 GT 4X4 2.0 AUT2018</v>
      </c>
      <c r="F1258" s="1" t="s">
        <v>1777</v>
      </c>
      <c r="G1258" s="1">
        <v>10890000</v>
      </c>
      <c r="H1258" s="1">
        <v>9215966</v>
      </c>
    </row>
    <row r="1259" spans="1:8" ht="13.5" customHeight="1" x14ac:dyDescent="0.3">
      <c r="A1259" s="1" t="s">
        <v>229</v>
      </c>
      <c r="B1259" s="1" t="s">
        <v>229</v>
      </c>
      <c r="C1259" s="1" t="s">
        <v>4993</v>
      </c>
      <c r="D1259" s="1">
        <v>2019</v>
      </c>
      <c r="E1259" s="1" t="str">
        <f t="shared" si="4"/>
        <v>MAZDANEW CX 3 R 2.02019</v>
      </c>
      <c r="F1259" s="1" t="s">
        <v>1377</v>
      </c>
      <c r="G1259" s="1">
        <v>13390000</v>
      </c>
      <c r="H1259" s="1">
        <v>11300000</v>
      </c>
    </row>
    <row r="1260" spans="1:8" ht="13.5" customHeight="1" x14ac:dyDescent="0.3">
      <c r="A1260" s="1" t="s">
        <v>229</v>
      </c>
      <c r="B1260" s="1" t="s">
        <v>229</v>
      </c>
      <c r="C1260" s="1" t="s">
        <v>4994</v>
      </c>
      <c r="D1260" s="1">
        <v>2017</v>
      </c>
      <c r="E1260" s="1" t="str">
        <f t="shared" si="4"/>
        <v>MAZDANEW CX 5 R 2.02017</v>
      </c>
      <c r="F1260" s="1" t="s">
        <v>2335</v>
      </c>
      <c r="G1260" s="1">
        <v>13500000</v>
      </c>
      <c r="H1260" s="1">
        <v>11800000</v>
      </c>
    </row>
    <row r="1261" spans="1:8" ht="13.5" customHeight="1" x14ac:dyDescent="0.3">
      <c r="A1261" s="1" t="s">
        <v>229</v>
      </c>
      <c r="B1261" s="1" t="s">
        <v>229</v>
      </c>
      <c r="C1261" s="1" t="s">
        <v>4995</v>
      </c>
      <c r="D1261" s="1">
        <v>2016</v>
      </c>
      <c r="E1261" s="1" t="str">
        <f t="shared" si="4"/>
        <v>MAZDANEW CX 5 R 2.0 AUT2016</v>
      </c>
      <c r="F1261" s="1" t="s">
        <v>2358</v>
      </c>
      <c r="G1261" s="1">
        <v>13990000</v>
      </c>
      <c r="H1261" s="1">
        <v>11500000</v>
      </c>
    </row>
    <row r="1262" spans="1:8" ht="13.5" customHeight="1" x14ac:dyDescent="0.3">
      <c r="A1262" s="1" t="s">
        <v>229</v>
      </c>
      <c r="B1262" s="1" t="s">
        <v>229</v>
      </c>
      <c r="C1262" s="1" t="s">
        <v>4996</v>
      </c>
      <c r="D1262" s="1">
        <v>2020</v>
      </c>
      <c r="E1262" s="1" t="str">
        <f t="shared" si="4"/>
        <v>MAZDANEW CX 9 GTX 4X4 2.5 AUT2020</v>
      </c>
      <c r="F1262" s="1" t="s">
        <v>2206</v>
      </c>
      <c r="G1262" s="1">
        <v>24990000</v>
      </c>
      <c r="H1262" s="1">
        <v>20500000</v>
      </c>
    </row>
    <row r="1263" spans="1:8" ht="13.5" customHeight="1" x14ac:dyDescent="0.3">
      <c r="A1263" s="1" t="s">
        <v>229</v>
      </c>
      <c r="B1263" s="1" t="s">
        <v>229</v>
      </c>
      <c r="C1263" s="1" t="s">
        <v>4996</v>
      </c>
      <c r="D1263" s="1">
        <v>2021</v>
      </c>
      <c r="E1263" s="1" t="str">
        <f t="shared" si="4"/>
        <v>MAZDANEW CX 9 GTX 4X4 2.5 AUT2021</v>
      </c>
      <c r="F1263" s="1" t="s">
        <v>737</v>
      </c>
      <c r="G1263" s="1">
        <v>25490000</v>
      </c>
      <c r="H1263" s="1">
        <v>21500000</v>
      </c>
    </row>
    <row r="1264" spans="1:8" ht="13.5" customHeight="1" x14ac:dyDescent="0.3">
      <c r="A1264" s="1" t="s">
        <v>229</v>
      </c>
      <c r="B1264" s="1" t="s">
        <v>229</v>
      </c>
      <c r="C1264" s="1" t="s">
        <v>4996</v>
      </c>
      <c r="D1264" s="1">
        <v>2023</v>
      </c>
      <c r="E1264" s="1" t="str">
        <f t="shared" si="4"/>
        <v>MAZDANEW CX 9 GTX 4X4 2.5 AUT2023</v>
      </c>
      <c r="F1264" s="1" t="s">
        <v>728</v>
      </c>
      <c r="G1264" s="1">
        <v>28490000</v>
      </c>
      <c r="H1264" s="1">
        <v>27500000</v>
      </c>
    </row>
    <row r="1265" spans="1:8" ht="13.5" customHeight="1" x14ac:dyDescent="0.3">
      <c r="A1265" s="1" t="s">
        <v>229</v>
      </c>
      <c r="B1265" s="1" t="s">
        <v>229</v>
      </c>
      <c r="C1265" s="1" t="s">
        <v>4997</v>
      </c>
      <c r="D1265" s="1">
        <v>2021</v>
      </c>
      <c r="E1265" s="1" t="str">
        <f t="shared" si="4"/>
        <v>MAZDANEW CX3 2.02021</v>
      </c>
      <c r="F1265" s="1" t="s">
        <v>1828</v>
      </c>
      <c r="G1265" s="1">
        <v>11690000</v>
      </c>
      <c r="H1265" s="1">
        <v>9500000</v>
      </c>
    </row>
    <row r="1266" spans="1:8" ht="13.5" customHeight="1" x14ac:dyDescent="0.3">
      <c r="A1266" s="1" t="s">
        <v>229</v>
      </c>
      <c r="B1266" s="1" t="s">
        <v>229</v>
      </c>
      <c r="C1266" s="1" t="s">
        <v>4998</v>
      </c>
      <c r="D1266" s="1">
        <v>2017</v>
      </c>
      <c r="E1266" s="1" t="str">
        <f t="shared" si="4"/>
        <v>MAZDANEW CX5 GT 4X4 2.2 AUT2017</v>
      </c>
      <c r="F1266" s="1" t="s">
        <v>1287</v>
      </c>
      <c r="G1266" s="1">
        <v>12390000</v>
      </c>
      <c r="H1266" s="1">
        <v>10500000</v>
      </c>
    </row>
    <row r="1267" spans="1:8" ht="13.5" customHeight="1" x14ac:dyDescent="0.3">
      <c r="A1267" s="1" t="s">
        <v>229</v>
      </c>
      <c r="B1267" s="1" t="s">
        <v>4999</v>
      </c>
      <c r="C1267" s="1" t="s">
        <v>5000</v>
      </c>
      <c r="D1267" s="1">
        <v>2020</v>
      </c>
      <c r="E1267" s="1" t="str">
        <f t="shared" si="4"/>
        <v>NEW CX 5NEW CX 5 4X4 2.0 AUT2020</v>
      </c>
      <c r="F1267" s="1" t="s">
        <v>938</v>
      </c>
      <c r="G1267" s="1">
        <v>16660000</v>
      </c>
      <c r="H1267" s="1">
        <v>14200000</v>
      </c>
    </row>
    <row r="1268" spans="1:8" ht="13.5" customHeight="1" x14ac:dyDescent="0.3">
      <c r="A1268" s="1" t="s">
        <v>229</v>
      </c>
      <c r="B1268" s="1" t="s">
        <v>4999</v>
      </c>
      <c r="C1268" s="1" t="s">
        <v>5001</v>
      </c>
      <c r="D1268" s="1">
        <v>2021</v>
      </c>
      <c r="E1268" s="1" t="str">
        <f t="shared" si="4"/>
        <v>NEW CX 5NEW CX 5 R 2.0 AT2021</v>
      </c>
      <c r="F1268" s="1" t="s">
        <v>882</v>
      </c>
      <c r="G1268" s="1">
        <v>17490000</v>
      </c>
      <c r="H1268" s="1">
        <v>15000000</v>
      </c>
    </row>
    <row r="1269" spans="1:8" ht="13.5" customHeight="1" x14ac:dyDescent="0.3">
      <c r="A1269" s="1" t="s">
        <v>3433</v>
      </c>
      <c r="B1269" s="1" t="s">
        <v>3433</v>
      </c>
      <c r="C1269" s="1" t="s">
        <v>5002</v>
      </c>
      <c r="D1269" s="1">
        <v>2019</v>
      </c>
      <c r="E1269" s="1" t="str">
        <f t="shared" si="4"/>
        <v>MERCEDES BENZA200 HATCH BACK 1.3 AUT2019</v>
      </c>
      <c r="F1269" s="1" t="s">
        <v>1356</v>
      </c>
      <c r="G1269" s="1">
        <v>18990000</v>
      </c>
      <c r="H1269" s="1">
        <v>15500000</v>
      </c>
    </row>
    <row r="1270" spans="1:8" ht="13.5" customHeight="1" x14ac:dyDescent="0.3">
      <c r="A1270" s="1" t="s">
        <v>3433</v>
      </c>
      <c r="B1270" s="1" t="s">
        <v>3433</v>
      </c>
      <c r="C1270" s="1" t="s">
        <v>5003</v>
      </c>
      <c r="D1270" s="1">
        <v>2013</v>
      </c>
      <c r="E1270" s="1" t="str">
        <f t="shared" si="4"/>
        <v>MERCEDES BENZE200 COUPE2013</v>
      </c>
      <c r="F1270" s="1" t="s">
        <v>5004</v>
      </c>
      <c r="G1270" s="1">
        <v>11000000</v>
      </c>
      <c r="H1270" s="1">
        <v>13764030</v>
      </c>
    </row>
    <row r="1271" spans="1:8" ht="13.5" customHeight="1" x14ac:dyDescent="0.3">
      <c r="A1271" s="1" t="s">
        <v>3433</v>
      </c>
      <c r="B1271" s="1" t="s">
        <v>3433</v>
      </c>
      <c r="C1271" s="1" t="s">
        <v>5005</v>
      </c>
      <c r="D1271" s="1">
        <v>2022</v>
      </c>
      <c r="E1271" s="1" t="str">
        <f t="shared" si="4"/>
        <v>MERCEDES BENZGLC 220D COUPE 4X4 1.92022</v>
      </c>
      <c r="F1271" s="1" t="s">
        <v>1879</v>
      </c>
      <c r="G1271" s="1">
        <v>35990000</v>
      </c>
      <c r="H1271" s="1">
        <v>30000000</v>
      </c>
    </row>
    <row r="1272" spans="1:8" ht="13.5" customHeight="1" x14ac:dyDescent="0.3">
      <c r="A1272" s="1" t="s">
        <v>2945</v>
      </c>
      <c r="B1272" s="1" t="s">
        <v>2945</v>
      </c>
      <c r="C1272" s="1" t="s">
        <v>5006</v>
      </c>
      <c r="D1272" s="1">
        <v>2018</v>
      </c>
      <c r="E1272" s="1" t="str">
        <f t="shared" si="4"/>
        <v>MG3 1.52018</v>
      </c>
      <c r="F1272" s="1" t="s">
        <v>1500</v>
      </c>
      <c r="G1272" s="1">
        <v>5990000</v>
      </c>
      <c r="H1272" s="1">
        <v>4200000</v>
      </c>
    </row>
    <row r="1273" spans="1:8" ht="13.5" customHeight="1" x14ac:dyDescent="0.3">
      <c r="A1273" s="1" t="s">
        <v>2945</v>
      </c>
      <c r="B1273" s="1" t="s">
        <v>2945</v>
      </c>
      <c r="C1273" s="1" t="s">
        <v>5006</v>
      </c>
      <c r="D1273" s="1">
        <v>2020</v>
      </c>
      <c r="E1273" s="1" t="str">
        <f t="shared" si="4"/>
        <v>MG3 1.52020</v>
      </c>
      <c r="F1273" s="1" t="s">
        <v>1397</v>
      </c>
      <c r="G1273" s="1">
        <v>6590000</v>
      </c>
      <c r="H1273" s="1">
        <v>5000000</v>
      </c>
    </row>
    <row r="1274" spans="1:8" ht="13.5" customHeight="1" x14ac:dyDescent="0.3">
      <c r="A1274" s="1" t="s">
        <v>2945</v>
      </c>
      <c r="B1274" s="1" t="s">
        <v>2945</v>
      </c>
      <c r="C1274" s="1" t="s">
        <v>5006</v>
      </c>
      <c r="D1274" s="1">
        <v>2021</v>
      </c>
      <c r="E1274" s="1" t="str">
        <f t="shared" si="4"/>
        <v>MG3 1.52021</v>
      </c>
      <c r="F1274" s="1" t="s">
        <v>2233</v>
      </c>
      <c r="G1274" s="1">
        <v>6990000</v>
      </c>
      <c r="H1274" s="1">
        <v>5700000</v>
      </c>
    </row>
    <row r="1275" spans="1:8" ht="13.5" customHeight="1" x14ac:dyDescent="0.3">
      <c r="A1275" s="1" t="s">
        <v>2945</v>
      </c>
      <c r="B1275" s="1" t="s">
        <v>2945</v>
      </c>
      <c r="C1275" s="1" t="s">
        <v>5007</v>
      </c>
      <c r="D1275" s="1">
        <v>2013</v>
      </c>
      <c r="E1275" s="1" t="str">
        <f t="shared" si="4"/>
        <v>MG350 1.52013</v>
      </c>
      <c r="F1275" s="1" t="s">
        <v>5008</v>
      </c>
      <c r="G1275" s="1">
        <v>3990000</v>
      </c>
      <c r="H1275" s="1">
        <v>5500000</v>
      </c>
    </row>
    <row r="1276" spans="1:8" ht="13.5" customHeight="1" x14ac:dyDescent="0.3">
      <c r="A1276" s="1" t="s">
        <v>2945</v>
      </c>
      <c r="B1276" s="1" t="s">
        <v>5009</v>
      </c>
      <c r="C1276" s="1" t="s">
        <v>5010</v>
      </c>
      <c r="D1276" s="1">
        <v>2023</v>
      </c>
      <c r="E1276" s="1" t="str">
        <f t="shared" si="4"/>
        <v>MG33 1.5 AT2023</v>
      </c>
      <c r="F1276" s="1" t="s">
        <v>466</v>
      </c>
      <c r="G1276" s="1">
        <v>7990000</v>
      </c>
      <c r="H1276" s="1">
        <v>6600000</v>
      </c>
    </row>
    <row r="1277" spans="1:8" ht="13.5" customHeight="1" x14ac:dyDescent="0.3">
      <c r="A1277" s="1" t="s">
        <v>2945</v>
      </c>
      <c r="B1277" s="1" t="s">
        <v>5009</v>
      </c>
      <c r="C1277" s="1" t="s">
        <v>5011</v>
      </c>
      <c r="D1277" s="1">
        <v>2022</v>
      </c>
      <c r="E1277" s="1" t="str">
        <f t="shared" si="4"/>
        <v>MG33 1.5 AUT2022</v>
      </c>
      <c r="F1277" s="1" t="s">
        <v>636</v>
      </c>
      <c r="G1277" s="1">
        <v>7290000</v>
      </c>
      <c r="H1277" s="1">
        <v>5700000</v>
      </c>
    </row>
    <row r="1278" spans="1:8" ht="13.5" customHeight="1" x14ac:dyDescent="0.3">
      <c r="A1278" s="1" t="s">
        <v>2945</v>
      </c>
      <c r="B1278" s="1" t="s">
        <v>5009</v>
      </c>
      <c r="C1278" s="1" t="s">
        <v>5012</v>
      </c>
      <c r="D1278" s="1">
        <v>2021</v>
      </c>
      <c r="E1278" s="1" t="str">
        <f t="shared" ref="E1278:E1532" si="5">CONCATENATE(B1278,C1278,D1278)</f>
        <v>MG33 HATCH BACK 1.52021</v>
      </c>
      <c r="F1278" s="1" t="s">
        <v>622</v>
      </c>
      <c r="G1278" s="1">
        <v>5990000</v>
      </c>
      <c r="H1278" s="1">
        <v>3500000</v>
      </c>
    </row>
    <row r="1279" spans="1:8" ht="13.5" customHeight="1" x14ac:dyDescent="0.3">
      <c r="A1279" s="1" t="s">
        <v>2945</v>
      </c>
      <c r="B1279" s="1" t="s">
        <v>5009</v>
      </c>
      <c r="C1279" s="1" t="s">
        <v>5012</v>
      </c>
      <c r="D1279" s="1">
        <v>2022</v>
      </c>
      <c r="E1279" s="1" t="str">
        <f t="shared" si="5"/>
        <v>MG33 HATCH BACK 1.52022</v>
      </c>
      <c r="F1279" s="1" t="s">
        <v>931</v>
      </c>
      <c r="G1279" s="1">
        <v>7690000</v>
      </c>
      <c r="H1279" s="1">
        <v>6300000</v>
      </c>
    </row>
    <row r="1280" spans="1:8" ht="13.5" customHeight="1" x14ac:dyDescent="0.3">
      <c r="A1280" s="1" t="s">
        <v>2945</v>
      </c>
      <c r="B1280" s="1" t="s">
        <v>5009</v>
      </c>
      <c r="C1280" s="1" t="s">
        <v>5012</v>
      </c>
      <c r="D1280" s="1">
        <v>2022</v>
      </c>
      <c r="E1280" s="1" t="str">
        <f t="shared" si="5"/>
        <v>MG33 HATCH BACK 1.52022</v>
      </c>
      <c r="F1280" s="1" t="s">
        <v>2452</v>
      </c>
      <c r="G1280" s="1">
        <v>9990000</v>
      </c>
      <c r="H1280" s="1">
        <v>7100000</v>
      </c>
    </row>
    <row r="1281" spans="1:8" ht="13.5" customHeight="1" x14ac:dyDescent="0.3">
      <c r="A1281" s="1" t="s">
        <v>2945</v>
      </c>
      <c r="B1281" s="1" t="s">
        <v>5009</v>
      </c>
      <c r="C1281" s="1" t="s">
        <v>5012</v>
      </c>
      <c r="D1281" s="1">
        <v>2022</v>
      </c>
      <c r="E1281" s="1" t="str">
        <f t="shared" si="5"/>
        <v>MG33 HATCH BACK 1.52022</v>
      </c>
      <c r="F1281" s="1" t="s">
        <v>620</v>
      </c>
      <c r="G1281" s="1">
        <v>6710620</v>
      </c>
      <c r="H1281" s="1">
        <v>5200000</v>
      </c>
    </row>
    <row r="1282" spans="1:8" ht="13.5" customHeight="1" x14ac:dyDescent="0.3">
      <c r="A1282" s="1" t="s">
        <v>2945</v>
      </c>
      <c r="B1282" s="1" t="s">
        <v>5009</v>
      </c>
      <c r="C1282" s="1" t="s">
        <v>5012</v>
      </c>
      <c r="D1282" s="1">
        <v>2022</v>
      </c>
      <c r="E1282" s="1" t="str">
        <f t="shared" si="5"/>
        <v>MG33 HATCH BACK 1.52022</v>
      </c>
      <c r="F1282" s="1" t="s">
        <v>935</v>
      </c>
      <c r="G1282" s="1">
        <v>7490000</v>
      </c>
      <c r="H1282" s="1">
        <v>6000000</v>
      </c>
    </row>
    <row r="1283" spans="1:8" ht="13.5" customHeight="1" x14ac:dyDescent="0.3">
      <c r="A1283" s="1" t="s">
        <v>2945</v>
      </c>
      <c r="B1283" s="1" t="s">
        <v>5009</v>
      </c>
      <c r="C1283" s="1" t="s">
        <v>5012</v>
      </c>
      <c r="D1283" s="1">
        <v>2022</v>
      </c>
      <c r="E1283" s="1" t="str">
        <f t="shared" si="5"/>
        <v>MG33 HATCH BACK 1.52022</v>
      </c>
      <c r="F1283" s="1" t="s">
        <v>952</v>
      </c>
      <c r="G1283" s="1">
        <v>7390000</v>
      </c>
      <c r="H1283" s="1">
        <v>6200000</v>
      </c>
    </row>
    <row r="1284" spans="1:8" ht="13.5" customHeight="1" x14ac:dyDescent="0.3">
      <c r="A1284" s="1" t="s">
        <v>2945</v>
      </c>
      <c r="B1284" s="1" t="s">
        <v>5009</v>
      </c>
      <c r="C1284" s="1" t="s">
        <v>5013</v>
      </c>
      <c r="D1284" s="1">
        <v>2021</v>
      </c>
      <c r="E1284" s="1" t="str">
        <f t="shared" si="5"/>
        <v>MG33 HATCH BACK 1.5 AUT2021</v>
      </c>
      <c r="F1284" s="1" t="s">
        <v>1070</v>
      </c>
      <c r="G1284" s="1">
        <v>7590000</v>
      </c>
      <c r="H1284" s="1">
        <v>5800000</v>
      </c>
    </row>
    <row r="1285" spans="1:8" ht="13.5" customHeight="1" x14ac:dyDescent="0.3">
      <c r="A1285" s="1" t="s">
        <v>2945</v>
      </c>
      <c r="B1285" s="1" t="s">
        <v>5009</v>
      </c>
      <c r="C1285" s="1" t="s">
        <v>5013</v>
      </c>
      <c r="D1285" s="1">
        <v>2023</v>
      </c>
      <c r="E1285" s="1" t="str">
        <f t="shared" si="5"/>
        <v>MG33 HATCH BACK 1.5 AUT2023</v>
      </c>
      <c r="F1285" s="1" t="s">
        <v>509</v>
      </c>
      <c r="G1285" s="1">
        <v>8390000</v>
      </c>
      <c r="H1285" s="1">
        <v>6500000</v>
      </c>
    </row>
    <row r="1286" spans="1:8" ht="13.5" customHeight="1" x14ac:dyDescent="0.3">
      <c r="A1286" s="1" t="s">
        <v>2945</v>
      </c>
      <c r="B1286" s="1" t="s">
        <v>5009</v>
      </c>
      <c r="C1286" s="1" t="s">
        <v>5014</v>
      </c>
      <c r="D1286" s="1">
        <v>2019</v>
      </c>
      <c r="E1286" s="1" t="str">
        <f t="shared" si="5"/>
        <v>MG3NEW 3 1.52019</v>
      </c>
      <c r="F1286" s="1" t="s">
        <v>2292</v>
      </c>
      <c r="G1286" s="1">
        <v>6590000</v>
      </c>
      <c r="H1286" s="1">
        <v>5300000</v>
      </c>
    </row>
    <row r="1287" spans="1:8" ht="13.5" customHeight="1" x14ac:dyDescent="0.3">
      <c r="A1287" s="1" t="s">
        <v>2945</v>
      </c>
      <c r="B1287" s="1" t="s">
        <v>5009</v>
      </c>
      <c r="C1287" s="1" t="s">
        <v>5015</v>
      </c>
      <c r="D1287" s="1">
        <v>2020</v>
      </c>
      <c r="E1287" s="1" t="str">
        <f t="shared" si="5"/>
        <v>MG3NEW 3 1.5 AUT2020</v>
      </c>
      <c r="F1287" s="1" t="s">
        <v>1131</v>
      </c>
      <c r="G1287" s="1">
        <v>7390000</v>
      </c>
      <c r="H1287" s="1">
        <v>6000000</v>
      </c>
    </row>
    <row r="1288" spans="1:8" ht="13.5" customHeight="1" x14ac:dyDescent="0.3">
      <c r="A1288" s="1" t="s">
        <v>2945</v>
      </c>
      <c r="B1288" s="1" t="s">
        <v>5016</v>
      </c>
      <c r="C1288" s="1" t="s">
        <v>5017</v>
      </c>
      <c r="D1288" s="1">
        <v>2023</v>
      </c>
      <c r="E1288" s="1" t="str">
        <f t="shared" si="5"/>
        <v>MGGTGT 1.52023</v>
      </c>
      <c r="F1288" s="1" t="s">
        <v>618</v>
      </c>
      <c r="G1288" s="1">
        <v>9990000</v>
      </c>
      <c r="H1288" s="1">
        <v>8400000</v>
      </c>
    </row>
    <row r="1289" spans="1:8" ht="13.5" customHeight="1" x14ac:dyDescent="0.3">
      <c r="A1289" s="1" t="s">
        <v>2945</v>
      </c>
      <c r="B1289" s="1" t="s">
        <v>5016</v>
      </c>
      <c r="C1289" s="1" t="s">
        <v>5018</v>
      </c>
      <c r="D1289" s="1">
        <v>2023</v>
      </c>
      <c r="E1289" s="1" t="str">
        <f t="shared" si="5"/>
        <v>MGGTGT SEDAN 1.52023</v>
      </c>
      <c r="F1289" s="1" t="s">
        <v>921</v>
      </c>
      <c r="G1289" s="1">
        <v>10790000</v>
      </c>
      <c r="H1289" s="1">
        <v>8800000</v>
      </c>
    </row>
    <row r="1290" spans="1:8" ht="13.5" customHeight="1" x14ac:dyDescent="0.3">
      <c r="A1290" s="1" t="s">
        <v>2945</v>
      </c>
      <c r="B1290" s="1" t="s">
        <v>5019</v>
      </c>
      <c r="C1290" s="1" t="s">
        <v>5020</v>
      </c>
      <c r="D1290" s="1">
        <v>2021</v>
      </c>
      <c r="E1290" s="1" t="str">
        <f t="shared" si="5"/>
        <v>MGHSHS 2.0T DCT TROPHY AWD2021</v>
      </c>
      <c r="F1290" s="1" t="s">
        <v>518</v>
      </c>
      <c r="G1290" s="1">
        <v>10690000</v>
      </c>
      <c r="H1290" s="1">
        <v>8800000</v>
      </c>
    </row>
    <row r="1291" spans="1:8" ht="13.5" customHeight="1" x14ac:dyDescent="0.3">
      <c r="A1291" s="1" t="s">
        <v>2945</v>
      </c>
      <c r="B1291" s="1" t="s">
        <v>5019</v>
      </c>
      <c r="C1291" s="1" t="s">
        <v>5021</v>
      </c>
      <c r="D1291" s="1">
        <v>2022</v>
      </c>
      <c r="E1291" s="1" t="str">
        <f t="shared" si="5"/>
        <v>MGHSHS DCT 4X4 2.0 AUT2022</v>
      </c>
      <c r="F1291" s="1" t="s">
        <v>619</v>
      </c>
      <c r="G1291" s="1">
        <v>10324830</v>
      </c>
      <c r="H1291" s="1">
        <v>8900000</v>
      </c>
    </row>
    <row r="1292" spans="1:8" ht="13.5" customHeight="1" x14ac:dyDescent="0.3">
      <c r="A1292" s="1" t="s">
        <v>2945</v>
      </c>
      <c r="B1292" s="1" t="s">
        <v>5022</v>
      </c>
      <c r="C1292" s="1" t="s">
        <v>5023</v>
      </c>
      <c r="D1292" s="1">
        <v>2019</v>
      </c>
      <c r="E1292" s="1" t="str">
        <f t="shared" si="5"/>
        <v>MGRX5RX5 1.52019</v>
      </c>
      <c r="F1292" s="1" t="s">
        <v>3019</v>
      </c>
      <c r="G1292" s="1">
        <v>7900000</v>
      </c>
      <c r="H1292" s="1">
        <v>7290000</v>
      </c>
    </row>
    <row r="1293" spans="1:8" ht="13.5" customHeight="1" x14ac:dyDescent="0.3">
      <c r="A1293" s="1" t="s">
        <v>2945</v>
      </c>
      <c r="B1293" s="1" t="s">
        <v>5022</v>
      </c>
      <c r="C1293" s="1" t="s">
        <v>5024</v>
      </c>
      <c r="D1293" s="1">
        <v>2021</v>
      </c>
      <c r="E1293" s="1" t="str">
        <f t="shared" si="5"/>
        <v>MGRX5RX5 1.5 AT2021</v>
      </c>
      <c r="F1293" s="1" t="s">
        <v>1585</v>
      </c>
      <c r="G1293" s="1">
        <v>11590000</v>
      </c>
      <c r="H1293" s="1">
        <v>8378992</v>
      </c>
    </row>
    <row r="1294" spans="1:8" ht="13.5" customHeight="1" x14ac:dyDescent="0.3">
      <c r="A1294" s="1" t="s">
        <v>2945</v>
      </c>
      <c r="B1294" s="1" t="s">
        <v>5025</v>
      </c>
      <c r="C1294" s="1" t="s">
        <v>5026</v>
      </c>
      <c r="D1294" s="1">
        <v>2018</v>
      </c>
      <c r="E1294" s="1" t="str">
        <f t="shared" si="5"/>
        <v>MGZSZS 1.52018</v>
      </c>
      <c r="F1294" s="1" t="s">
        <v>2314</v>
      </c>
      <c r="G1294" s="1">
        <v>8990000</v>
      </c>
      <c r="H1294" s="1">
        <v>7000000</v>
      </c>
    </row>
    <row r="1295" spans="1:8" ht="13.5" customHeight="1" x14ac:dyDescent="0.3">
      <c r="A1295" s="1" t="s">
        <v>2945</v>
      </c>
      <c r="B1295" s="1" t="s">
        <v>5025</v>
      </c>
      <c r="C1295" s="1" t="s">
        <v>5026</v>
      </c>
      <c r="D1295" s="1">
        <v>2019</v>
      </c>
      <c r="E1295" s="1" t="str">
        <f t="shared" si="5"/>
        <v>MGZSZS 1.52019</v>
      </c>
      <c r="F1295" s="1" t="s">
        <v>2247</v>
      </c>
      <c r="G1295" s="1">
        <v>8240000</v>
      </c>
      <c r="H1295" s="1">
        <v>7000000</v>
      </c>
    </row>
    <row r="1296" spans="1:8" ht="13.5" customHeight="1" x14ac:dyDescent="0.3">
      <c r="A1296" s="1" t="s">
        <v>2945</v>
      </c>
      <c r="B1296" s="1" t="s">
        <v>5025</v>
      </c>
      <c r="C1296" s="1" t="s">
        <v>5026</v>
      </c>
      <c r="D1296" s="1">
        <v>2020</v>
      </c>
      <c r="E1296" s="1" t="str">
        <f t="shared" si="5"/>
        <v>MGZSZS 1.52020</v>
      </c>
      <c r="F1296" s="1" t="s">
        <v>1926</v>
      </c>
      <c r="G1296" s="1">
        <v>8290000</v>
      </c>
      <c r="H1296" s="1">
        <v>6800000</v>
      </c>
    </row>
    <row r="1297" spans="1:8" ht="13.5" customHeight="1" x14ac:dyDescent="0.3">
      <c r="A1297" s="1" t="s">
        <v>2945</v>
      </c>
      <c r="B1297" s="1" t="s">
        <v>5025</v>
      </c>
      <c r="C1297" s="1" t="s">
        <v>5026</v>
      </c>
      <c r="D1297" s="1">
        <v>2020</v>
      </c>
      <c r="E1297" s="1" t="str">
        <f t="shared" si="5"/>
        <v>MGZSZS 1.52020</v>
      </c>
      <c r="F1297" s="1" t="s">
        <v>1332</v>
      </c>
      <c r="G1297" s="1">
        <v>6990000</v>
      </c>
      <c r="H1297" s="1">
        <v>5800000</v>
      </c>
    </row>
    <row r="1298" spans="1:8" ht="13.5" customHeight="1" x14ac:dyDescent="0.3">
      <c r="A1298" s="1" t="s">
        <v>2945</v>
      </c>
      <c r="B1298" s="1" t="s">
        <v>5025</v>
      </c>
      <c r="C1298" s="1" t="s">
        <v>5026</v>
      </c>
      <c r="D1298" s="1">
        <v>2020</v>
      </c>
      <c r="E1298" s="1" t="str">
        <f t="shared" si="5"/>
        <v>MGZSZS 1.52020</v>
      </c>
      <c r="F1298" s="1" t="s">
        <v>1406</v>
      </c>
      <c r="G1298" s="1">
        <v>8990000</v>
      </c>
      <c r="H1298" s="1">
        <v>6000000</v>
      </c>
    </row>
    <row r="1299" spans="1:8" ht="13.5" customHeight="1" x14ac:dyDescent="0.3">
      <c r="A1299" s="1" t="s">
        <v>2945</v>
      </c>
      <c r="B1299" s="1" t="s">
        <v>5025</v>
      </c>
      <c r="C1299" s="1" t="s">
        <v>5026</v>
      </c>
      <c r="D1299" s="1">
        <v>2020</v>
      </c>
      <c r="E1299" s="1" t="str">
        <f t="shared" si="5"/>
        <v>MGZSZS 1.52020</v>
      </c>
      <c r="F1299" s="1" t="s">
        <v>2369</v>
      </c>
      <c r="G1299" s="1">
        <v>9990000</v>
      </c>
      <c r="H1299" s="1">
        <v>8000000</v>
      </c>
    </row>
    <row r="1300" spans="1:8" ht="13.5" customHeight="1" x14ac:dyDescent="0.3">
      <c r="A1300" s="1" t="s">
        <v>2945</v>
      </c>
      <c r="B1300" s="1" t="s">
        <v>5025</v>
      </c>
      <c r="C1300" s="1" t="s">
        <v>5026</v>
      </c>
      <c r="D1300" s="1">
        <v>2020</v>
      </c>
      <c r="E1300" s="1" t="str">
        <f t="shared" si="5"/>
        <v>MGZSZS 1.52020</v>
      </c>
      <c r="F1300" s="1" t="s">
        <v>1655</v>
      </c>
      <c r="G1300" s="1">
        <v>7990000</v>
      </c>
      <c r="H1300" s="1">
        <v>5500000</v>
      </c>
    </row>
    <row r="1301" spans="1:8" ht="13.5" customHeight="1" x14ac:dyDescent="0.3">
      <c r="A1301" s="1" t="s">
        <v>2945</v>
      </c>
      <c r="B1301" s="1" t="s">
        <v>5025</v>
      </c>
      <c r="C1301" s="1" t="s">
        <v>5026</v>
      </c>
      <c r="D1301" s="1">
        <v>2021</v>
      </c>
      <c r="E1301" s="1" t="str">
        <f t="shared" si="5"/>
        <v>MGZSZS 1.52021</v>
      </c>
      <c r="F1301" s="1" t="s">
        <v>998</v>
      </c>
      <c r="G1301" s="1">
        <v>7590000</v>
      </c>
      <c r="H1301" s="1">
        <v>5300000</v>
      </c>
    </row>
    <row r="1302" spans="1:8" ht="13.5" customHeight="1" x14ac:dyDescent="0.3">
      <c r="A1302" s="1" t="s">
        <v>2945</v>
      </c>
      <c r="B1302" s="1" t="s">
        <v>5025</v>
      </c>
      <c r="C1302" s="1" t="s">
        <v>5026</v>
      </c>
      <c r="D1302" s="1">
        <v>2021</v>
      </c>
      <c r="E1302" s="1" t="str">
        <f t="shared" si="5"/>
        <v>MGZSZS 1.52021</v>
      </c>
      <c r="F1302" s="1" t="s">
        <v>499</v>
      </c>
      <c r="G1302" s="1">
        <v>7890000</v>
      </c>
      <c r="H1302" s="1">
        <v>6600000</v>
      </c>
    </row>
    <row r="1303" spans="1:8" ht="13.5" customHeight="1" x14ac:dyDescent="0.3">
      <c r="A1303" s="1" t="s">
        <v>2945</v>
      </c>
      <c r="B1303" s="1" t="s">
        <v>5025</v>
      </c>
      <c r="C1303" s="1" t="s">
        <v>5027</v>
      </c>
      <c r="D1303" s="1">
        <v>2021</v>
      </c>
      <c r="E1303" s="1" t="str">
        <f t="shared" si="5"/>
        <v>MGZSZS 1.5 AT2021</v>
      </c>
      <c r="F1303" s="1" t="s">
        <v>1534</v>
      </c>
      <c r="G1303" s="1">
        <v>9990000</v>
      </c>
      <c r="H1303" s="1">
        <v>7000000</v>
      </c>
    </row>
    <row r="1304" spans="1:8" ht="13.5" customHeight="1" x14ac:dyDescent="0.3">
      <c r="A1304" s="1" t="s">
        <v>2945</v>
      </c>
      <c r="B1304" s="1" t="s">
        <v>5025</v>
      </c>
      <c r="C1304" s="1" t="s">
        <v>5027</v>
      </c>
      <c r="D1304" s="1">
        <v>2021</v>
      </c>
      <c r="E1304" s="1" t="str">
        <f t="shared" si="5"/>
        <v>MGZSZS 1.5 AT2021</v>
      </c>
      <c r="F1304" s="1" t="s">
        <v>414</v>
      </c>
      <c r="G1304" s="1">
        <v>8490000</v>
      </c>
      <c r="H1304" s="1">
        <v>6700000</v>
      </c>
    </row>
    <row r="1305" spans="1:8" ht="13.5" customHeight="1" x14ac:dyDescent="0.3">
      <c r="A1305" s="1" t="s">
        <v>2945</v>
      </c>
      <c r="B1305" s="1" t="s">
        <v>5025</v>
      </c>
      <c r="C1305" s="1" t="s">
        <v>5027</v>
      </c>
      <c r="D1305" s="1">
        <v>2023</v>
      </c>
      <c r="E1305" s="1" t="str">
        <f t="shared" si="5"/>
        <v>MGZSZS 1.5 AT2023</v>
      </c>
      <c r="F1305" s="1" t="s">
        <v>928</v>
      </c>
      <c r="G1305" s="1">
        <v>10190000</v>
      </c>
      <c r="H1305" s="1">
        <v>8500000</v>
      </c>
    </row>
    <row r="1306" spans="1:8" ht="13.5" customHeight="1" x14ac:dyDescent="0.3">
      <c r="A1306" s="1" t="s">
        <v>2945</v>
      </c>
      <c r="B1306" s="1" t="s">
        <v>5025</v>
      </c>
      <c r="C1306" s="1" t="s">
        <v>5028</v>
      </c>
      <c r="D1306" s="1">
        <v>2019</v>
      </c>
      <c r="E1306" s="1" t="str">
        <f t="shared" si="5"/>
        <v>MGZSZS 1.5 AUT2019</v>
      </c>
      <c r="F1306" s="1" t="s">
        <v>2190</v>
      </c>
      <c r="G1306" s="1">
        <v>8990000</v>
      </c>
      <c r="H1306" s="1">
        <v>7300000</v>
      </c>
    </row>
    <row r="1307" spans="1:8" ht="13.5" customHeight="1" x14ac:dyDescent="0.3">
      <c r="A1307" s="1" t="s">
        <v>2945</v>
      </c>
      <c r="B1307" s="1" t="s">
        <v>5025</v>
      </c>
      <c r="C1307" s="1" t="s">
        <v>5028</v>
      </c>
      <c r="D1307" s="1">
        <v>2020</v>
      </c>
      <c r="E1307" s="1" t="str">
        <f t="shared" si="5"/>
        <v>MGZSZS 1.5 AUT2020</v>
      </c>
      <c r="F1307" s="1" t="s">
        <v>2290</v>
      </c>
      <c r="G1307" s="1">
        <v>9490000</v>
      </c>
      <c r="H1307" s="1">
        <v>8000000</v>
      </c>
    </row>
    <row r="1308" spans="1:8" ht="13.5" customHeight="1" x14ac:dyDescent="0.3">
      <c r="A1308" s="1" t="s">
        <v>2945</v>
      </c>
      <c r="B1308" s="1" t="s">
        <v>5025</v>
      </c>
      <c r="C1308" s="1" t="s">
        <v>5028</v>
      </c>
      <c r="D1308" s="1">
        <v>2020</v>
      </c>
      <c r="E1308" s="1" t="str">
        <f t="shared" si="5"/>
        <v>MGZSZS 1.5 AUT2020</v>
      </c>
      <c r="F1308" s="1" t="s">
        <v>1042</v>
      </c>
      <c r="G1308" s="1">
        <v>8490000</v>
      </c>
      <c r="H1308" s="1">
        <v>6000000</v>
      </c>
    </row>
    <row r="1309" spans="1:8" ht="13.5" customHeight="1" x14ac:dyDescent="0.3">
      <c r="A1309" s="1" t="s">
        <v>2945</v>
      </c>
      <c r="B1309" s="1" t="s">
        <v>5025</v>
      </c>
      <c r="C1309" s="1" t="s">
        <v>5028</v>
      </c>
      <c r="D1309" s="1">
        <v>2020</v>
      </c>
      <c r="E1309" s="1" t="str">
        <f t="shared" si="5"/>
        <v>MGZSZS 1.5 AUT2020</v>
      </c>
      <c r="F1309" s="1" t="s">
        <v>1936</v>
      </c>
      <c r="G1309" s="1">
        <v>9081620</v>
      </c>
      <c r="H1309" s="1">
        <v>7500000</v>
      </c>
    </row>
    <row r="1310" spans="1:8" ht="13.5" customHeight="1" x14ac:dyDescent="0.3">
      <c r="A1310" s="1" t="s">
        <v>2945</v>
      </c>
      <c r="B1310" s="1" t="s">
        <v>5025</v>
      </c>
      <c r="C1310" s="1" t="s">
        <v>5028</v>
      </c>
      <c r="D1310" s="1">
        <v>2020</v>
      </c>
      <c r="E1310" s="1" t="str">
        <f t="shared" si="5"/>
        <v>MGZSZS 1.5 AUT2020</v>
      </c>
      <c r="F1310" s="1" t="s">
        <v>2000</v>
      </c>
      <c r="G1310" s="1">
        <v>9890000</v>
      </c>
      <c r="H1310" s="1">
        <v>8000000</v>
      </c>
    </row>
    <row r="1311" spans="1:8" ht="13.5" customHeight="1" x14ac:dyDescent="0.3">
      <c r="A1311" s="1" t="s">
        <v>2945</v>
      </c>
      <c r="B1311" s="1" t="s">
        <v>5025</v>
      </c>
      <c r="C1311" s="1" t="s">
        <v>5029</v>
      </c>
      <c r="D1311" s="1">
        <v>2019</v>
      </c>
      <c r="E1311" s="1" t="str">
        <f t="shared" si="5"/>
        <v>MGZSZS 5P 1.52019</v>
      </c>
      <c r="F1311" s="1" t="s">
        <v>5030</v>
      </c>
      <c r="G1311" s="1">
        <v>4500000</v>
      </c>
      <c r="H1311" s="1">
        <v>7800000</v>
      </c>
    </row>
    <row r="1312" spans="1:8" ht="13.5" customHeight="1" x14ac:dyDescent="0.3">
      <c r="A1312" s="1" t="s">
        <v>2945</v>
      </c>
      <c r="B1312" s="1" t="s">
        <v>5025</v>
      </c>
      <c r="C1312" s="1" t="s">
        <v>5029</v>
      </c>
      <c r="D1312" s="1">
        <v>2020</v>
      </c>
      <c r="E1312" s="1" t="str">
        <f t="shared" si="5"/>
        <v>MGZSZS 5P 1.52020</v>
      </c>
      <c r="F1312" s="1" t="s">
        <v>545</v>
      </c>
      <c r="G1312" s="1">
        <v>15497120</v>
      </c>
      <c r="H1312" s="1">
        <v>12000000</v>
      </c>
    </row>
    <row r="1313" spans="1:8" ht="13.5" customHeight="1" x14ac:dyDescent="0.3">
      <c r="A1313" s="1" t="s">
        <v>2945</v>
      </c>
      <c r="B1313" s="1" t="s">
        <v>5025</v>
      </c>
      <c r="C1313" s="1" t="s">
        <v>5029</v>
      </c>
      <c r="D1313" s="1">
        <v>2021</v>
      </c>
      <c r="E1313" s="1" t="str">
        <f t="shared" si="5"/>
        <v>MGZSZS 5P 1.52021</v>
      </c>
      <c r="F1313" s="1" t="s">
        <v>2386</v>
      </c>
      <c r="G1313" s="1">
        <v>10790000</v>
      </c>
      <c r="H1313" s="1">
        <v>9200000</v>
      </c>
    </row>
    <row r="1314" spans="1:8" ht="13.5" customHeight="1" x14ac:dyDescent="0.3">
      <c r="A1314" s="1" t="s">
        <v>2945</v>
      </c>
      <c r="B1314" s="1" t="s">
        <v>5025</v>
      </c>
      <c r="C1314" s="1" t="s">
        <v>5029</v>
      </c>
      <c r="D1314" s="1">
        <v>2021</v>
      </c>
      <c r="E1314" s="1" t="str">
        <f t="shared" si="5"/>
        <v>MGZSZS 5P 1.52021</v>
      </c>
      <c r="F1314" s="1" t="s">
        <v>1634</v>
      </c>
      <c r="G1314" s="1">
        <v>8990000</v>
      </c>
      <c r="H1314" s="1">
        <v>7900000</v>
      </c>
    </row>
    <row r="1315" spans="1:8" ht="13.5" customHeight="1" x14ac:dyDescent="0.3">
      <c r="A1315" s="1" t="s">
        <v>2945</v>
      </c>
      <c r="B1315" s="1" t="s">
        <v>5031</v>
      </c>
      <c r="C1315" s="1" t="s">
        <v>5032</v>
      </c>
      <c r="D1315" s="1">
        <v>2021</v>
      </c>
      <c r="E1315" s="1" t="str">
        <f t="shared" si="5"/>
        <v>MGZXZX 1.52021</v>
      </c>
      <c r="F1315" s="1" t="s">
        <v>2531</v>
      </c>
      <c r="G1315" s="1">
        <v>9490000</v>
      </c>
      <c r="H1315" s="1">
        <v>9947899</v>
      </c>
    </row>
    <row r="1316" spans="1:8" ht="13.5" customHeight="1" x14ac:dyDescent="0.3">
      <c r="A1316" s="1" t="s">
        <v>2945</v>
      </c>
      <c r="B1316" s="1" t="s">
        <v>5031</v>
      </c>
      <c r="C1316" s="1" t="s">
        <v>5032</v>
      </c>
      <c r="D1316" s="1">
        <v>2021</v>
      </c>
      <c r="E1316" s="1" t="str">
        <f t="shared" si="5"/>
        <v>MGZXZX 1.52021</v>
      </c>
      <c r="F1316" s="1" t="s">
        <v>370</v>
      </c>
      <c r="G1316" s="1">
        <v>7490000</v>
      </c>
      <c r="H1316" s="1">
        <v>6000000</v>
      </c>
    </row>
    <row r="1317" spans="1:8" ht="13.5" customHeight="1" x14ac:dyDescent="0.3">
      <c r="A1317" s="1" t="s">
        <v>2945</v>
      </c>
      <c r="B1317" s="1" t="s">
        <v>5031</v>
      </c>
      <c r="C1317" s="1" t="s">
        <v>5032</v>
      </c>
      <c r="D1317" s="1">
        <v>2023</v>
      </c>
      <c r="E1317" s="1" t="str">
        <f t="shared" si="5"/>
        <v>MGZXZX 1.52023</v>
      </c>
      <c r="F1317" s="1" t="s">
        <v>686</v>
      </c>
      <c r="G1317" s="1">
        <v>9590000</v>
      </c>
      <c r="H1317" s="1">
        <v>8000000</v>
      </c>
    </row>
    <row r="1318" spans="1:8" ht="13.5" customHeight="1" x14ac:dyDescent="0.3">
      <c r="A1318" s="1" t="s">
        <v>2945</v>
      </c>
      <c r="B1318" s="1" t="s">
        <v>5031</v>
      </c>
      <c r="C1318" s="1" t="s">
        <v>5033</v>
      </c>
      <c r="D1318" s="1">
        <v>2022</v>
      </c>
      <c r="E1318" s="1" t="str">
        <f t="shared" si="5"/>
        <v>MGZXZX CVT 1.5 AUT2022</v>
      </c>
      <c r="F1318" s="1" t="s">
        <v>1438</v>
      </c>
      <c r="G1318" s="1">
        <v>10690000</v>
      </c>
      <c r="H1318" s="1">
        <v>9000000</v>
      </c>
    </row>
    <row r="1319" spans="1:8" ht="13.5" customHeight="1" x14ac:dyDescent="0.3">
      <c r="A1319" s="1" t="s">
        <v>2945</v>
      </c>
      <c r="B1319" s="1" t="s">
        <v>5031</v>
      </c>
      <c r="C1319" s="1" t="s">
        <v>5033</v>
      </c>
      <c r="D1319" s="1">
        <v>2023</v>
      </c>
      <c r="E1319" s="1" t="str">
        <f t="shared" si="5"/>
        <v>MGZXZX CVT 1.5 AUT2023</v>
      </c>
      <c r="F1319" s="1" t="s">
        <v>771</v>
      </c>
      <c r="G1319" s="1">
        <v>10490000</v>
      </c>
      <c r="H1319" s="1">
        <v>9000000</v>
      </c>
    </row>
    <row r="1320" spans="1:8" ht="13.5" customHeight="1" x14ac:dyDescent="0.3">
      <c r="A1320" s="1" t="s">
        <v>236</v>
      </c>
      <c r="B1320" s="1" t="s">
        <v>4199</v>
      </c>
      <c r="C1320" s="1" t="s">
        <v>5034</v>
      </c>
      <c r="D1320" s="1">
        <v>2021</v>
      </c>
      <c r="E1320" s="1" t="str">
        <f t="shared" si="5"/>
        <v>ASXASK 1.62021</v>
      </c>
      <c r="G1320" s="1">
        <v>11390000</v>
      </c>
      <c r="H1320" s="1">
        <v>0</v>
      </c>
    </row>
    <row r="1321" spans="1:8" ht="13.5" customHeight="1" x14ac:dyDescent="0.3">
      <c r="A1321" s="1" t="s">
        <v>236</v>
      </c>
      <c r="B1321" s="1" t="s">
        <v>4199</v>
      </c>
      <c r="C1321" s="1" t="s">
        <v>5034</v>
      </c>
      <c r="D1321" s="1">
        <v>2022</v>
      </c>
      <c r="E1321" s="1" t="str">
        <f t="shared" si="5"/>
        <v>ASXASK 1.62022</v>
      </c>
      <c r="F1321" s="1" t="s">
        <v>2063</v>
      </c>
      <c r="G1321" s="1">
        <v>15000000</v>
      </c>
      <c r="H1321" s="1">
        <v>12000000</v>
      </c>
    </row>
    <row r="1322" spans="1:8" ht="13.5" customHeight="1" x14ac:dyDescent="0.3">
      <c r="A1322" s="1" t="s">
        <v>236</v>
      </c>
      <c r="B1322" s="1" t="s">
        <v>4199</v>
      </c>
      <c r="C1322" s="1" t="s">
        <v>5034</v>
      </c>
      <c r="D1322" s="1">
        <v>2022</v>
      </c>
      <c r="E1322" s="1" t="str">
        <f t="shared" si="5"/>
        <v>ASXASK 1.62022</v>
      </c>
      <c r="F1322" s="1" t="s">
        <v>2606</v>
      </c>
      <c r="G1322" s="1">
        <v>16990000</v>
      </c>
      <c r="H1322" s="1">
        <v>13500000</v>
      </c>
    </row>
    <row r="1323" spans="1:8" ht="13.5" customHeight="1" x14ac:dyDescent="0.3">
      <c r="A1323" s="1" t="s">
        <v>236</v>
      </c>
      <c r="B1323" s="1" t="s">
        <v>4199</v>
      </c>
      <c r="C1323" s="1" t="s">
        <v>5035</v>
      </c>
      <c r="D1323" s="1">
        <v>2019</v>
      </c>
      <c r="E1323" s="1" t="str">
        <f t="shared" si="5"/>
        <v>ASXASX 1.62019</v>
      </c>
      <c r="F1323" s="1" t="s">
        <v>1533</v>
      </c>
      <c r="G1323" s="1">
        <v>9290000</v>
      </c>
      <c r="H1323" s="1">
        <v>6700000</v>
      </c>
    </row>
    <row r="1324" spans="1:8" ht="13.5" customHeight="1" x14ac:dyDescent="0.3">
      <c r="A1324" s="1" t="s">
        <v>236</v>
      </c>
      <c r="B1324" s="1" t="s">
        <v>4199</v>
      </c>
      <c r="C1324" s="1" t="s">
        <v>5035</v>
      </c>
      <c r="D1324" s="1">
        <v>2019</v>
      </c>
      <c r="E1324" s="1" t="str">
        <f t="shared" si="5"/>
        <v>ASXASX 1.62019</v>
      </c>
      <c r="F1324" s="1" t="s">
        <v>2089</v>
      </c>
      <c r="G1324" s="1">
        <v>11090000</v>
      </c>
      <c r="H1324" s="1">
        <v>8200000</v>
      </c>
    </row>
    <row r="1325" spans="1:8" ht="13.5" customHeight="1" x14ac:dyDescent="0.3">
      <c r="A1325" s="1" t="s">
        <v>236</v>
      </c>
      <c r="B1325" s="1" t="s">
        <v>4199</v>
      </c>
      <c r="C1325" s="1" t="s">
        <v>5035</v>
      </c>
      <c r="D1325" s="1">
        <v>2019</v>
      </c>
      <c r="E1325" s="1" t="str">
        <f t="shared" si="5"/>
        <v>ASXASX 1.62019</v>
      </c>
      <c r="F1325" s="1" t="s">
        <v>2070</v>
      </c>
      <c r="G1325" s="1">
        <v>11290000</v>
      </c>
      <c r="H1325" s="1">
        <v>9091597</v>
      </c>
    </row>
    <row r="1326" spans="1:8" ht="13.5" customHeight="1" x14ac:dyDescent="0.3">
      <c r="A1326" s="1" t="s">
        <v>236</v>
      </c>
      <c r="B1326" s="1" t="s">
        <v>4199</v>
      </c>
      <c r="C1326" s="1" t="s">
        <v>5035</v>
      </c>
      <c r="D1326" s="1">
        <v>2021</v>
      </c>
      <c r="E1326" s="1" t="str">
        <f t="shared" si="5"/>
        <v>ASXASX 1.62021</v>
      </c>
      <c r="F1326" s="1" t="s">
        <v>1050</v>
      </c>
      <c r="G1326" s="1">
        <v>11490000</v>
      </c>
      <c r="H1326" s="1">
        <v>8350000</v>
      </c>
    </row>
    <row r="1327" spans="1:8" ht="13.5" customHeight="1" x14ac:dyDescent="0.3">
      <c r="A1327" s="1" t="s">
        <v>236</v>
      </c>
      <c r="B1327" s="1" t="s">
        <v>4199</v>
      </c>
      <c r="C1327" s="1" t="s">
        <v>5035</v>
      </c>
      <c r="D1327" s="1">
        <v>2021</v>
      </c>
      <c r="E1327" s="1" t="str">
        <f t="shared" si="5"/>
        <v>ASXASX 1.62021</v>
      </c>
      <c r="F1327" s="1" t="s">
        <v>674</v>
      </c>
      <c r="G1327" s="1">
        <v>22880000</v>
      </c>
      <c r="H1327" s="1">
        <v>18200000</v>
      </c>
    </row>
    <row r="1328" spans="1:8" ht="13.5" customHeight="1" x14ac:dyDescent="0.3">
      <c r="A1328" s="1" t="s">
        <v>236</v>
      </c>
      <c r="B1328" s="1" t="s">
        <v>4199</v>
      </c>
      <c r="C1328" s="1" t="s">
        <v>5035</v>
      </c>
      <c r="D1328" s="1">
        <v>2021</v>
      </c>
      <c r="E1328" s="1" t="str">
        <f t="shared" si="5"/>
        <v>ASXASX 1.62021</v>
      </c>
      <c r="F1328" s="1" t="s">
        <v>387</v>
      </c>
      <c r="G1328" s="1">
        <v>10990000</v>
      </c>
      <c r="H1328" s="1">
        <v>8700000</v>
      </c>
    </row>
    <row r="1329" spans="1:8" ht="13.5" customHeight="1" x14ac:dyDescent="0.3">
      <c r="A1329" s="1" t="s">
        <v>236</v>
      </c>
      <c r="B1329" s="1" t="s">
        <v>4199</v>
      </c>
      <c r="C1329" s="1" t="s">
        <v>5035</v>
      </c>
      <c r="D1329" s="1">
        <v>2022</v>
      </c>
      <c r="E1329" s="1" t="str">
        <f t="shared" si="5"/>
        <v>ASXASX 1.62022</v>
      </c>
      <c r="F1329" s="1" t="s">
        <v>1328</v>
      </c>
      <c r="G1329" s="1">
        <v>14240000</v>
      </c>
      <c r="H1329" s="1">
        <v>12000000</v>
      </c>
    </row>
    <row r="1330" spans="1:8" ht="13.5" customHeight="1" x14ac:dyDescent="0.3">
      <c r="A1330" s="1" t="s">
        <v>236</v>
      </c>
      <c r="B1330" s="1" t="s">
        <v>4199</v>
      </c>
      <c r="C1330" s="1" t="s">
        <v>5036</v>
      </c>
      <c r="D1330" s="1">
        <v>2022</v>
      </c>
      <c r="E1330" s="1" t="str">
        <f t="shared" si="5"/>
        <v>ASXASX 4X2 2.0 AUT2022</v>
      </c>
      <c r="F1330" s="1" t="s">
        <v>1748</v>
      </c>
      <c r="G1330" s="1">
        <v>15990000</v>
      </c>
      <c r="H1330" s="1">
        <v>13500000</v>
      </c>
    </row>
    <row r="1331" spans="1:8" ht="13.5" customHeight="1" x14ac:dyDescent="0.3">
      <c r="A1331" s="1" t="s">
        <v>236</v>
      </c>
      <c r="B1331" s="1" t="s">
        <v>4199</v>
      </c>
      <c r="C1331" s="1" t="s">
        <v>5037</v>
      </c>
      <c r="D1331" s="1">
        <v>2024</v>
      </c>
      <c r="E1331" s="1" t="str">
        <f t="shared" si="5"/>
        <v>ASXASX GL 4X2 1.62024</v>
      </c>
      <c r="F1331" s="1" t="s">
        <v>580</v>
      </c>
      <c r="G1331" s="1">
        <v>14500000</v>
      </c>
      <c r="H1331" s="1">
        <v>12300000</v>
      </c>
    </row>
    <row r="1332" spans="1:8" ht="13.5" customHeight="1" x14ac:dyDescent="0.3">
      <c r="A1332" s="1" t="s">
        <v>236</v>
      </c>
      <c r="B1332" s="1" t="s">
        <v>5038</v>
      </c>
      <c r="C1332" s="1" t="s">
        <v>5039</v>
      </c>
      <c r="D1332" s="1">
        <v>2021</v>
      </c>
      <c r="E1332" s="1" t="str">
        <f t="shared" si="5"/>
        <v>ECLIPSE CROSS EURO 6CECLIPSE CROSS RS 1.5 AUT2021</v>
      </c>
      <c r="F1332" s="1" t="s">
        <v>1110</v>
      </c>
      <c r="G1332" s="1">
        <v>15990000</v>
      </c>
      <c r="H1332" s="1">
        <v>13300000</v>
      </c>
    </row>
    <row r="1333" spans="1:8" ht="13.5" customHeight="1" x14ac:dyDescent="0.3">
      <c r="A1333" s="1" t="s">
        <v>236</v>
      </c>
      <c r="B1333" s="1" t="s">
        <v>5038</v>
      </c>
      <c r="C1333" s="1" t="s">
        <v>5040</v>
      </c>
      <c r="D1333" s="1">
        <v>2022</v>
      </c>
      <c r="E1333" s="1" t="str">
        <f t="shared" si="5"/>
        <v>ECLIPSE CROSS EURO 6CECLIPSE CROSS RX 1.5 AUT2022</v>
      </c>
      <c r="F1333" s="1" t="s">
        <v>812</v>
      </c>
      <c r="G1333" s="1">
        <v>15000000</v>
      </c>
      <c r="H1333" s="1">
        <v>13000000</v>
      </c>
    </row>
    <row r="1334" spans="1:8" ht="13.5" customHeight="1" x14ac:dyDescent="0.3">
      <c r="A1334" s="1" t="s">
        <v>236</v>
      </c>
      <c r="B1334" s="1" t="s">
        <v>3087</v>
      </c>
      <c r="C1334" s="1" t="s">
        <v>5041</v>
      </c>
      <c r="D1334" s="1">
        <v>2022</v>
      </c>
      <c r="E1334" s="1" t="str">
        <f t="shared" si="5"/>
        <v>L200L200 DAKAR HP 4X4 2.42022</v>
      </c>
      <c r="F1334" s="1" t="s">
        <v>2176</v>
      </c>
      <c r="G1334" s="1">
        <v>25190000</v>
      </c>
      <c r="H1334" s="1">
        <v>21000000</v>
      </c>
    </row>
    <row r="1335" spans="1:8" ht="13.5" customHeight="1" x14ac:dyDescent="0.3">
      <c r="A1335" s="1" t="s">
        <v>236</v>
      </c>
      <c r="B1335" s="1" t="s">
        <v>3087</v>
      </c>
      <c r="C1335" s="1" t="s">
        <v>5042</v>
      </c>
      <c r="D1335" s="1">
        <v>2022</v>
      </c>
      <c r="E1335" s="1" t="str">
        <f t="shared" si="5"/>
        <v>L200L200 DAKAR HP DCAB 4X4 2.4 AUT2022</v>
      </c>
      <c r="F1335" s="1" t="s">
        <v>1972</v>
      </c>
      <c r="G1335" s="1">
        <v>28990000</v>
      </c>
      <c r="H1335" s="1">
        <v>24000000</v>
      </c>
    </row>
    <row r="1336" spans="1:8" ht="13.5" customHeight="1" x14ac:dyDescent="0.3">
      <c r="A1336" s="1" t="s">
        <v>236</v>
      </c>
      <c r="B1336" s="1" t="s">
        <v>3087</v>
      </c>
      <c r="C1336" s="1" t="s">
        <v>5043</v>
      </c>
      <c r="D1336" s="1">
        <v>2022</v>
      </c>
      <c r="E1336" s="1" t="str">
        <f t="shared" si="5"/>
        <v>L200L200 KATANA CRT 4X4 2.42022</v>
      </c>
      <c r="F1336" s="1" t="s">
        <v>1299</v>
      </c>
      <c r="G1336" s="1">
        <v>17190000</v>
      </c>
      <c r="H1336" s="1">
        <v>14250000</v>
      </c>
    </row>
    <row r="1337" spans="1:8" ht="13.5" customHeight="1" x14ac:dyDescent="0.3">
      <c r="A1337" s="1" t="s">
        <v>236</v>
      </c>
      <c r="B1337" s="1" t="s">
        <v>3087</v>
      </c>
      <c r="C1337" s="1" t="s">
        <v>5043</v>
      </c>
      <c r="D1337" s="1">
        <v>2022</v>
      </c>
      <c r="E1337" s="1" t="str">
        <f t="shared" si="5"/>
        <v>L200L200 KATANA CRT 4X4 2.42022</v>
      </c>
      <c r="F1337" s="1" t="s">
        <v>1094</v>
      </c>
      <c r="G1337" s="1">
        <v>17490000</v>
      </c>
      <c r="H1337" s="1">
        <v>14500000</v>
      </c>
    </row>
    <row r="1338" spans="1:8" ht="13.5" customHeight="1" x14ac:dyDescent="0.3">
      <c r="A1338" s="1" t="s">
        <v>236</v>
      </c>
      <c r="B1338" s="1" t="s">
        <v>3087</v>
      </c>
      <c r="C1338" s="1" t="s">
        <v>5044</v>
      </c>
      <c r="D1338" s="1">
        <v>2024</v>
      </c>
      <c r="E1338" s="1" t="str">
        <f t="shared" si="5"/>
        <v>L200L200 KATANA XRT 4X4 2.42024</v>
      </c>
      <c r="F1338" s="1" t="s">
        <v>979</v>
      </c>
      <c r="G1338" s="1">
        <v>27990000</v>
      </c>
      <c r="H1338" s="1">
        <v>24500000</v>
      </c>
    </row>
    <row r="1339" spans="1:8" ht="13.5" customHeight="1" x14ac:dyDescent="0.3">
      <c r="A1339" s="1" t="s">
        <v>236</v>
      </c>
      <c r="B1339" s="1" t="s">
        <v>3087</v>
      </c>
      <c r="C1339" s="1" t="s">
        <v>5045</v>
      </c>
      <c r="D1339" s="1">
        <v>2017</v>
      </c>
      <c r="E1339" s="1" t="str">
        <f t="shared" si="5"/>
        <v>L200L200 WORK 2.42017</v>
      </c>
      <c r="F1339" s="1" t="s">
        <v>2559</v>
      </c>
      <c r="G1339" s="1">
        <v>15490000</v>
      </c>
      <c r="H1339" s="1">
        <v>13800000</v>
      </c>
    </row>
    <row r="1340" spans="1:8" ht="13.5" customHeight="1" x14ac:dyDescent="0.3">
      <c r="A1340" s="1" t="s">
        <v>236</v>
      </c>
      <c r="B1340" s="1" t="s">
        <v>3087</v>
      </c>
      <c r="C1340" s="1" t="s">
        <v>5046</v>
      </c>
      <c r="D1340" s="1">
        <v>2020</v>
      </c>
      <c r="E1340" s="1" t="str">
        <f t="shared" si="5"/>
        <v>L200L200 WORK CR WF 2.42020</v>
      </c>
      <c r="F1340" s="1" t="s">
        <v>1458</v>
      </c>
      <c r="G1340" s="1">
        <v>13990000</v>
      </c>
      <c r="H1340" s="1">
        <v>11700000</v>
      </c>
    </row>
    <row r="1341" spans="1:8" ht="13.5" customHeight="1" x14ac:dyDescent="0.3">
      <c r="A1341" s="1" t="s">
        <v>236</v>
      </c>
      <c r="B1341" s="1" t="s">
        <v>3087</v>
      </c>
      <c r="C1341" s="1" t="s">
        <v>5046</v>
      </c>
      <c r="D1341" s="1">
        <v>2021</v>
      </c>
      <c r="E1341" s="1" t="str">
        <f t="shared" si="5"/>
        <v>L200L200 WORK CR WF 2.42021</v>
      </c>
      <c r="F1341" s="1" t="s">
        <v>2255</v>
      </c>
      <c r="G1341" s="1">
        <v>16190000</v>
      </c>
      <c r="H1341" s="1">
        <v>14500000</v>
      </c>
    </row>
    <row r="1342" spans="1:8" ht="13.5" customHeight="1" x14ac:dyDescent="0.3">
      <c r="A1342" s="1" t="s">
        <v>236</v>
      </c>
      <c r="B1342" s="1" t="s">
        <v>3087</v>
      </c>
      <c r="C1342" s="1" t="s">
        <v>5046</v>
      </c>
      <c r="D1342" s="1">
        <v>2023</v>
      </c>
      <c r="E1342" s="1" t="str">
        <f t="shared" si="5"/>
        <v>L200L200 WORK CR WF 2.42023</v>
      </c>
      <c r="F1342" s="1" t="s">
        <v>1424</v>
      </c>
      <c r="G1342" s="1">
        <v>18490000</v>
      </c>
      <c r="H1342" s="1">
        <v>16000000</v>
      </c>
    </row>
    <row r="1343" spans="1:8" ht="13.5" customHeight="1" x14ac:dyDescent="0.3">
      <c r="A1343" s="1" t="s">
        <v>236</v>
      </c>
      <c r="B1343" s="1" t="s">
        <v>3087</v>
      </c>
      <c r="C1343" s="1" t="s">
        <v>5046</v>
      </c>
      <c r="D1343" s="1">
        <v>2023</v>
      </c>
      <c r="E1343" s="1" t="str">
        <f t="shared" si="5"/>
        <v>L200L200 WORK CR WF 2.42023</v>
      </c>
      <c r="F1343" s="1" t="s">
        <v>1736</v>
      </c>
      <c r="G1343" s="1">
        <v>16990000</v>
      </c>
      <c r="H1343" s="1">
        <v>14100000</v>
      </c>
    </row>
    <row r="1344" spans="1:8" ht="13.5" customHeight="1" x14ac:dyDescent="0.3">
      <c r="A1344" s="1" t="s">
        <v>236</v>
      </c>
      <c r="B1344" s="1" t="s">
        <v>5047</v>
      </c>
      <c r="C1344" s="1" t="s">
        <v>5048</v>
      </c>
      <c r="D1344" s="1">
        <v>2025</v>
      </c>
      <c r="E1344" s="1" t="str">
        <f t="shared" si="5"/>
        <v>L-200L200 DAKAR XR 4X4 2.4 AUT2025</v>
      </c>
      <c r="F1344" s="1" t="s">
        <v>571</v>
      </c>
      <c r="G1344" s="1">
        <v>34990000</v>
      </c>
      <c r="H1344" s="1">
        <v>30320000</v>
      </c>
    </row>
    <row r="1345" spans="1:8" ht="13.5" customHeight="1" x14ac:dyDescent="0.3">
      <c r="A1345" s="1" t="s">
        <v>236</v>
      </c>
      <c r="B1345" s="1" t="s">
        <v>5047</v>
      </c>
      <c r="C1345" s="1" t="s">
        <v>5049</v>
      </c>
      <c r="D1345" s="1">
        <v>2020</v>
      </c>
      <c r="E1345" s="1" t="str">
        <f t="shared" si="5"/>
        <v>L-200NEW L200 KATANA CR 2.42020</v>
      </c>
      <c r="F1345" s="1" t="s">
        <v>853</v>
      </c>
      <c r="G1345" s="1">
        <v>13290000</v>
      </c>
      <c r="H1345" s="1">
        <v>10500000</v>
      </c>
    </row>
    <row r="1346" spans="1:8" ht="13.5" customHeight="1" x14ac:dyDescent="0.3">
      <c r="A1346" s="1" t="s">
        <v>236</v>
      </c>
      <c r="B1346" s="1" t="s">
        <v>5050</v>
      </c>
      <c r="C1346" s="1" t="s">
        <v>5051</v>
      </c>
      <c r="D1346" s="1">
        <v>2015</v>
      </c>
      <c r="E1346" s="1" t="str">
        <f t="shared" si="5"/>
        <v>LANCERLANCER 1.62015</v>
      </c>
      <c r="F1346" s="1" t="s">
        <v>2310</v>
      </c>
      <c r="G1346" s="1">
        <v>7190000</v>
      </c>
      <c r="H1346" s="1">
        <v>5800000</v>
      </c>
    </row>
    <row r="1347" spans="1:8" ht="13.5" customHeight="1" x14ac:dyDescent="0.3">
      <c r="A1347" s="1" t="s">
        <v>236</v>
      </c>
      <c r="B1347" s="1" t="s">
        <v>5052</v>
      </c>
      <c r="C1347" s="1" t="s">
        <v>5053</v>
      </c>
      <c r="D1347" s="1">
        <v>2019</v>
      </c>
      <c r="E1347" s="1" t="str">
        <f t="shared" si="5"/>
        <v>MONTEROMONTERO SPORT 2.42019</v>
      </c>
      <c r="F1347" s="1" t="s">
        <v>517</v>
      </c>
      <c r="G1347" s="1">
        <v>18990000</v>
      </c>
      <c r="H1347" s="1">
        <v>15500000</v>
      </c>
    </row>
    <row r="1348" spans="1:8" ht="13.5" customHeight="1" x14ac:dyDescent="0.3">
      <c r="A1348" s="1" t="s">
        <v>236</v>
      </c>
      <c r="B1348" s="1" t="s">
        <v>5052</v>
      </c>
      <c r="C1348" s="1" t="s">
        <v>5053</v>
      </c>
      <c r="D1348" s="1">
        <v>2022</v>
      </c>
      <c r="E1348" s="1" t="str">
        <f t="shared" si="5"/>
        <v>MONTEROMONTERO SPORT 2.42022</v>
      </c>
      <c r="F1348" s="1" t="s">
        <v>767</v>
      </c>
      <c r="G1348" s="1">
        <v>23490000</v>
      </c>
      <c r="H1348" s="1">
        <v>19500000</v>
      </c>
    </row>
    <row r="1349" spans="1:8" ht="13.5" customHeight="1" x14ac:dyDescent="0.3">
      <c r="A1349" s="1" t="s">
        <v>236</v>
      </c>
      <c r="B1349" s="1" t="s">
        <v>5052</v>
      </c>
      <c r="C1349" s="1" t="s">
        <v>5053</v>
      </c>
      <c r="D1349" s="1">
        <v>2023</v>
      </c>
      <c r="E1349" s="1" t="str">
        <f t="shared" si="5"/>
        <v>MONTEROMONTERO SPORT 2.42023</v>
      </c>
      <c r="F1349" s="1" t="s">
        <v>1008</v>
      </c>
      <c r="G1349" s="1">
        <v>24990000</v>
      </c>
      <c r="H1349" s="1">
        <v>21000000</v>
      </c>
    </row>
    <row r="1350" spans="1:8" ht="13.5" customHeight="1" x14ac:dyDescent="0.3">
      <c r="A1350" s="1" t="s">
        <v>236</v>
      </c>
      <c r="B1350" s="1" t="s">
        <v>5052</v>
      </c>
      <c r="C1350" s="1" t="s">
        <v>5054</v>
      </c>
      <c r="D1350" s="1">
        <v>2019</v>
      </c>
      <c r="E1350" s="1" t="str">
        <f t="shared" si="5"/>
        <v>MONTEROMONTERO SPORT 2.4 AUT2019</v>
      </c>
      <c r="F1350" s="1" t="s">
        <v>895</v>
      </c>
      <c r="G1350" s="1">
        <v>19790000</v>
      </c>
      <c r="H1350" s="1">
        <v>17500000</v>
      </c>
    </row>
    <row r="1351" spans="1:8" ht="13.5" customHeight="1" x14ac:dyDescent="0.3">
      <c r="A1351" s="1" t="s">
        <v>236</v>
      </c>
      <c r="B1351" s="1" t="s">
        <v>5052</v>
      </c>
      <c r="C1351" s="1" t="s">
        <v>5055</v>
      </c>
      <c r="D1351" s="1">
        <v>2018</v>
      </c>
      <c r="E1351" s="1" t="str">
        <f t="shared" si="5"/>
        <v>MONTEROMONTERO SPORT 3.0 AUT2018</v>
      </c>
      <c r="F1351" s="1" t="s">
        <v>2087</v>
      </c>
      <c r="G1351" s="1">
        <v>19990000</v>
      </c>
      <c r="H1351" s="1">
        <v>16000000</v>
      </c>
    </row>
    <row r="1352" spans="1:8" ht="13.5" customHeight="1" x14ac:dyDescent="0.3">
      <c r="A1352" s="1" t="s">
        <v>236</v>
      </c>
      <c r="B1352" s="1" t="s">
        <v>5052</v>
      </c>
      <c r="C1352" s="1" t="s">
        <v>5056</v>
      </c>
      <c r="D1352" s="1">
        <v>2020</v>
      </c>
      <c r="E1352" s="1" t="str">
        <f t="shared" si="5"/>
        <v>MONTEROMONTERO SPORT 4X4 2.42020</v>
      </c>
      <c r="F1352" s="1" t="s">
        <v>2018</v>
      </c>
      <c r="G1352" s="1">
        <v>21490000</v>
      </c>
      <c r="H1352" s="1">
        <v>18000000</v>
      </c>
    </row>
    <row r="1353" spans="1:8" ht="13.5" customHeight="1" x14ac:dyDescent="0.3">
      <c r="A1353" s="1" t="s">
        <v>236</v>
      </c>
      <c r="B1353" s="1" t="s">
        <v>5052</v>
      </c>
      <c r="C1353" s="1" t="s">
        <v>5056</v>
      </c>
      <c r="D1353" s="1">
        <v>2021</v>
      </c>
      <c r="E1353" s="1" t="str">
        <f t="shared" si="5"/>
        <v>MONTEROMONTERO SPORT 4X4 2.42021</v>
      </c>
      <c r="F1353" s="1" t="s">
        <v>1259</v>
      </c>
      <c r="G1353" s="1">
        <v>24790000</v>
      </c>
      <c r="H1353" s="1">
        <v>20850000</v>
      </c>
    </row>
    <row r="1354" spans="1:8" ht="13.5" customHeight="1" x14ac:dyDescent="0.3">
      <c r="A1354" s="1" t="s">
        <v>236</v>
      </c>
      <c r="B1354" s="1" t="s">
        <v>5052</v>
      </c>
      <c r="C1354" s="1" t="s">
        <v>5057</v>
      </c>
      <c r="D1354" s="1">
        <v>2018</v>
      </c>
      <c r="E1354" s="1" t="str">
        <f t="shared" si="5"/>
        <v>MONTEROMONTERO SPORT 4X4 2.4 AUT2018</v>
      </c>
      <c r="F1354" s="1" t="s">
        <v>2757</v>
      </c>
      <c r="G1354" s="1">
        <v>21990000</v>
      </c>
      <c r="H1354" s="1">
        <v>21000000</v>
      </c>
    </row>
    <row r="1355" spans="1:8" ht="13.5" customHeight="1" x14ac:dyDescent="0.3">
      <c r="A1355" s="1" t="s">
        <v>236</v>
      </c>
      <c r="B1355" s="1" t="s">
        <v>5052</v>
      </c>
      <c r="C1355" s="1" t="s">
        <v>5058</v>
      </c>
      <c r="D1355" s="1">
        <v>2018</v>
      </c>
      <c r="E1355" s="1" t="str">
        <f t="shared" si="5"/>
        <v>MONTEROMONTERO SPORT 4X4 3.0 AUT2018</v>
      </c>
      <c r="F1355" s="1" t="s">
        <v>1555</v>
      </c>
      <c r="G1355" s="1">
        <v>17190000</v>
      </c>
      <c r="H1355" s="1">
        <v>15000000</v>
      </c>
    </row>
    <row r="1356" spans="1:8" ht="13.5" customHeight="1" x14ac:dyDescent="0.3">
      <c r="A1356" s="1" t="s">
        <v>236</v>
      </c>
      <c r="B1356" s="1" t="s">
        <v>5052</v>
      </c>
      <c r="C1356" s="1" t="s">
        <v>5059</v>
      </c>
      <c r="D1356" s="1">
        <v>2017</v>
      </c>
      <c r="E1356" s="1" t="str">
        <f t="shared" si="5"/>
        <v>MONTEROMONTERO SPORT LTD 4X4 3.0 AUT2017</v>
      </c>
      <c r="F1356" s="1" t="s">
        <v>576</v>
      </c>
      <c r="G1356" s="1">
        <v>17990000</v>
      </c>
      <c r="H1356" s="1">
        <v>14250000</v>
      </c>
    </row>
    <row r="1357" spans="1:8" ht="13.5" customHeight="1" x14ac:dyDescent="0.3">
      <c r="A1357" s="1" t="s">
        <v>236</v>
      </c>
      <c r="B1357" s="1" t="s">
        <v>237</v>
      </c>
      <c r="C1357" s="1" t="s">
        <v>5060</v>
      </c>
      <c r="D1357" s="1">
        <v>2021</v>
      </c>
      <c r="E1357" s="1" t="str">
        <f t="shared" si="5"/>
        <v>OUTLANDERNEW OUTLANDER 2.02021</v>
      </c>
      <c r="F1357" s="1" t="s">
        <v>1261</v>
      </c>
      <c r="G1357" s="1">
        <v>11990000</v>
      </c>
      <c r="H1357" s="1">
        <v>9500000</v>
      </c>
    </row>
    <row r="1358" spans="1:8" ht="13.5" customHeight="1" x14ac:dyDescent="0.3">
      <c r="A1358" s="1" t="s">
        <v>236</v>
      </c>
      <c r="B1358" s="1" t="s">
        <v>237</v>
      </c>
      <c r="C1358" s="1" t="s">
        <v>5061</v>
      </c>
      <c r="D1358" s="1">
        <v>2019</v>
      </c>
      <c r="E1358" s="1" t="str">
        <f t="shared" si="5"/>
        <v>OUTLANDEROUTLANDER 2.02019</v>
      </c>
      <c r="F1358" s="1" t="s">
        <v>1660</v>
      </c>
      <c r="G1358" s="1">
        <v>11885120</v>
      </c>
      <c r="H1358" s="1">
        <v>10150000</v>
      </c>
    </row>
    <row r="1359" spans="1:8" ht="13.5" customHeight="1" x14ac:dyDescent="0.3">
      <c r="A1359" s="1" t="s">
        <v>236</v>
      </c>
      <c r="B1359" s="1" t="s">
        <v>237</v>
      </c>
      <c r="C1359" s="1" t="s">
        <v>5061</v>
      </c>
      <c r="D1359" s="1">
        <v>2020</v>
      </c>
      <c r="E1359" s="1" t="str">
        <f t="shared" si="5"/>
        <v>OUTLANDEROUTLANDER 2.02020</v>
      </c>
      <c r="F1359" s="1" t="s">
        <v>2039</v>
      </c>
      <c r="G1359" s="1">
        <v>11890000</v>
      </c>
      <c r="H1359" s="1">
        <v>9250000</v>
      </c>
    </row>
    <row r="1360" spans="1:8" ht="13.5" customHeight="1" x14ac:dyDescent="0.3">
      <c r="A1360" s="1" t="s">
        <v>236</v>
      </c>
      <c r="B1360" s="1" t="s">
        <v>237</v>
      </c>
      <c r="C1360" s="1" t="s">
        <v>5061</v>
      </c>
      <c r="D1360" s="1">
        <v>2021</v>
      </c>
      <c r="E1360" s="1" t="str">
        <f t="shared" si="5"/>
        <v>OUTLANDEROUTLANDER 2.02021</v>
      </c>
      <c r="F1360" s="1" t="s">
        <v>1775</v>
      </c>
      <c r="G1360" s="1">
        <v>8855150</v>
      </c>
      <c r="H1360" s="1">
        <v>6000000</v>
      </c>
    </row>
    <row r="1361" spans="1:8" ht="13.5" customHeight="1" x14ac:dyDescent="0.3">
      <c r="A1361" s="1" t="s">
        <v>236</v>
      </c>
      <c r="B1361" s="1" t="s">
        <v>237</v>
      </c>
      <c r="C1361" s="1" t="s">
        <v>5062</v>
      </c>
      <c r="D1361" s="1">
        <v>2018</v>
      </c>
      <c r="E1361" s="1" t="str">
        <f t="shared" si="5"/>
        <v>OUTLANDEROUTLANDER 2.0 AUT2018</v>
      </c>
      <c r="F1361" s="1" t="s">
        <v>2545</v>
      </c>
      <c r="G1361" s="1">
        <v>13990000</v>
      </c>
      <c r="H1361" s="1">
        <v>13400000</v>
      </c>
    </row>
    <row r="1362" spans="1:8" ht="13.5" customHeight="1" x14ac:dyDescent="0.3">
      <c r="A1362" s="1" t="s">
        <v>236</v>
      </c>
      <c r="B1362" s="1" t="s">
        <v>237</v>
      </c>
      <c r="C1362" s="1" t="s">
        <v>5062</v>
      </c>
      <c r="D1362" s="1">
        <v>2019</v>
      </c>
      <c r="E1362" s="1" t="str">
        <f t="shared" si="5"/>
        <v>OUTLANDEROUTLANDER 2.0 AUT2019</v>
      </c>
      <c r="F1362" s="1" t="s">
        <v>2068</v>
      </c>
      <c r="G1362" s="1">
        <v>12490000</v>
      </c>
      <c r="H1362" s="1">
        <v>10000000</v>
      </c>
    </row>
    <row r="1363" spans="1:8" ht="13.5" customHeight="1" x14ac:dyDescent="0.3">
      <c r="A1363" s="1" t="s">
        <v>236</v>
      </c>
      <c r="B1363" s="1" t="s">
        <v>237</v>
      </c>
      <c r="C1363" s="1" t="s">
        <v>5063</v>
      </c>
      <c r="D1363" s="1">
        <v>2020</v>
      </c>
      <c r="E1363" s="1" t="str">
        <f t="shared" si="5"/>
        <v>OUTLANDEROUTLANDER 4X4 2.4 AUT2020</v>
      </c>
      <c r="F1363" s="1" t="s">
        <v>2241</v>
      </c>
      <c r="G1363" s="1">
        <v>16290000</v>
      </c>
      <c r="H1363" s="1">
        <v>14000000</v>
      </c>
    </row>
    <row r="1364" spans="1:8" ht="13.5" customHeight="1" x14ac:dyDescent="0.3">
      <c r="A1364" s="1" t="s">
        <v>236</v>
      </c>
      <c r="B1364" s="1" t="s">
        <v>237</v>
      </c>
      <c r="C1364" s="1" t="s">
        <v>5063</v>
      </c>
      <c r="D1364" s="1">
        <v>2022</v>
      </c>
      <c r="E1364" s="1" t="str">
        <f t="shared" si="5"/>
        <v>OUTLANDEROUTLANDER 4X4 2.4 AUT2022</v>
      </c>
      <c r="F1364" s="1" t="s">
        <v>1017</v>
      </c>
      <c r="G1364" s="1">
        <v>17990000</v>
      </c>
      <c r="H1364" s="1">
        <v>15000000</v>
      </c>
    </row>
    <row r="1365" spans="1:8" ht="13.5" customHeight="1" x14ac:dyDescent="0.3">
      <c r="A1365" s="1" t="s">
        <v>236</v>
      </c>
      <c r="B1365" s="1" t="s">
        <v>237</v>
      </c>
      <c r="C1365" s="1" t="s">
        <v>5063</v>
      </c>
      <c r="D1365" s="1">
        <v>2022</v>
      </c>
      <c r="E1365" s="1" t="str">
        <f t="shared" si="5"/>
        <v>OUTLANDEROUTLANDER 4X4 2.4 AUT2022</v>
      </c>
      <c r="F1365" s="1" t="s">
        <v>835</v>
      </c>
      <c r="G1365" s="1">
        <v>19390000</v>
      </c>
      <c r="H1365" s="1">
        <v>16000000</v>
      </c>
    </row>
    <row r="1366" spans="1:8" ht="13.5" customHeight="1" x14ac:dyDescent="0.3">
      <c r="A1366" s="1" t="s">
        <v>236</v>
      </c>
      <c r="B1366" s="1" t="s">
        <v>237</v>
      </c>
      <c r="C1366" s="1" t="s">
        <v>5063</v>
      </c>
      <c r="D1366" s="1">
        <v>2022</v>
      </c>
      <c r="E1366" s="1" t="str">
        <f t="shared" si="5"/>
        <v>OUTLANDEROUTLANDER 4X4 2.4 AUT2022</v>
      </c>
      <c r="F1366" s="1" t="s">
        <v>1002</v>
      </c>
      <c r="G1366" s="1">
        <v>17490000</v>
      </c>
      <c r="H1366" s="1">
        <v>15000000</v>
      </c>
    </row>
    <row r="1367" spans="1:8" ht="13.5" customHeight="1" x14ac:dyDescent="0.3">
      <c r="A1367" s="1" t="s">
        <v>236</v>
      </c>
      <c r="B1367" s="1" t="s">
        <v>237</v>
      </c>
      <c r="C1367" s="1" t="s">
        <v>5063</v>
      </c>
      <c r="D1367" s="1">
        <v>2022</v>
      </c>
      <c r="E1367" s="1" t="str">
        <f t="shared" si="5"/>
        <v>OUTLANDEROUTLANDER 4X4 2.4 AUT2022</v>
      </c>
      <c r="F1367" s="1" t="s">
        <v>1159</v>
      </c>
      <c r="G1367" s="1">
        <v>17690000</v>
      </c>
      <c r="H1367" s="1">
        <v>15000000</v>
      </c>
    </row>
    <row r="1368" spans="1:8" ht="13.5" customHeight="1" x14ac:dyDescent="0.3">
      <c r="A1368" s="1" t="s">
        <v>236</v>
      </c>
      <c r="B1368" s="1" t="s">
        <v>237</v>
      </c>
      <c r="C1368" s="1" t="s">
        <v>5064</v>
      </c>
      <c r="D1368" s="1">
        <v>2019</v>
      </c>
      <c r="E1368" s="1" t="str">
        <f t="shared" si="5"/>
        <v>OUTLANDEROUTLANDER CVT 2.0 AUT2019</v>
      </c>
      <c r="F1368" s="1" t="s">
        <v>573</v>
      </c>
      <c r="G1368" s="1">
        <v>11890000</v>
      </c>
      <c r="H1368" s="1">
        <v>10000000</v>
      </c>
    </row>
    <row r="1369" spans="1:8" ht="13.5" customHeight="1" x14ac:dyDescent="0.3">
      <c r="A1369" s="1" t="s">
        <v>236</v>
      </c>
      <c r="B1369" s="1" t="s">
        <v>237</v>
      </c>
      <c r="C1369" s="1" t="s">
        <v>240</v>
      </c>
      <c r="D1369" s="1">
        <v>2023</v>
      </c>
      <c r="E1369" s="1" t="str">
        <f t="shared" si="5"/>
        <v>OUTLANDEROUTLANDER GLS 4X4 2.5 AT2023</v>
      </c>
      <c r="F1369" s="1" t="s">
        <v>1889</v>
      </c>
      <c r="G1369" s="1">
        <v>27490000</v>
      </c>
      <c r="H1369" s="1">
        <v>26990000</v>
      </c>
    </row>
    <row r="1370" spans="1:8" ht="13.5" customHeight="1" x14ac:dyDescent="0.3">
      <c r="A1370" s="1" t="s">
        <v>236</v>
      </c>
      <c r="B1370" s="1" t="s">
        <v>237</v>
      </c>
      <c r="C1370" s="1" t="s">
        <v>240</v>
      </c>
      <c r="D1370" s="1">
        <v>2024</v>
      </c>
      <c r="E1370" s="1" t="str">
        <f t="shared" si="5"/>
        <v>OUTLANDEROUTLANDER GLS 4X4 2.5 AT2024</v>
      </c>
      <c r="F1370" s="1" t="s">
        <v>589</v>
      </c>
      <c r="G1370" s="1">
        <v>24850000</v>
      </c>
      <c r="H1370" s="1">
        <v>22200000</v>
      </c>
    </row>
    <row r="1371" spans="1:8" ht="13.5" customHeight="1" x14ac:dyDescent="0.3">
      <c r="A1371" s="1" t="s">
        <v>236</v>
      </c>
      <c r="B1371" s="1" t="s">
        <v>237</v>
      </c>
      <c r="C1371" s="1" t="s">
        <v>5065</v>
      </c>
      <c r="D1371" s="1">
        <v>2025</v>
      </c>
      <c r="E1371" s="1" t="str">
        <f t="shared" si="5"/>
        <v>OUTLANDEROUTLANDER GLX 2.5 AUT2025</v>
      </c>
      <c r="F1371" s="1" t="s">
        <v>850</v>
      </c>
      <c r="G1371" s="1">
        <v>27190000</v>
      </c>
      <c r="H1371" s="1">
        <v>23000000</v>
      </c>
    </row>
    <row r="1372" spans="1:8" ht="13.5" customHeight="1" x14ac:dyDescent="0.3">
      <c r="A1372" s="1" t="s">
        <v>236</v>
      </c>
      <c r="B1372" s="1" t="s">
        <v>237</v>
      </c>
      <c r="C1372" s="1" t="s">
        <v>5066</v>
      </c>
      <c r="D1372" s="1">
        <v>2019</v>
      </c>
      <c r="E1372" s="1" t="str">
        <f t="shared" si="5"/>
        <v>OUTLANDEROUTLANDER GLX 4X4 2.42019</v>
      </c>
      <c r="F1372" s="1" t="s">
        <v>1229</v>
      </c>
      <c r="G1372" s="1">
        <v>13290000</v>
      </c>
      <c r="H1372" s="1">
        <v>11000000</v>
      </c>
    </row>
    <row r="1373" spans="1:8" ht="13.5" customHeight="1" x14ac:dyDescent="0.3">
      <c r="A1373" s="1" t="s">
        <v>236</v>
      </c>
      <c r="B1373" s="1" t="s">
        <v>237</v>
      </c>
      <c r="C1373" s="1" t="s">
        <v>5067</v>
      </c>
      <c r="D1373" s="1">
        <v>2019</v>
      </c>
      <c r="E1373" s="1" t="str">
        <f t="shared" si="5"/>
        <v>OUTLANDEROUTLANDER GLX 4X4 2.4 AUT2019</v>
      </c>
      <c r="F1373" s="1" t="s">
        <v>1252</v>
      </c>
      <c r="G1373" s="1">
        <v>12990000</v>
      </c>
      <c r="H1373" s="1">
        <v>10800000</v>
      </c>
    </row>
    <row r="1374" spans="1:8" ht="13.5" customHeight="1" x14ac:dyDescent="0.3">
      <c r="A1374" s="1" t="s">
        <v>236</v>
      </c>
      <c r="B1374" s="1" t="s">
        <v>237</v>
      </c>
      <c r="C1374" s="1" t="s">
        <v>5067</v>
      </c>
      <c r="D1374" s="1">
        <v>2019</v>
      </c>
      <c r="E1374" s="1" t="str">
        <f t="shared" si="5"/>
        <v>OUTLANDEROUTLANDER GLX 4X4 2.4 AUT2019</v>
      </c>
      <c r="F1374" s="1" t="s">
        <v>735</v>
      </c>
      <c r="G1374" s="1">
        <v>12990000</v>
      </c>
      <c r="H1374" s="1">
        <v>10500000</v>
      </c>
    </row>
    <row r="1375" spans="1:8" ht="13.5" customHeight="1" x14ac:dyDescent="0.3">
      <c r="A1375" s="1" t="s">
        <v>236</v>
      </c>
      <c r="B1375" s="1" t="s">
        <v>3772</v>
      </c>
      <c r="C1375" s="1" t="s">
        <v>5068</v>
      </c>
      <c r="D1375" s="1">
        <v>2024</v>
      </c>
      <c r="E1375" s="1" t="str">
        <f t="shared" si="5"/>
        <v>XPANDERXPANDER 1.5 AUT2024</v>
      </c>
      <c r="F1375" s="1" t="s">
        <v>794</v>
      </c>
      <c r="G1375" s="1">
        <v>14690000</v>
      </c>
      <c r="H1375" s="1">
        <v>13000000</v>
      </c>
    </row>
    <row r="1376" spans="1:8" ht="13.5" customHeight="1" x14ac:dyDescent="0.3">
      <c r="A1376" s="1" t="s">
        <v>236</v>
      </c>
      <c r="B1376" s="1" t="s">
        <v>3772</v>
      </c>
      <c r="C1376" s="1" t="s">
        <v>5069</v>
      </c>
      <c r="D1376" s="1">
        <v>2024</v>
      </c>
      <c r="E1376" s="1" t="str">
        <f t="shared" si="5"/>
        <v>XPANDERXPANDER CROSS 1.5 AUT2024</v>
      </c>
      <c r="F1376" s="1" t="s">
        <v>645</v>
      </c>
      <c r="G1376" s="1">
        <v>15240000</v>
      </c>
      <c r="H1376" s="1">
        <v>12650000</v>
      </c>
    </row>
    <row r="1377" spans="1:8" ht="13.5" customHeight="1" x14ac:dyDescent="0.3">
      <c r="A1377" s="1" t="s">
        <v>236</v>
      </c>
      <c r="B1377" s="1" t="s">
        <v>3772</v>
      </c>
      <c r="C1377" s="1" t="s">
        <v>5069</v>
      </c>
      <c r="D1377" s="1">
        <v>2024</v>
      </c>
      <c r="E1377" s="1" t="str">
        <f t="shared" si="5"/>
        <v>XPANDERXPANDER CROSS 1.5 AUT2024</v>
      </c>
      <c r="F1377" s="1" t="s">
        <v>367</v>
      </c>
      <c r="G1377" s="1">
        <v>15790000</v>
      </c>
      <c r="H1377" s="1">
        <v>13200000</v>
      </c>
    </row>
    <row r="1378" spans="1:8" ht="13.5" customHeight="1" x14ac:dyDescent="0.3">
      <c r="A1378" s="1" t="s">
        <v>236</v>
      </c>
      <c r="B1378" s="1" t="s">
        <v>3772</v>
      </c>
      <c r="C1378" s="1" t="s">
        <v>5070</v>
      </c>
      <c r="D1378" s="1">
        <v>2024</v>
      </c>
      <c r="E1378" s="1" t="str">
        <f t="shared" si="5"/>
        <v>XPANDERXPANDER GLX 1.52024</v>
      </c>
      <c r="F1378" s="1" t="s">
        <v>1509</v>
      </c>
      <c r="G1378" s="1">
        <v>14990000</v>
      </c>
      <c r="H1378" s="1">
        <v>13200000</v>
      </c>
    </row>
    <row r="1379" spans="1:8" ht="13.5" customHeight="1" x14ac:dyDescent="0.3">
      <c r="A1379" s="1" t="s">
        <v>242</v>
      </c>
      <c r="B1379" s="1" t="s">
        <v>5071</v>
      </c>
      <c r="C1379" s="1" t="s">
        <v>5072</v>
      </c>
      <c r="D1379" s="1">
        <v>2016</v>
      </c>
      <c r="E1379" s="1" t="str">
        <f t="shared" si="5"/>
        <v>MARCHMARCH 1.62016</v>
      </c>
      <c r="F1379" s="1" t="s">
        <v>2687</v>
      </c>
      <c r="G1379" s="1">
        <v>6190000</v>
      </c>
      <c r="H1379" s="1">
        <v>5500000</v>
      </c>
    </row>
    <row r="1380" spans="1:8" ht="13.5" customHeight="1" x14ac:dyDescent="0.3">
      <c r="A1380" s="1" t="s">
        <v>242</v>
      </c>
      <c r="B1380" s="1" t="s">
        <v>5071</v>
      </c>
      <c r="C1380" s="1" t="s">
        <v>5073</v>
      </c>
      <c r="D1380" s="1">
        <v>2018</v>
      </c>
      <c r="E1380" s="1" t="str">
        <f t="shared" si="5"/>
        <v>MARCHMARCH SPORT DRIVE 1.62018</v>
      </c>
      <c r="F1380" s="1" t="s">
        <v>682</v>
      </c>
      <c r="G1380" s="1">
        <v>6090000</v>
      </c>
      <c r="H1380" s="1">
        <v>5000000</v>
      </c>
    </row>
    <row r="1381" spans="1:8" ht="13.5" customHeight="1" x14ac:dyDescent="0.3">
      <c r="A1381" s="1" t="s">
        <v>242</v>
      </c>
      <c r="B1381" s="1" t="s">
        <v>5071</v>
      </c>
      <c r="C1381" s="1" t="s">
        <v>5073</v>
      </c>
      <c r="D1381" s="1">
        <v>2019</v>
      </c>
      <c r="E1381" s="1" t="str">
        <f t="shared" si="5"/>
        <v>MARCHMARCH SPORT DRIVE 1.62019</v>
      </c>
      <c r="F1381" s="1" t="s">
        <v>1325</v>
      </c>
      <c r="G1381" s="1">
        <v>5710000</v>
      </c>
      <c r="H1381" s="1">
        <v>4500000</v>
      </c>
    </row>
    <row r="1382" spans="1:8" ht="13.5" customHeight="1" x14ac:dyDescent="0.3">
      <c r="A1382" s="1" t="s">
        <v>242</v>
      </c>
      <c r="B1382" s="1" t="s">
        <v>5071</v>
      </c>
      <c r="C1382" s="1" t="s">
        <v>5073</v>
      </c>
      <c r="D1382" s="1">
        <v>2019</v>
      </c>
      <c r="E1382" s="1" t="str">
        <f t="shared" si="5"/>
        <v>MARCHMARCH SPORT DRIVE 1.62019</v>
      </c>
      <c r="F1382" s="1" t="s">
        <v>1702</v>
      </c>
      <c r="G1382" s="1">
        <v>6246890</v>
      </c>
      <c r="H1382" s="1">
        <v>5250000</v>
      </c>
    </row>
    <row r="1383" spans="1:8" ht="13.5" customHeight="1" x14ac:dyDescent="0.3">
      <c r="A1383" s="1" t="s">
        <v>242</v>
      </c>
      <c r="B1383" s="1" t="s">
        <v>5071</v>
      </c>
      <c r="C1383" s="1" t="s">
        <v>5073</v>
      </c>
      <c r="D1383" s="1">
        <v>2020</v>
      </c>
      <c r="E1383" s="1" t="str">
        <f t="shared" si="5"/>
        <v>MARCHMARCH SPORT DRIVE 1.62020</v>
      </c>
      <c r="F1383" s="1" t="s">
        <v>2333</v>
      </c>
      <c r="G1383" s="1">
        <v>7390000</v>
      </c>
      <c r="H1383" s="1">
        <v>6000000</v>
      </c>
    </row>
    <row r="1384" spans="1:8" ht="13.5" customHeight="1" x14ac:dyDescent="0.3">
      <c r="A1384" s="1" t="s">
        <v>242</v>
      </c>
      <c r="B1384" s="1" t="s">
        <v>243</v>
      </c>
      <c r="C1384" s="1" t="s">
        <v>5074</v>
      </c>
      <c r="D1384" s="1">
        <v>2017</v>
      </c>
      <c r="E1384" s="1" t="str">
        <f t="shared" si="5"/>
        <v>JUKEJUKE SENSE 1.6 AUT2017</v>
      </c>
      <c r="F1384" s="1" t="s">
        <v>1881</v>
      </c>
      <c r="G1384" s="1">
        <v>9390000</v>
      </c>
      <c r="H1384" s="1">
        <v>7800000</v>
      </c>
    </row>
    <row r="1385" spans="1:8" ht="13.5" customHeight="1" x14ac:dyDescent="0.3">
      <c r="A1385" s="1" t="s">
        <v>242</v>
      </c>
      <c r="B1385" s="1" t="s">
        <v>2981</v>
      </c>
      <c r="C1385" s="1" t="s">
        <v>5075</v>
      </c>
      <c r="D1385" s="1">
        <v>2019</v>
      </c>
      <c r="E1385" s="1" t="str">
        <f t="shared" si="5"/>
        <v>KICKSKICKS 1.62019</v>
      </c>
      <c r="F1385" s="1" t="s">
        <v>2094</v>
      </c>
      <c r="G1385" s="1">
        <v>10890000</v>
      </c>
      <c r="H1385" s="1">
        <v>8600000</v>
      </c>
    </row>
    <row r="1386" spans="1:8" ht="13.5" customHeight="1" x14ac:dyDescent="0.3">
      <c r="A1386" s="1" t="s">
        <v>242</v>
      </c>
      <c r="B1386" s="1" t="s">
        <v>2981</v>
      </c>
      <c r="C1386" s="1" t="s">
        <v>5075</v>
      </c>
      <c r="D1386" s="1">
        <v>2021</v>
      </c>
      <c r="E1386" s="1" t="str">
        <f t="shared" si="5"/>
        <v>KICKSKICKS 1.62021</v>
      </c>
      <c r="F1386" s="1" t="s">
        <v>429</v>
      </c>
      <c r="G1386" s="1">
        <v>21780000</v>
      </c>
      <c r="H1386" s="1">
        <v>18000000</v>
      </c>
    </row>
    <row r="1387" spans="1:8" ht="13.5" customHeight="1" x14ac:dyDescent="0.3">
      <c r="A1387" s="1" t="s">
        <v>242</v>
      </c>
      <c r="B1387" s="1" t="s">
        <v>2981</v>
      </c>
      <c r="C1387" s="1" t="s">
        <v>5075</v>
      </c>
      <c r="D1387" s="1">
        <v>2021</v>
      </c>
      <c r="E1387" s="1" t="str">
        <f t="shared" si="5"/>
        <v>KICKSKICKS 1.62021</v>
      </c>
      <c r="F1387" s="1" t="s">
        <v>2398</v>
      </c>
      <c r="G1387" s="1">
        <v>13290110</v>
      </c>
      <c r="H1387" s="1">
        <v>11000000</v>
      </c>
    </row>
    <row r="1388" spans="1:8" ht="13.5" customHeight="1" x14ac:dyDescent="0.3">
      <c r="A1388" s="1" t="s">
        <v>242</v>
      </c>
      <c r="B1388" s="1" t="s">
        <v>2981</v>
      </c>
      <c r="C1388" s="1" t="s">
        <v>5075</v>
      </c>
      <c r="D1388" s="1">
        <v>2021</v>
      </c>
      <c r="E1388" s="1" t="str">
        <f t="shared" si="5"/>
        <v>KICKSKICKS 1.62021</v>
      </c>
      <c r="F1388" s="1" t="s">
        <v>1488</v>
      </c>
      <c r="G1388" s="1">
        <v>11290000</v>
      </c>
      <c r="H1388" s="1">
        <v>9500000</v>
      </c>
    </row>
    <row r="1389" spans="1:8" ht="13.5" customHeight="1" x14ac:dyDescent="0.3">
      <c r="A1389" s="1" t="s">
        <v>242</v>
      </c>
      <c r="B1389" s="1" t="s">
        <v>2981</v>
      </c>
      <c r="C1389" s="1" t="s">
        <v>5075</v>
      </c>
      <c r="D1389" s="1">
        <v>2021</v>
      </c>
      <c r="E1389" s="1" t="str">
        <f t="shared" si="5"/>
        <v>KICKSKICKS 1.62021</v>
      </c>
      <c r="F1389" s="1" t="s">
        <v>1773</v>
      </c>
      <c r="G1389" s="1">
        <v>11636620</v>
      </c>
      <c r="H1389" s="1">
        <v>9800000</v>
      </c>
    </row>
    <row r="1390" spans="1:8" ht="13.5" customHeight="1" x14ac:dyDescent="0.3">
      <c r="A1390" s="1" t="s">
        <v>242</v>
      </c>
      <c r="B1390" s="1" t="s">
        <v>2981</v>
      </c>
      <c r="C1390" s="1" t="s">
        <v>5075</v>
      </c>
      <c r="D1390" s="1">
        <v>2021</v>
      </c>
      <c r="E1390" s="1" t="str">
        <f t="shared" si="5"/>
        <v>KICKSKICKS 1.62021</v>
      </c>
      <c r="F1390" s="1" t="s">
        <v>1994</v>
      </c>
      <c r="G1390" s="1">
        <v>12590000</v>
      </c>
      <c r="H1390" s="1">
        <v>10000000</v>
      </c>
    </row>
    <row r="1391" spans="1:8" ht="13.5" customHeight="1" x14ac:dyDescent="0.3">
      <c r="A1391" s="1" t="s">
        <v>242</v>
      </c>
      <c r="B1391" s="1" t="s">
        <v>2981</v>
      </c>
      <c r="C1391" s="1" t="s">
        <v>5075</v>
      </c>
      <c r="D1391" s="1">
        <v>2021</v>
      </c>
      <c r="E1391" s="1" t="str">
        <f t="shared" si="5"/>
        <v>KICKSKICKS 1.62021</v>
      </c>
      <c r="F1391" s="1" t="s">
        <v>1658</v>
      </c>
      <c r="G1391" s="1">
        <v>9890000</v>
      </c>
      <c r="H1391" s="1">
        <v>8000000</v>
      </c>
    </row>
    <row r="1392" spans="1:8" ht="13.5" customHeight="1" x14ac:dyDescent="0.3">
      <c r="A1392" s="1" t="s">
        <v>242</v>
      </c>
      <c r="B1392" s="1" t="s">
        <v>2981</v>
      </c>
      <c r="C1392" s="1" t="s">
        <v>5075</v>
      </c>
      <c r="D1392" s="1">
        <v>2021</v>
      </c>
      <c r="E1392" s="1" t="str">
        <f t="shared" si="5"/>
        <v>KICKSKICKS 1.62021</v>
      </c>
      <c r="F1392" s="1" t="s">
        <v>727</v>
      </c>
      <c r="G1392" s="1">
        <v>10655451</v>
      </c>
      <c r="H1392" s="1">
        <v>9800000</v>
      </c>
    </row>
    <row r="1393" spans="1:8" ht="13.5" customHeight="1" x14ac:dyDescent="0.3">
      <c r="A1393" s="1" t="s">
        <v>242</v>
      </c>
      <c r="B1393" s="1" t="s">
        <v>2981</v>
      </c>
      <c r="C1393" s="1" t="s">
        <v>5075</v>
      </c>
      <c r="D1393" s="1">
        <v>2021</v>
      </c>
      <c r="E1393" s="1" t="str">
        <f t="shared" si="5"/>
        <v>KICKSKICKS 1.62021</v>
      </c>
      <c r="F1393" s="1" t="s">
        <v>1755</v>
      </c>
      <c r="G1393" s="1">
        <v>11690030</v>
      </c>
      <c r="H1393" s="1">
        <v>9400000</v>
      </c>
    </row>
    <row r="1394" spans="1:8" ht="13.5" customHeight="1" x14ac:dyDescent="0.3">
      <c r="A1394" s="1" t="s">
        <v>242</v>
      </c>
      <c r="B1394" s="1" t="s">
        <v>2981</v>
      </c>
      <c r="C1394" s="1" t="s">
        <v>5075</v>
      </c>
      <c r="D1394" s="1">
        <v>2021</v>
      </c>
      <c r="E1394" s="1" t="str">
        <f t="shared" si="5"/>
        <v>KICKSKICKS 1.62021</v>
      </c>
      <c r="F1394" s="1" t="s">
        <v>1687</v>
      </c>
      <c r="G1394" s="1">
        <v>11890000</v>
      </c>
      <c r="H1394" s="1">
        <v>10000000</v>
      </c>
    </row>
    <row r="1395" spans="1:8" ht="13.5" customHeight="1" x14ac:dyDescent="0.3">
      <c r="A1395" s="1" t="s">
        <v>242</v>
      </c>
      <c r="B1395" s="1" t="s">
        <v>2981</v>
      </c>
      <c r="C1395" s="1" t="s">
        <v>5075</v>
      </c>
      <c r="D1395" s="1">
        <v>2021</v>
      </c>
      <c r="E1395" s="1" t="str">
        <f t="shared" si="5"/>
        <v>KICKSKICKS 1.62021</v>
      </c>
      <c r="F1395" s="1" t="s">
        <v>2381</v>
      </c>
      <c r="G1395" s="1">
        <v>13990000</v>
      </c>
      <c r="H1395" s="1">
        <v>12000000</v>
      </c>
    </row>
    <row r="1396" spans="1:8" ht="13.5" customHeight="1" x14ac:dyDescent="0.3">
      <c r="A1396" s="1" t="s">
        <v>242</v>
      </c>
      <c r="B1396" s="1" t="s">
        <v>2981</v>
      </c>
      <c r="C1396" s="1" t="s">
        <v>5075</v>
      </c>
      <c r="D1396" s="1">
        <v>2021</v>
      </c>
      <c r="E1396" s="1" t="str">
        <f t="shared" si="5"/>
        <v>KICKSKICKS 1.62021</v>
      </c>
      <c r="F1396" s="1" t="s">
        <v>2137</v>
      </c>
      <c r="G1396" s="1">
        <v>11490000</v>
      </c>
      <c r="H1396" s="1">
        <v>9130000</v>
      </c>
    </row>
    <row r="1397" spans="1:8" ht="13.5" customHeight="1" x14ac:dyDescent="0.3">
      <c r="A1397" s="1" t="s">
        <v>242</v>
      </c>
      <c r="B1397" s="1" t="s">
        <v>2981</v>
      </c>
      <c r="C1397" s="1" t="s">
        <v>5075</v>
      </c>
      <c r="D1397" s="1">
        <v>2021</v>
      </c>
      <c r="E1397" s="1" t="str">
        <f t="shared" si="5"/>
        <v>KICKSKICKS 1.62021</v>
      </c>
      <c r="F1397" s="1" t="s">
        <v>1420</v>
      </c>
      <c r="G1397" s="1">
        <v>10190000</v>
      </c>
      <c r="H1397" s="1">
        <v>9400000</v>
      </c>
    </row>
    <row r="1398" spans="1:8" ht="13.5" customHeight="1" x14ac:dyDescent="0.3">
      <c r="A1398" s="1" t="s">
        <v>242</v>
      </c>
      <c r="B1398" s="1" t="s">
        <v>2981</v>
      </c>
      <c r="C1398" s="1" t="s">
        <v>5075</v>
      </c>
      <c r="D1398" s="1">
        <v>2021</v>
      </c>
      <c r="E1398" s="1" t="str">
        <f t="shared" si="5"/>
        <v>KICKSKICKS 1.62021</v>
      </c>
      <c r="F1398" s="1" t="s">
        <v>1483</v>
      </c>
      <c r="G1398" s="1">
        <v>11340120</v>
      </c>
      <c r="H1398" s="1">
        <v>9700000</v>
      </c>
    </row>
    <row r="1399" spans="1:8" ht="13.5" customHeight="1" x14ac:dyDescent="0.3">
      <c r="A1399" s="1" t="s">
        <v>242</v>
      </c>
      <c r="B1399" s="1" t="s">
        <v>2981</v>
      </c>
      <c r="C1399" s="1" t="s">
        <v>5075</v>
      </c>
      <c r="D1399" s="1">
        <v>2022</v>
      </c>
      <c r="E1399" s="1" t="str">
        <f t="shared" si="5"/>
        <v>KICKSKICKS 1.62022</v>
      </c>
      <c r="F1399" s="1" t="s">
        <v>713</v>
      </c>
      <c r="G1399" s="1">
        <v>11990000</v>
      </c>
      <c r="H1399" s="1">
        <v>10200000</v>
      </c>
    </row>
    <row r="1400" spans="1:8" ht="13.5" customHeight="1" x14ac:dyDescent="0.3">
      <c r="A1400" s="1" t="s">
        <v>242</v>
      </c>
      <c r="B1400" s="1" t="s">
        <v>2981</v>
      </c>
      <c r="C1400" s="1" t="s">
        <v>5075</v>
      </c>
      <c r="D1400" s="1">
        <v>2022</v>
      </c>
      <c r="E1400" s="1" t="str">
        <f t="shared" si="5"/>
        <v>KICKSKICKS 1.62022</v>
      </c>
      <c r="F1400" s="1" t="s">
        <v>2032</v>
      </c>
      <c r="G1400" s="1">
        <v>12590000</v>
      </c>
      <c r="H1400" s="1">
        <v>10300000</v>
      </c>
    </row>
    <row r="1401" spans="1:8" ht="13.5" customHeight="1" x14ac:dyDescent="0.3">
      <c r="A1401" s="1" t="s">
        <v>242</v>
      </c>
      <c r="B1401" s="1" t="s">
        <v>2981</v>
      </c>
      <c r="C1401" s="1" t="s">
        <v>5075</v>
      </c>
      <c r="D1401" s="1">
        <v>2022</v>
      </c>
      <c r="E1401" s="1" t="str">
        <f t="shared" si="5"/>
        <v>KICKSKICKS 1.62022</v>
      </c>
      <c r="F1401" s="1" t="s">
        <v>1487</v>
      </c>
      <c r="G1401" s="1">
        <v>12490000</v>
      </c>
      <c r="H1401" s="1">
        <v>10500000</v>
      </c>
    </row>
    <row r="1402" spans="1:8" ht="13.5" customHeight="1" x14ac:dyDescent="0.3">
      <c r="A1402" s="1" t="s">
        <v>242</v>
      </c>
      <c r="B1402" s="1" t="s">
        <v>2981</v>
      </c>
      <c r="C1402" s="1" t="s">
        <v>5075</v>
      </c>
      <c r="D1402" s="1">
        <v>2022</v>
      </c>
      <c r="E1402" s="1" t="str">
        <f t="shared" si="5"/>
        <v>KICKSKICKS 1.62022</v>
      </c>
      <c r="F1402" s="1" t="s">
        <v>1212</v>
      </c>
      <c r="G1402" s="1">
        <v>11438620</v>
      </c>
      <c r="H1402" s="1">
        <v>9800000</v>
      </c>
    </row>
    <row r="1403" spans="1:8" ht="13.5" customHeight="1" x14ac:dyDescent="0.3">
      <c r="A1403" s="1" t="s">
        <v>242</v>
      </c>
      <c r="B1403" s="1" t="s">
        <v>2981</v>
      </c>
      <c r="C1403" s="1" t="s">
        <v>5075</v>
      </c>
      <c r="D1403" s="1">
        <v>2022</v>
      </c>
      <c r="E1403" s="1" t="str">
        <f t="shared" si="5"/>
        <v>KICKSKICKS 1.62022</v>
      </c>
      <c r="F1403" s="1" t="s">
        <v>1044</v>
      </c>
      <c r="G1403" s="1">
        <v>12490000</v>
      </c>
      <c r="H1403" s="1">
        <v>10600000</v>
      </c>
    </row>
    <row r="1404" spans="1:8" ht="13.5" customHeight="1" x14ac:dyDescent="0.3">
      <c r="A1404" s="1" t="s">
        <v>242</v>
      </c>
      <c r="B1404" s="1" t="s">
        <v>2981</v>
      </c>
      <c r="C1404" s="1" t="s">
        <v>5075</v>
      </c>
      <c r="D1404" s="1">
        <v>2022</v>
      </c>
      <c r="E1404" s="1" t="str">
        <f t="shared" si="5"/>
        <v>KICKSKICKS 1.62022</v>
      </c>
      <c r="F1404" s="1" t="s">
        <v>1741</v>
      </c>
      <c r="G1404" s="1">
        <v>11990000</v>
      </c>
      <c r="H1404" s="1">
        <v>10500000</v>
      </c>
    </row>
    <row r="1405" spans="1:8" ht="13.5" customHeight="1" x14ac:dyDescent="0.3">
      <c r="A1405" s="1" t="s">
        <v>242</v>
      </c>
      <c r="B1405" s="1" t="s">
        <v>2981</v>
      </c>
      <c r="C1405" s="1" t="s">
        <v>5075</v>
      </c>
      <c r="D1405" s="1">
        <v>2022</v>
      </c>
      <c r="E1405" s="1" t="str">
        <f t="shared" si="5"/>
        <v>KICKSKICKS 1.62022</v>
      </c>
      <c r="F1405" s="1" t="s">
        <v>1033</v>
      </c>
      <c r="G1405" s="1">
        <v>12390000</v>
      </c>
      <c r="H1405" s="1">
        <v>10250000</v>
      </c>
    </row>
    <row r="1406" spans="1:8" ht="13.5" customHeight="1" x14ac:dyDescent="0.3">
      <c r="A1406" s="1" t="s">
        <v>242</v>
      </c>
      <c r="B1406" s="1" t="s">
        <v>2981</v>
      </c>
      <c r="C1406" s="1" t="s">
        <v>5075</v>
      </c>
      <c r="D1406" s="1">
        <v>2022</v>
      </c>
      <c r="E1406" s="1" t="str">
        <f t="shared" si="5"/>
        <v>KICKSKICKS 1.62022</v>
      </c>
      <c r="F1406" s="1" t="s">
        <v>1822</v>
      </c>
      <c r="G1406" s="1">
        <v>12696650</v>
      </c>
      <c r="H1406" s="1">
        <v>10500000</v>
      </c>
    </row>
    <row r="1407" spans="1:8" ht="13.5" customHeight="1" x14ac:dyDescent="0.3">
      <c r="A1407" s="1" t="s">
        <v>242</v>
      </c>
      <c r="B1407" s="1" t="s">
        <v>2981</v>
      </c>
      <c r="C1407" s="1" t="s">
        <v>5075</v>
      </c>
      <c r="D1407" s="1">
        <v>2022</v>
      </c>
      <c r="E1407" s="1" t="str">
        <f t="shared" si="5"/>
        <v>KICKSKICKS 1.62022</v>
      </c>
      <c r="F1407" s="1" t="s">
        <v>2313</v>
      </c>
      <c r="G1407" s="1">
        <v>14990000</v>
      </c>
      <c r="H1407" s="1">
        <v>13500000</v>
      </c>
    </row>
    <row r="1408" spans="1:8" ht="13.5" customHeight="1" x14ac:dyDescent="0.3">
      <c r="A1408" s="1" t="s">
        <v>242</v>
      </c>
      <c r="B1408" s="1" t="s">
        <v>2981</v>
      </c>
      <c r="C1408" s="1" t="s">
        <v>5075</v>
      </c>
      <c r="D1408" s="1">
        <v>2022</v>
      </c>
      <c r="E1408" s="1" t="str">
        <f t="shared" si="5"/>
        <v>KICKSKICKS 1.62022</v>
      </c>
      <c r="F1408" s="1" t="s">
        <v>1366</v>
      </c>
      <c r="G1408" s="1">
        <v>11990000</v>
      </c>
      <c r="H1408" s="1">
        <v>9800000</v>
      </c>
    </row>
    <row r="1409" spans="1:8" ht="13.5" customHeight="1" x14ac:dyDescent="0.3">
      <c r="A1409" s="1" t="s">
        <v>242</v>
      </c>
      <c r="B1409" s="1" t="s">
        <v>2981</v>
      </c>
      <c r="C1409" s="1" t="s">
        <v>5075</v>
      </c>
      <c r="D1409" s="1">
        <v>2022</v>
      </c>
      <c r="E1409" s="1" t="str">
        <f t="shared" si="5"/>
        <v>KICKSKICKS 1.62022</v>
      </c>
      <c r="F1409" s="1" t="s">
        <v>866</v>
      </c>
      <c r="G1409" s="1">
        <v>12490000</v>
      </c>
      <c r="H1409" s="1">
        <v>10500000</v>
      </c>
    </row>
    <row r="1410" spans="1:8" ht="13.5" customHeight="1" x14ac:dyDescent="0.3">
      <c r="A1410" s="1" t="s">
        <v>242</v>
      </c>
      <c r="B1410" s="1" t="s">
        <v>2981</v>
      </c>
      <c r="C1410" s="1" t="s">
        <v>5075</v>
      </c>
      <c r="D1410" s="1">
        <v>2022</v>
      </c>
      <c r="E1410" s="1" t="str">
        <f t="shared" si="5"/>
        <v>KICKSKICKS 1.62022</v>
      </c>
      <c r="F1410" s="1" t="s">
        <v>1047</v>
      </c>
      <c r="G1410" s="1">
        <v>25801620</v>
      </c>
      <c r="H1410" s="1">
        <v>21600000</v>
      </c>
    </row>
    <row r="1411" spans="1:8" ht="13.5" customHeight="1" x14ac:dyDescent="0.3">
      <c r="A1411" s="1" t="s">
        <v>242</v>
      </c>
      <c r="B1411" s="1" t="s">
        <v>2981</v>
      </c>
      <c r="C1411" s="1" t="s">
        <v>5075</v>
      </c>
      <c r="D1411" s="1">
        <v>2023</v>
      </c>
      <c r="E1411" s="1" t="str">
        <f t="shared" si="5"/>
        <v>KICKSKICKS 1.62023</v>
      </c>
      <c r="F1411" s="1" t="s">
        <v>1750</v>
      </c>
      <c r="G1411" s="1">
        <v>11840000</v>
      </c>
      <c r="H1411" s="1">
        <v>10000000</v>
      </c>
    </row>
    <row r="1412" spans="1:8" ht="13.5" customHeight="1" x14ac:dyDescent="0.3">
      <c r="A1412" s="1" t="s">
        <v>242</v>
      </c>
      <c r="B1412" s="1" t="s">
        <v>2981</v>
      </c>
      <c r="C1412" s="1" t="s">
        <v>5075</v>
      </c>
      <c r="D1412" s="1">
        <v>2024</v>
      </c>
      <c r="E1412" s="1" t="str">
        <f t="shared" si="5"/>
        <v>KICKSKICKS 1.62024</v>
      </c>
      <c r="F1412" s="1" t="s">
        <v>596</v>
      </c>
      <c r="G1412" s="1">
        <v>13990000</v>
      </c>
      <c r="H1412" s="1">
        <v>11700000</v>
      </c>
    </row>
    <row r="1413" spans="1:8" ht="13.5" customHeight="1" x14ac:dyDescent="0.3">
      <c r="A1413" s="1" t="s">
        <v>242</v>
      </c>
      <c r="B1413" s="1" t="s">
        <v>2981</v>
      </c>
      <c r="C1413" s="1" t="s">
        <v>5076</v>
      </c>
      <c r="D1413" s="1">
        <v>2019</v>
      </c>
      <c r="E1413" s="1" t="str">
        <f t="shared" si="5"/>
        <v>KICKSKICKS 1.6 AT2019</v>
      </c>
      <c r="F1413" s="1" t="s">
        <v>3118</v>
      </c>
      <c r="G1413" s="1">
        <v>11500000</v>
      </c>
      <c r="H1413" s="1">
        <v>11067659</v>
      </c>
    </row>
    <row r="1414" spans="1:8" ht="13.5" customHeight="1" x14ac:dyDescent="0.3">
      <c r="A1414" s="1" t="s">
        <v>242</v>
      </c>
      <c r="B1414" s="1" t="s">
        <v>2981</v>
      </c>
      <c r="C1414" s="1" t="s">
        <v>5076</v>
      </c>
      <c r="D1414" s="1">
        <v>2021</v>
      </c>
      <c r="E1414" s="1" t="str">
        <f t="shared" si="5"/>
        <v>KICKSKICKS 1.6 AT2021</v>
      </c>
      <c r="F1414" s="1" t="s">
        <v>1801</v>
      </c>
      <c r="G1414" s="1">
        <v>12621620</v>
      </c>
      <c r="H1414" s="1">
        <v>10500000</v>
      </c>
    </row>
    <row r="1415" spans="1:8" ht="13.5" customHeight="1" x14ac:dyDescent="0.3">
      <c r="A1415" s="1" t="s">
        <v>242</v>
      </c>
      <c r="B1415" s="1" t="s">
        <v>2981</v>
      </c>
      <c r="C1415" s="1" t="s">
        <v>5077</v>
      </c>
      <c r="D1415" s="1">
        <v>2019</v>
      </c>
      <c r="E1415" s="1" t="str">
        <f t="shared" si="5"/>
        <v>KICKSKICKS 1.6 AUT2019</v>
      </c>
      <c r="F1415" s="1" t="s">
        <v>612</v>
      </c>
      <c r="G1415" s="1">
        <v>11290000</v>
      </c>
      <c r="H1415" s="1">
        <v>9300000</v>
      </c>
    </row>
    <row r="1416" spans="1:8" ht="13.5" customHeight="1" x14ac:dyDescent="0.3">
      <c r="A1416" s="1" t="s">
        <v>242</v>
      </c>
      <c r="B1416" s="1" t="s">
        <v>2981</v>
      </c>
      <c r="C1416" s="1" t="s">
        <v>5078</v>
      </c>
      <c r="D1416" s="1">
        <v>2024</v>
      </c>
      <c r="E1416" s="1" t="str">
        <f t="shared" si="5"/>
        <v>KICKSKICKS 4X2 1.6 AUT2024</v>
      </c>
      <c r="F1416" s="1" t="s">
        <v>1543</v>
      </c>
      <c r="G1416" s="1">
        <v>17690000</v>
      </c>
      <c r="H1416" s="1">
        <v>15000000</v>
      </c>
    </row>
    <row r="1417" spans="1:8" ht="13.5" customHeight="1" x14ac:dyDescent="0.3">
      <c r="A1417" s="1" t="s">
        <v>242</v>
      </c>
      <c r="B1417" s="1" t="s">
        <v>2981</v>
      </c>
      <c r="C1417" s="1" t="s">
        <v>5079</v>
      </c>
      <c r="D1417" s="1">
        <v>2019</v>
      </c>
      <c r="E1417" s="1" t="str">
        <f t="shared" si="5"/>
        <v>KICKSKICKS ADVANCE 1.62019</v>
      </c>
      <c r="F1417" s="1" t="s">
        <v>478</v>
      </c>
      <c r="G1417" s="1">
        <v>10256620</v>
      </c>
      <c r="H1417" s="1">
        <v>8150000</v>
      </c>
    </row>
    <row r="1418" spans="1:8" ht="13.5" customHeight="1" x14ac:dyDescent="0.3">
      <c r="A1418" s="1" t="s">
        <v>242</v>
      </c>
      <c r="B1418" s="1" t="s">
        <v>2981</v>
      </c>
      <c r="C1418" s="1" t="s">
        <v>5079</v>
      </c>
      <c r="D1418" s="1">
        <v>2019</v>
      </c>
      <c r="E1418" s="1" t="str">
        <f t="shared" si="5"/>
        <v>KICKSKICKS ADVANCE 1.62019</v>
      </c>
      <c r="F1418" s="1" t="s">
        <v>1338</v>
      </c>
      <c r="G1418" s="1">
        <v>21780000</v>
      </c>
      <c r="H1418" s="1">
        <v>18000000</v>
      </c>
    </row>
    <row r="1419" spans="1:8" ht="13.5" customHeight="1" x14ac:dyDescent="0.3">
      <c r="A1419" s="1" t="s">
        <v>242</v>
      </c>
      <c r="B1419" s="1" t="s">
        <v>2981</v>
      </c>
      <c r="C1419" s="1" t="s">
        <v>5079</v>
      </c>
      <c r="D1419" s="1">
        <v>2019</v>
      </c>
      <c r="E1419" s="1" t="str">
        <f t="shared" si="5"/>
        <v>KICKSKICKS ADVANCE 1.62019</v>
      </c>
      <c r="F1419" s="1" t="s">
        <v>862</v>
      </c>
      <c r="G1419" s="1">
        <v>8990000</v>
      </c>
      <c r="H1419" s="1">
        <v>6850000</v>
      </c>
    </row>
    <row r="1420" spans="1:8" ht="13.5" customHeight="1" x14ac:dyDescent="0.3">
      <c r="A1420" s="1" t="s">
        <v>242</v>
      </c>
      <c r="B1420" s="1" t="s">
        <v>2981</v>
      </c>
      <c r="C1420" s="1" t="s">
        <v>5079</v>
      </c>
      <c r="D1420" s="1">
        <v>2020</v>
      </c>
      <c r="E1420" s="1" t="str">
        <f t="shared" si="5"/>
        <v>KICKSKICKS ADVANCE 1.62020</v>
      </c>
      <c r="F1420" s="1" t="s">
        <v>1297</v>
      </c>
      <c r="G1420" s="1">
        <v>10900000</v>
      </c>
      <c r="H1420" s="1">
        <v>8500000</v>
      </c>
    </row>
    <row r="1421" spans="1:8" ht="13.5" customHeight="1" x14ac:dyDescent="0.3">
      <c r="A1421" s="1" t="s">
        <v>242</v>
      </c>
      <c r="B1421" s="1" t="s">
        <v>2981</v>
      </c>
      <c r="C1421" s="1" t="s">
        <v>5079</v>
      </c>
      <c r="D1421" s="1">
        <v>2020</v>
      </c>
      <c r="E1421" s="1" t="str">
        <f t="shared" si="5"/>
        <v>KICKSKICKS ADVANCE 1.62020</v>
      </c>
      <c r="F1421" s="1" t="s">
        <v>2186</v>
      </c>
      <c r="G1421" s="1">
        <v>10790000</v>
      </c>
      <c r="H1421" s="1">
        <v>8700000</v>
      </c>
    </row>
    <row r="1422" spans="1:8" ht="13.5" customHeight="1" x14ac:dyDescent="0.3">
      <c r="A1422" s="1" t="s">
        <v>242</v>
      </c>
      <c r="B1422" s="1" t="s">
        <v>2981</v>
      </c>
      <c r="C1422" s="1" t="s">
        <v>5079</v>
      </c>
      <c r="D1422" s="1">
        <v>2020</v>
      </c>
      <c r="E1422" s="1" t="str">
        <f t="shared" si="5"/>
        <v>KICKSKICKS ADVANCE 1.62020</v>
      </c>
      <c r="F1422" s="1" t="s">
        <v>2161</v>
      </c>
      <c r="G1422" s="1">
        <v>11790000</v>
      </c>
      <c r="H1422" s="1">
        <v>9500000</v>
      </c>
    </row>
    <row r="1423" spans="1:8" ht="13.5" customHeight="1" x14ac:dyDescent="0.3">
      <c r="A1423" s="1" t="s">
        <v>242</v>
      </c>
      <c r="B1423" s="1" t="s">
        <v>2981</v>
      </c>
      <c r="C1423" s="1" t="s">
        <v>5079</v>
      </c>
      <c r="D1423" s="1">
        <v>2020</v>
      </c>
      <c r="E1423" s="1" t="str">
        <f t="shared" si="5"/>
        <v>KICKSKICKS ADVANCE 1.62020</v>
      </c>
      <c r="F1423" s="1" t="s">
        <v>2200</v>
      </c>
      <c r="G1423" s="1">
        <v>11790000</v>
      </c>
      <c r="H1423" s="1">
        <v>9700000</v>
      </c>
    </row>
    <row r="1424" spans="1:8" ht="13.5" customHeight="1" x14ac:dyDescent="0.3">
      <c r="A1424" s="1" t="s">
        <v>242</v>
      </c>
      <c r="B1424" s="1" t="s">
        <v>2981</v>
      </c>
      <c r="C1424" s="1" t="s">
        <v>5079</v>
      </c>
      <c r="D1424" s="1">
        <v>2021</v>
      </c>
      <c r="E1424" s="1" t="str">
        <f t="shared" si="5"/>
        <v>KICKSKICKS ADVANCE 1.62021</v>
      </c>
      <c r="F1424" s="1" t="s">
        <v>1043</v>
      </c>
      <c r="G1424" s="1">
        <v>11990000</v>
      </c>
      <c r="H1424" s="1">
        <v>9300000</v>
      </c>
    </row>
    <row r="1425" spans="1:8" ht="13.5" customHeight="1" x14ac:dyDescent="0.3">
      <c r="A1425" s="1" t="s">
        <v>242</v>
      </c>
      <c r="B1425" s="1" t="s">
        <v>2981</v>
      </c>
      <c r="C1425" s="1" t="s">
        <v>5079</v>
      </c>
      <c r="D1425" s="1">
        <v>2021</v>
      </c>
      <c r="E1425" s="1" t="str">
        <f t="shared" si="5"/>
        <v>KICKSKICKS ADVANCE 1.62021</v>
      </c>
      <c r="F1425" s="1" t="s">
        <v>1979</v>
      </c>
      <c r="G1425" s="1">
        <v>11990000</v>
      </c>
      <c r="H1425" s="1">
        <v>9500000</v>
      </c>
    </row>
    <row r="1426" spans="1:8" ht="13.5" customHeight="1" x14ac:dyDescent="0.3">
      <c r="A1426" s="1" t="s">
        <v>242</v>
      </c>
      <c r="B1426" s="1" t="s">
        <v>2981</v>
      </c>
      <c r="C1426" s="1" t="s">
        <v>5079</v>
      </c>
      <c r="D1426" s="1">
        <v>2022</v>
      </c>
      <c r="E1426" s="1" t="str">
        <f t="shared" si="5"/>
        <v>KICKSKICKS ADVANCE 1.62022</v>
      </c>
      <c r="F1426" s="1" t="s">
        <v>1235</v>
      </c>
      <c r="G1426" s="1">
        <v>12990000</v>
      </c>
      <c r="H1426" s="1">
        <v>11000000</v>
      </c>
    </row>
    <row r="1427" spans="1:8" ht="13.5" customHeight="1" x14ac:dyDescent="0.3">
      <c r="A1427" s="1" t="s">
        <v>242</v>
      </c>
      <c r="B1427" s="1" t="s">
        <v>2981</v>
      </c>
      <c r="C1427" s="1" t="s">
        <v>5080</v>
      </c>
      <c r="D1427" s="1">
        <v>2018</v>
      </c>
      <c r="E1427" s="1" t="str">
        <f t="shared" si="5"/>
        <v>KICKSKICKS ADVANCE 1.6 AUT2018</v>
      </c>
      <c r="F1427" s="1" t="s">
        <v>2339</v>
      </c>
      <c r="G1427" s="1">
        <v>10990000</v>
      </c>
      <c r="H1427" s="1">
        <v>9000000</v>
      </c>
    </row>
    <row r="1428" spans="1:8" ht="13.5" customHeight="1" x14ac:dyDescent="0.3">
      <c r="A1428" s="1" t="s">
        <v>242</v>
      </c>
      <c r="B1428" s="1" t="s">
        <v>2981</v>
      </c>
      <c r="C1428" s="1" t="s">
        <v>5080</v>
      </c>
      <c r="D1428" s="1">
        <v>2019</v>
      </c>
      <c r="E1428" s="1" t="str">
        <f t="shared" si="5"/>
        <v>KICKSKICKS ADVANCE 1.6 AUT2019</v>
      </c>
      <c r="F1428" s="1" t="s">
        <v>2341</v>
      </c>
      <c r="G1428" s="1">
        <v>10990000</v>
      </c>
      <c r="H1428" s="1">
        <v>6600000</v>
      </c>
    </row>
    <row r="1429" spans="1:8" ht="13.5" customHeight="1" x14ac:dyDescent="0.3">
      <c r="A1429" s="1" t="s">
        <v>242</v>
      </c>
      <c r="B1429" s="1" t="s">
        <v>2981</v>
      </c>
      <c r="C1429" s="1" t="s">
        <v>5081</v>
      </c>
      <c r="D1429" s="1">
        <v>2021</v>
      </c>
      <c r="E1429" s="1" t="str">
        <f t="shared" si="5"/>
        <v>KICKSKICKS CVT 1.6 AUT2021</v>
      </c>
      <c r="F1429" s="1" t="s">
        <v>2353</v>
      </c>
      <c r="G1429" s="1">
        <v>14490000</v>
      </c>
      <c r="H1429" s="1">
        <v>12000000</v>
      </c>
    </row>
    <row r="1430" spans="1:8" ht="13.5" customHeight="1" x14ac:dyDescent="0.3">
      <c r="A1430" s="1" t="s">
        <v>242</v>
      </c>
      <c r="B1430" s="1" t="s">
        <v>2981</v>
      </c>
      <c r="C1430" s="1" t="s">
        <v>5081</v>
      </c>
      <c r="D1430" s="1">
        <v>2022</v>
      </c>
      <c r="E1430" s="1" t="str">
        <f t="shared" si="5"/>
        <v>KICKSKICKS CVT 1.6 AUT2022</v>
      </c>
      <c r="F1430" s="1" t="s">
        <v>1192</v>
      </c>
      <c r="G1430" s="1">
        <v>13990000</v>
      </c>
      <c r="H1430" s="1">
        <v>11800000</v>
      </c>
    </row>
    <row r="1431" spans="1:8" ht="13.5" customHeight="1" x14ac:dyDescent="0.3">
      <c r="A1431" s="1" t="s">
        <v>242</v>
      </c>
      <c r="B1431" s="1" t="s">
        <v>2981</v>
      </c>
      <c r="C1431" s="1" t="s">
        <v>5081</v>
      </c>
      <c r="D1431" s="1">
        <v>2022</v>
      </c>
      <c r="E1431" s="1" t="str">
        <f t="shared" si="5"/>
        <v>KICKSKICKS CVT 1.6 AUT2022</v>
      </c>
      <c r="F1431" s="1" t="s">
        <v>1051</v>
      </c>
      <c r="G1431" s="1">
        <v>13704120</v>
      </c>
      <c r="H1431" s="1">
        <v>12100000</v>
      </c>
    </row>
    <row r="1432" spans="1:8" ht="13.5" customHeight="1" x14ac:dyDescent="0.3">
      <c r="A1432" s="1" t="s">
        <v>242</v>
      </c>
      <c r="B1432" s="1" t="s">
        <v>2981</v>
      </c>
      <c r="C1432" s="1" t="s">
        <v>5081</v>
      </c>
      <c r="D1432" s="1">
        <v>2022</v>
      </c>
      <c r="E1432" s="1" t="str">
        <f t="shared" si="5"/>
        <v>KICKSKICKS CVT 1.6 AUT2022</v>
      </c>
      <c r="F1432" s="1" t="s">
        <v>1129</v>
      </c>
      <c r="G1432" s="1">
        <v>13290000</v>
      </c>
      <c r="H1432" s="1">
        <v>12100000</v>
      </c>
    </row>
    <row r="1433" spans="1:8" ht="13.5" customHeight="1" x14ac:dyDescent="0.3">
      <c r="A1433" s="1" t="s">
        <v>242</v>
      </c>
      <c r="B1433" s="1" t="s">
        <v>2981</v>
      </c>
      <c r="C1433" s="1" t="s">
        <v>5081</v>
      </c>
      <c r="D1433" s="1">
        <v>2022</v>
      </c>
      <c r="E1433" s="1" t="str">
        <f t="shared" si="5"/>
        <v>KICKSKICKS CVT 1.6 AUT2022</v>
      </c>
      <c r="F1433" s="1" t="s">
        <v>1059</v>
      </c>
      <c r="G1433" s="1">
        <v>13705000</v>
      </c>
      <c r="H1433" s="1">
        <v>12000000</v>
      </c>
    </row>
    <row r="1434" spans="1:8" ht="13.5" customHeight="1" x14ac:dyDescent="0.3">
      <c r="A1434" s="1" t="s">
        <v>242</v>
      </c>
      <c r="B1434" s="1" t="s">
        <v>2981</v>
      </c>
      <c r="C1434" s="1" t="s">
        <v>5081</v>
      </c>
      <c r="D1434" s="1">
        <v>2022</v>
      </c>
      <c r="E1434" s="1" t="str">
        <f t="shared" si="5"/>
        <v>KICKSKICKS CVT 1.6 AUT2022</v>
      </c>
      <c r="F1434" s="1" t="s">
        <v>2115</v>
      </c>
      <c r="G1434" s="1">
        <v>14990000</v>
      </c>
      <c r="H1434" s="1">
        <v>12200000</v>
      </c>
    </row>
    <row r="1435" spans="1:8" ht="13.5" customHeight="1" x14ac:dyDescent="0.3">
      <c r="A1435" s="1" t="s">
        <v>242</v>
      </c>
      <c r="B1435" s="1" t="s">
        <v>2981</v>
      </c>
      <c r="C1435" s="1" t="s">
        <v>5081</v>
      </c>
      <c r="D1435" s="1">
        <v>2023</v>
      </c>
      <c r="E1435" s="1" t="str">
        <f t="shared" si="5"/>
        <v>KICKSKICKS CVT 1.6 AUT2023</v>
      </c>
      <c r="F1435" s="1" t="s">
        <v>1095</v>
      </c>
      <c r="G1435" s="1">
        <v>14990000</v>
      </c>
      <c r="H1435" s="1">
        <v>12500000</v>
      </c>
    </row>
    <row r="1436" spans="1:8" ht="13.5" customHeight="1" x14ac:dyDescent="0.3">
      <c r="A1436" s="1" t="s">
        <v>242</v>
      </c>
      <c r="B1436" s="1" t="s">
        <v>2981</v>
      </c>
      <c r="C1436" s="1" t="s">
        <v>5082</v>
      </c>
      <c r="D1436" s="1">
        <v>2023</v>
      </c>
      <c r="E1436" s="1" t="str">
        <f t="shared" si="5"/>
        <v>KICKSKICKS MT 1.62023</v>
      </c>
      <c r="F1436" s="1" t="s">
        <v>5083</v>
      </c>
      <c r="G1436" s="1">
        <v>14990000</v>
      </c>
      <c r="H1436" s="1">
        <v>13800000</v>
      </c>
    </row>
    <row r="1437" spans="1:8" ht="13.5" customHeight="1" x14ac:dyDescent="0.3">
      <c r="A1437" s="1" t="s">
        <v>242</v>
      </c>
      <c r="B1437" s="1" t="s">
        <v>2981</v>
      </c>
      <c r="C1437" s="1" t="s">
        <v>5082</v>
      </c>
      <c r="D1437" s="1">
        <v>2023</v>
      </c>
      <c r="E1437" s="1" t="str">
        <f t="shared" si="5"/>
        <v>KICKSKICKS MT 1.62023</v>
      </c>
      <c r="F1437" s="1" t="s">
        <v>948</v>
      </c>
      <c r="G1437" s="1">
        <v>12990000</v>
      </c>
      <c r="H1437" s="1">
        <v>11000000</v>
      </c>
    </row>
    <row r="1438" spans="1:8" ht="13.5" customHeight="1" x14ac:dyDescent="0.3">
      <c r="A1438" s="1" t="s">
        <v>242</v>
      </c>
      <c r="B1438" s="1" t="s">
        <v>2981</v>
      </c>
      <c r="C1438" s="1" t="s">
        <v>5082</v>
      </c>
      <c r="D1438" s="1">
        <v>2024</v>
      </c>
      <c r="E1438" s="1" t="str">
        <f t="shared" si="5"/>
        <v>KICKSKICKS MT 1.62024</v>
      </c>
      <c r="F1438" s="1" t="s">
        <v>843</v>
      </c>
      <c r="G1438" s="1">
        <v>14790000</v>
      </c>
      <c r="H1438" s="1">
        <v>12500000</v>
      </c>
    </row>
    <row r="1439" spans="1:8" ht="13.5" customHeight="1" x14ac:dyDescent="0.3">
      <c r="A1439" s="1" t="s">
        <v>242</v>
      </c>
      <c r="B1439" s="1" t="s">
        <v>2981</v>
      </c>
      <c r="C1439" s="1" t="s">
        <v>5084</v>
      </c>
      <c r="D1439" s="1">
        <v>2018</v>
      </c>
      <c r="E1439" s="1" t="str">
        <f t="shared" si="5"/>
        <v>KICKSKICKS SENSE 1.62018</v>
      </c>
      <c r="F1439" s="1" t="s">
        <v>2208</v>
      </c>
      <c r="G1439" s="1">
        <v>9490000</v>
      </c>
      <c r="H1439" s="1">
        <v>7500000</v>
      </c>
    </row>
    <row r="1440" spans="1:8" ht="13.5" customHeight="1" x14ac:dyDescent="0.3">
      <c r="A1440" s="1" t="s">
        <v>242</v>
      </c>
      <c r="B1440" s="1" t="s">
        <v>2981</v>
      </c>
      <c r="C1440" s="1" t="s">
        <v>5084</v>
      </c>
      <c r="D1440" s="1">
        <v>2018</v>
      </c>
      <c r="E1440" s="1" t="str">
        <f t="shared" si="5"/>
        <v>KICKSKICKS SENSE 1.62018</v>
      </c>
      <c r="F1440" s="1" t="s">
        <v>1754</v>
      </c>
      <c r="G1440" s="1">
        <v>9075620</v>
      </c>
      <c r="H1440" s="1">
        <v>7500000</v>
      </c>
    </row>
    <row r="1441" spans="1:8" ht="13.5" customHeight="1" x14ac:dyDescent="0.3">
      <c r="A1441" s="1" t="s">
        <v>242</v>
      </c>
      <c r="B1441" s="1" t="s">
        <v>2981</v>
      </c>
      <c r="C1441" s="1" t="s">
        <v>5084</v>
      </c>
      <c r="D1441" s="1">
        <v>2019</v>
      </c>
      <c r="E1441" s="1" t="str">
        <f t="shared" si="5"/>
        <v>KICKSKICKS SENSE 1.62019</v>
      </c>
      <c r="F1441" s="1" t="s">
        <v>1243</v>
      </c>
      <c r="G1441" s="1">
        <v>10490000</v>
      </c>
      <c r="H1441" s="1">
        <v>8500000</v>
      </c>
    </row>
    <row r="1442" spans="1:8" ht="13.5" customHeight="1" x14ac:dyDescent="0.3">
      <c r="A1442" s="1" t="s">
        <v>242</v>
      </c>
      <c r="B1442" s="1" t="s">
        <v>2981</v>
      </c>
      <c r="C1442" s="1" t="s">
        <v>5084</v>
      </c>
      <c r="D1442" s="1">
        <v>2019</v>
      </c>
      <c r="E1442" s="1" t="str">
        <f t="shared" si="5"/>
        <v>KICKSKICKS SENSE 1.62019</v>
      </c>
      <c r="F1442" s="1" t="s">
        <v>2384</v>
      </c>
      <c r="G1442" s="1">
        <v>10990000</v>
      </c>
      <c r="H1442" s="1">
        <v>9000000</v>
      </c>
    </row>
    <row r="1443" spans="1:8" ht="13.5" customHeight="1" x14ac:dyDescent="0.3">
      <c r="A1443" s="1" t="s">
        <v>242</v>
      </c>
      <c r="B1443" s="1" t="s">
        <v>2981</v>
      </c>
      <c r="C1443" s="1" t="s">
        <v>5084</v>
      </c>
      <c r="D1443" s="1">
        <v>2019</v>
      </c>
      <c r="E1443" s="1" t="str">
        <f t="shared" si="5"/>
        <v>KICKSKICKS SENSE 1.62019</v>
      </c>
      <c r="F1443" s="1" t="s">
        <v>548</v>
      </c>
      <c r="G1443" s="1">
        <v>19980000</v>
      </c>
      <c r="H1443" s="1">
        <v>15890000</v>
      </c>
    </row>
    <row r="1444" spans="1:8" ht="13.5" customHeight="1" x14ac:dyDescent="0.3">
      <c r="A1444" s="1" t="s">
        <v>242</v>
      </c>
      <c r="B1444" s="1" t="s">
        <v>2981</v>
      </c>
      <c r="C1444" s="1" t="s">
        <v>5084</v>
      </c>
      <c r="D1444" s="1">
        <v>2020</v>
      </c>
      <c r="E1444" s="1" t="str">
        <f t="shared" si="5"/>
        <v>KICKSKICKS SENSE 1.62020</v>
      </c>
      <c r="F1444" s="1" t="s">
        <v>1818</v>
      </c>
      <c r="G1444" s="1">
        <v>10190000</v>
      </c>
      <c r="H1444" s="1">
        <v>8300000</v>
      </c>
    </row>
    <row r="1445" spans="1:8" ht="13.5" customHeight="1" x14ac:dyDescent="0.3">
      <c r="A1445" s="1" t="s">
        <v>242</v>
      </c>
      <c r="B1445" s="1" t="s">
        <v>2981</v>
      </c>
      <c r="C1445" s="1" t="s">
        <v>5084</v>
      </c>
      <c r="D1445" s="1">
        <v>2021</v>
      </c>
      <c r="E1445" s="1" t="str">
        <f t="shared" si="5"/>
        <v>KICKSKICKS SENSE 1.62021</v>
      </c>
      <c r="F1445" s="1" t="s">
        <v>2026</v>
      </c>
      <c r="G1445" s="1">
        <v>10590000</v>
      </c>
      <c r="H1445" s="1">
        <v>9000000</v>
      </c>
    </row>
    <row r="1446" spans="1:8" ht="13.5" customHeight="1" x14ac:dyDescent="0.3">
      <c r="A1446" s="1" t="s">
        <v>242</v>
      </c>
      <c r="B1446" s="1" t="s">
        <v>2981</v>
      </c>
      <c r="C1446" s="1" t="s">
        <v>5085</v>
      </c>
      <c r="D1446" s="1">
        <v>2020</v>
      </c>
      <c r="E1446" s="1" t="str">
        <f t="shared" si="5"/>
        <v>KICKSKICKS SENSE 2.02020</v>
      </c>
      <c r="F1446" s="1" t="s">
        <v>2016</v>
      </c>
      <c r="G1446" s="1">
        <v>10890000</v>
      </c>
      <c r="H1446" s="1">
        <v>8785294</v>
      </c>
    </row>
    <row r="1447" spans="1:8" ht="13.5" customHeight="1" x14ac:dyDescent="0.3">
      <c r="A1447" s="1" t="s">
        <v>242</v>
      </c>
      <c r="B1447" s="1" t="s">
        <v>3198</v>
      </c>
      <c r="C1447" s="1" t="s">
        <v>5086</v>
      </c>
      <c r="D1447" s="1">
        <v>2021</v>
      </c>
      <c r="E1447" s="1" t="str">
        <f t="shared" si="5"/>
        <v>MURANOMURANO Z52 4X4 3.5 AUT2021</v>
      </c>
      <c r="F1447" s="1" t="s">
        <v>2053</v>
      </c>
      <c r="G1447" s="1">
        <v>19990000</v>
      </c>
      <c r="H1447" s="1">
        <v>37300000</v>
      </c>
    </row>
    <row r="1448" spans="1:8" ht="13.5" customHeight="1" x14ac:dyDescent="0.3">
      <c r="A1448" s="1" t="s">
        <v>242</v>
      </c>
      <c r="B1448" s="1" t="s">
        <v>3198</v>
      </c>
      <c r="C1448" s="1" t="s">
        <v>5086</v>
      </c>
      <c r="D1448" s="1">
        <v>2022</v>
      </c>
      <c r="E1448" s="1" t="str">
        <f t="shared" si="5"/>
        <v>MURANOMURANO Z52 4X4 3.5 AUT2022</v>
      </c>
      <c r="F1448" s="1" t="s">
        <v>2103</v>
      </c>
      <c r="G1448" s="1">
        <v>26190000</v>
      </c>
      <c r="H1448" s="1">
        <v>22000000</v>
      </c>
    </row>
    <row r="1449" spans="1:8" ht="13.5" customHeight="1" x14ac:dyDescent="0.3">
      <c r="A1449" s="1" t="s">
        <v>242</v>
      </c>
      <c r="B1449" s="1" t="s">
        <v>3198</v>
      </c>
      <c r="C1449" s="1" t="s">
        <v>5087</v>
      </c>
      <c r="D1449" s="1">
        <v>2020</v>
      </c>
      <c r="E1449" s="1" t="str">
        <f t="shared" si="5"/>
        <v>MURANONEW MURANO 4X4 3.5 AUT2020</v>
      </c>
      <c r="F1449" s="1" t="s">
        <v>1448</v>
      </c>
      <c r="G1449" s="1">
        <v>23060000</v>
      </c>
      <c r="H1449" s="1">
        <v>20000000</v>
      </c>
    </row>
    <row r="1450" spans="1:8" ht="13.5" customHeight="1" x14ac:dyDescent="0.3">
      <c r="A1450" s="1" t="s">
        <v>242</v>
      </c>
      <c r="B1450" s="1" t="s">
        <v>2988</v>
      </c>
      <c r="C1450" s="1" t="s">
        <v>5088</v>
      </c>
      <c r="D1450" s="1">
        <v>2021</v>
      </c>
      <c r="E1450" s="1" t="str">
        <f t="shared" si="5"/>
        <v>NAVARANAVARA D CAB 2.32021</v>
      </c>
      <c r="F1450" s="1" t="s">
        <v>2267</v>
      </c>
      <c r="G1450" s="1">
        <v>19590000</v>
      </c>
      <c r="H1450" s="1">
        <v>17000000</v>
      </c>
    </row>
    <row r="1451" spans="1:8" ht="13.5" customHeight="1" x14ac:dyDescent="0.3">
      <c r="A1451" s="1" t="s">
        <v>242</v>
      </c>
      <c r="B1451" s="1" t="s">
        <v>2988</v>
      </c>
      <c r="C1451" s="1" t="s">
        <v>5088</v>
      </c>
      <c r="D1451" s="1">
        <v>2021</v>
      </c>
      <c r="E1451" s="1" t="str">
        <f t="shared" si="5"/>
        <v>NAVARANAVARA D CAB 2.32021</v>
      </c>
      <c r="F1451" s="1" t="s">
        <v>1880</v>
      </c>
      <c r="G1451" s="1">
        <v>17490000</v>
      </c>
      <c r="H1451" s="1">
        <v>13500000</v>
      </c>
    </row>
    <row r="1452" spans="1:8" ht="13.5" customHeight="1" x14ac:dyDescent="0.3">
      <c r="A1452" s="1" t="s">
        <v>242</v>
      </c>
      <c r="B1452" s="1" t="s">
        <v>2988</v>
      </c>
      <c r="C1452" s="1" t="s">
        <v>5089</v>
      </c>
      <c r="D1452" s="1">
        <v>2021</v>
      </c>
      <c r="E1452" s="1" t="str">
        <f t="shared" si="5"/>
        <v>NAVARANAVARA D CAB 4X4 2.3 AT2021</v>
      </c>
      <c r="F1452" s="1" t="s">
        <v>2298</v>
      </c>
      <c r="G1452" s="1">
        <v>23490000</v>
      </c>
      <c r="H1452" s="1">
        <v>23000000</v>
      </c>
    </row>
    <row r="1453" spans="1:8" ht="13.5" customHeight="1" x14ac:dyDescent="0.3">
      <c r="A1453" s="1" t="s">
        <v>242</v>
      </c>
      <c r="B1453" s="1" t="s">
        <v>2988</v>
      </c>
      <c r="C1453" s="1" t="s">
        <v>5089</v>
      </c>
      <c r="D1453" s="1">
        <v>2021</v>
      </c>
      <c r="E1453" s="1" t="str">
        <f t="shared" si="5"/>
        <v>NAVARANAVARA D CAB 4X4 2.3 AT2021</v>
      </c>
      <c r="F1453" s="1" t="s">
        <v>1395</v>
      </c>
      <c r="G1453" s="1">
        <v>18790000</v>
      </c>
      <c r="H1453" s="1">
        <v>15500000</v>
      </c>
    </row>
    <row r="1454" spans="1:8" ht="13.5" customHeight="1" x14ac:dyDescent="0.3">
      <c r="A1454" s="1" t="s">
        <v>242</v>
      </c>
      <c r="B1454" s="1" t="s">
        <v>2988</v>
      </c>
      <c r="C1454" s="1" t="s">
        <v>5089</v>
      </c>
      <c r="D1454" s="1">
        <v>2022</v>
      </c>
      <c r="E1454" s="1" t="str">
        <f t="shared" si="5"/>
        <v>NAVARANAVARA D CAB 4X4 2.3 AT2022</v>
      </c>
      <c r="F1454" s="1" t="s">
        <v>2174</v>
      </c>
      <c r="G1454" s="1">
        <v>21990000</v>
      </c>
      <c r="H1454" s="1">
        <v>21657983</v>
      </c>
    </row>
    <row r="1455" spans="1:8" ht="13.5" customHeight="1" x14ac:dyDescent="0.3">
      <c r="A1455" s="1" t="s">
        <v>242</v>
      </c>
      <c r="B1455" s="1" t="s">
        <v>2988</v>
      </c>
      <c r="C1455" s="1" t="s">
        <v>5089</v>
      </c>
      <c r="D1455" s="1">
        <v>2022</v>
      </c>
      <c r="E1455" s="1" t="str">
        <f t="shared" si="5"/>
        <v>NAVARANAVARA D CAB 4X4 2.3 AT2022</v>
      </c>
      <c r="F1455" s="1" t="s">
        <v>2162</v>
      </c>
      <c r="G1455" s="1">
        <v>23190000</v>
      </c>
      <c r="H1455" s="1">
        <v>21900000</v>
      </c>
    </row>
    <row r="1456" spans="1:8" ht="13.5" customHeight="1" x14ac:dyDescent="0.3">
      <c r="A1456" s="1" t="s">
        <v>242</v>
      </c>
      <c r="B1456" s="1" t="s">
        <v>2988</v>
      </c>
      <c r="C1456" s="1" t="s">
        <v>5089</v>
      </c>
      <c r="D1456" s="1">
        <v>2022</v>
      </c>
      <c r="E1456" s="1" t="str">
        <f t="shared" si="5"/>
        <v>NAVARANAVARA D CAB 4X4 2.3 AT2022</v>
      </c>
      <c r="F1456" s="1" t="s">
        <v>1375</v>
      </c>
      <c r="G1456" s="1">
        <v>20690000</v>
      </c>
      <c r="H1456" s="1">
        <v>17500000</v>
      </c>
    </row>
    <row r="1457" spans="1:8" ht="13.5" customHeight="1" x14ac:dyDescent="0.3">
      <c r="A1457" s="1" t="s">
        <v>242</v>
      </c>
      <c r="B1457" s="1" t="s">
        <v>2988</v>
      </c>
      <c r="C1457" s="1" t="s">
        <v>5089</v>
      </c>
      <c r="D1457" s="1">
        <v>2022</v>
      </c>
      <c r="E1457" s="1" t="str">
        <f t="shared" si="5"/>
        <v>NAVARANAVARA D CAB 4X4 2.3 AT2022</v>
      </c>
      <c r="F1457" s="1" t="s">
        <v>1566</v>
      </c>
      <c r="G1457" s="1">
        <v>22000000</v>
      </c>
      <c r="H1457" s="1">
        <v>19000000</v>
      </c>
    </row>
    <row r="1458" spans="1:8" ht="13.5" customHeight="1" x14ac:dyDescent="0.3">
      <c r="A1458" s="1" t="s">
        <v>242</v>
      </c>
      <c r="B1458" s="1" t="s">
        <v>2988</v>
      </c>
      <c r="C1458" s="1" t="s">
        <v>5089</v>
      </c>
      <c r="D1458" s="1">
        <v>2022</v>
      </c>
      <c r="E1458" s="1" t="str">
        <f t="shared" si="5"/>
        <v>NAVARANAVARA D CAB 4X4 2.3 AT2022</v>
      </c>
      <c r="F1458" s="1" t="s">
        <v>2105</v>
      </c>
      <c r="G1458" s="1">
        <v>23990000</v>
      </c>
      <c r="H1458" s="1">
        <v>24250000</v>
      </c>
    </row>
    <row r="1459" spans="1:8" ht="13.5" customHeight="1" x14ac:dyDescent="0.3">
      <c r="A1459" s="1" t="s">
        <v>242</v>
      </c>
      <c r="B1459" s="1" t="s">
        <v>2988</v>
      </c>
      <c r="C1459" s="1" t="s">
        <v>5089</v>
      </c>
      <c r="D1459" s="1">
        <v>2023</v>
      </c>
      <c r="E1459" s="1" t="str">
        <f t="shared" si="5"/>
        <v>NAVARANAVARA D CAB 4X4 2.3 AT2023</v>
      </c>
      <c r="F1459" s="1" t="s">
        <v>701</v>
      </c>
      <c r="G1459" s="1">
        <v>23650000</v>
      </c>
      <c r="H1459" s="1">
        <v>21000000</v>
      </c>
    </row>
    <row r="1460" spans="1:8" ht="13.5" customHeight="1" x14ac:dyDescent="0.3">
      <c r="A1460" s="1" t="s">
        <v>242</v>
      </c>
      <c r="B1460" s="1" t="s">
        <v>2988</v>
      </c>
      <c r="C1460" s="1" t="s">
        <v>5090</v>
      </c>
      <c r="D1460" s="1">
        <v>2021</v>
      </c>
      <c r="E1460" s="1" t="str">
        <f t="shared" si="5"/>
        <v>NAVARANAVARA D CAB MT 4X4 2.32021</v>
      </c>
      <c r="F1460" s="1" t="s">
        <v>2165</v>
      </c>
      <c r="G1460" s="1">
        <v>20690000</v>
      </c>
      <c r="H1460" s="1">
        <v>17000000</v>
      </c>
    </row>
    <row r="1461" spans="1:8" ht="13.5" customHeight="1" x14ac:dyDescent="0.3">
      <c r="A1461" s="1" t="s">
        <v>242</v>
      </c>
      <c r="B1461" s="1" t="s">
        <v>2988</v>
      </c>
      <c r="C1461" s="1" t="s">
        <v>5090</v>
      </c>
      <c r="D1461" s="1">
        <v>2021</v>
      </c>
      <c r="E1461" s="1" t="str">
        <f t="shared" si="5"/>
        <v>NAVARANAVARA D CAB MT 4X4 2.32021</v>
      </c>
      <c r="F1461" s="1" t="s">
        <v>977</v>
      </c>
      <c r="G1461" s="1">
        <v>18490000</v>
      </c>
      <c r="H1461" s="1">
        <v>16050000</v>
      </c>
    </row>
    <row r="1462" spans="1:8" ht="13.5" customHeight="1" x14ac:dyDescent="0.3">
      <c r="A1462" s="1" t="s">
        <v>242</v>
      </c>
      <c r="B1462" s="1" t="s">
        <v>2988</v>
      </c>
      <c r="C1462" s="1" t="s">
        <v>5090</v>
      </c>
      <c r="D1462" s="1">
        <v>2022</v>
      </c>
      <c r="E1462" s="1" t="str">
        <f t="shared" si="5"/>
        <v>NAVARANAVARA D CAB MT 4X4 2.32022</v>
      </c>
      <c r="F1462" s="1" t="s">
        <v>1790</v>
      </c>
      <c r="G1462" s="1">
        <v>18690000</v>
      </c>
      <c r="H1462" s="1">
        <v>16000000</v>
      </c>
    </row>
    <row r="1463" spans="1:8" ht="13.5" customHeight="1" x14ac:dyDescent="0.3">
      <c r="A1463" s="1" t="s">
        <v>242</v>
      </c>
      <c r="B1463" s="1" t="s">
        <v>2988</v>
      </c>
      <c r="C1463" s="1" t="s">
        <v>5090</v>
      </c>
      <c r="D1463" s="1">
        <v>2022</v>
      </c>
      <c r="E1463" s="1" t="str">
        <f t="shared" si="5"/>
        <v>NAVARANAVARA D CAB MT 4X4 2.32022</v>
      </c>
      <c r="F1463" s="1" t="s">
        <v>615</v>
      </c>
      <c r="G1463" s="1">
        <v>23490000</v>
      </c>
      <c r="H1463" s="1">
        <v>19900000</v>
      </c>
    </row>
    <row r="1464" spans="1:8" ht="13.5" customHeight="1" x14ac:dyDescent="0.3">
      <c r="A1464" s="1" t="s">
        <v>242</v>
      </c>
      <c r="B1464" s="1" t="s">
        <v>2988</v>
      </c>
      <c r="C1464" s="1" t="s">
        <v>5090</v>
      </c>
      <c r="D1464" s="1">
        <v>2023</v>
      </c>
      <c r="E1464" s="1" t="str">
        <f t="shared" si="5"/>
        <v>NAVARANAVARA D CAB MT 4X4 2.32023</v>
      </c>
      <c r="F1464" s="1" t="s">
        <v>987</v>
      </c>
      <c r="G1464" s="1">
        <v>23490000</v>
      </c>
      <c r="H1464" s="1">
        <v>23000000</v>
      </c>
    </row>
    <row r="1465" spans="1:8" ht="13.5" customHeight="1" x14ac:dyDescent="0.3">
      <c r="A1465" s="1" t="s">
        <v>242</v>
      </c>
      <c r="B1465" s="1" t="s">
        <v>2988</v>
      </c>
      <c r="C1465" s="1" t="s">
        <v>5090</v>
      </c>
      <c r="D1465" s="1">
        <v>2023</v>
      </c>
      <c r="E1465" s="1" t="str">
        <f t="shared" si="5"/>
        <v>NAVARANAVARA D CAB MT 4X4 2.32023</v>
      </c>
      <c r="F1465" s="1" t="s">
        <v>1112</v>
      </c>
      <c r="G1465" s="1">
        <v>25990000</v>
      </c>
      <c r="H1465" s="1">
        <v>27000000</v>
      </c>
    </row>
    <row r="1466" spans="1:8" ht="13.5" customHeight="1" x14ac:dyDescent="0.3">
      <c r="A1466" s="1" t="s">
        <v>242</v>
      </c>
      <c r="B1466" s="1" t="s">
        <v>2988</v>
      </c>
      <c r="C1466" s="1" t="s">
        <v>5091</v>
      </c>
      <c r="D1466" s="1">
        <v>2014</v>
      </c>
      <c r="E1466" s="1" t="str">
        <f t="shared" si="5"/>
        <v>NAVARANAVARA DCAB SE 4X4 2.52014</v>
      </c>
      <c r="F1466" s="1" t="s">
        <v>1324</v>
      </c>
      <c r="G1466" s="1">
        <v>11290000</v>
      </c>
      <c r="H1466" s="1">
        <v>9000000</v>
      </c>
    </row>
    <row r="1467" spans="1:8" ht="13.5" customHeight="1" x14ac:dyDescent="0.3">
      <c r="A1467" s="1" t="s">
        <v>242</v>
      </c>
      <c r="B1467" s="1" t="s">
        <v>2988</v>
      </c>
      <c r="C1467" s="1" t="s">
        <v>5092</v>
      </c>
      <c r="D1467" s="1">
        <v>2021</v>
      </c>
      <c r="E1467" s="1" t="str">
        <f t="shared" si="5"/>
        <v>NAVARANP300 NAVARA DCAB 2.32021</v>
      </c>
      <c r="F1467" s="1" t="s">
        <v>2258</v>
      </c>
      <c r="G1467" s="1">
        <v>15990000</v>
      </c>
      <c r="H1467" s="1">
        <v>15000000</v>
      </c>
    </row>
    <row r="1468" spans="1:8" ht="13.5" customHeight="1" x14ac:dyDescent="0.3">
      <c r="A1468" s="1" t="s">
        <v>242</v>
      </c>
      <c r="B1468" s="1" t="s">
        <v>3128</v>
      </c>
      <c r="C1468" s="1" t="s">
        <v>5093</v>
      </c>
      <c r="D1468" s="1">
        <v>2018</v>
      </c>
      <c r="E1468" s="1" t="str">
        <f t="shared" si="5"/>
        <v>NP300NP300 2.32018</v>
      </c>
      <c r="F1468" s="1" t="s">
        <v>2276</v>
      </c>
      <c r="G1468" s="1">
        <v>12990000</v>
      </c>
      <c r="H1468" s="1">
        <v>14000000</v>
      </c>
    </row>
    <row r="1469" spans="1:8" ht="13.5" customHeight="1" x14ac:dyDescent="0.3">
      <c r="A1469" s="1" t="s">
        <v>242</v>
      </c>
      <c r="B1469" s="1" t="s">
        <v>3128</v>
      </c>
      <c r="C1469" s="1" t="s">
        <v>5094</v>
      </c>
      <c r="D1469" s="1">
        <v>2020</v>
      </c>
      <c r="E1469" s="1" t="str">
        <f t="shared" si="5"/>
        <v>NP300NP300 DCAB 2.32020</v>
      </c>
      <c r="F1469" s="1" t="s">
        <v>1135</v>
      </c>
      <c r="G1469" s="1">
        <v>11672269</v>
      </c>
      <c r="H1469" s="1">
        <v>10000000</v>
      </c>
    </row>
    <row r="1470" spans="1:8" ht="13.5" customHeight="1" x14ac:dyDescent="0.3">
      <c r="A1470" s="1" t="s">
        <v>242</v>
      </c>
      <c r="B1470" s="1" t="s">
        <v>3128</v>
      </c>
      <c r="C1470" s="1" t="s">
        <v>5095</v>
      </c>
      <c r="D1470" s="1">
        <v>2019</v>
      </c>
      <c r="E1470" s="1" t="str">
        <f t="shared" si="5"/>
        <v>NP300NP300 DCAB LE 4X4 2.32019</v>
      </c>
      <c r="F1470" s="1" t="s">
        <v>1776</v>
      </c>
      <c r="G1470" s="1">
        <v>16290000</v>
      </c>
      <c r="H1470" s="1">
        <v>13897058</v>
      </c>
    </row>
    <row r="1471" spans="1:8" ht="13.5" customHeight="1" x14ac:dyDescent="0.3">
      <c r="A1471" s="1" t="s">
        <v>242</v>
      </c>
      <c r="B1471" s="1" t="s">
        <v>3128</v>
      </c>
      <c r="C1471" s="1" t="s">
        <v>5096</v>
      </c>
      <c r="D1471" s="1">
        <v>2019</v>
      </c>
      <c r="E1471" s="1" t="str">
        <f t="shared" si="5"/>
        <v>NP300NP300 DCAB LE 4X4 2.3 AUT2019</v>
      </c>
      <c r="F1471" s="1" t="s">
        <v>1314</v>
      </c>
      <c r="G1471" s="1">
        <v>17690000</v>
      </c>
      <c r="H1471" s="1">
        <v>15000000</v>
      </c>
    </row>
    <row r="1472" spans="1:8" ht="13.5" customHeight="1" x14ac:dyDescent="0.3">
      <c r="A1472" s="1" t="s">
        <v>242</v>
      </c>
      <c r="B1472" s="1" t="s">
        <v>3128</v>
      </c>
      <c r="C1472" s="1" t="s">
        <v>5097</v>
      </c>
      <c r="D1472" s="1">
        <v>2021</v>
      </c>
      <c r="E1472" s="1" t="str">
        <f t="shared" si="5"/>
        <v>NP300NP300 NAVARA DCAB 4X4 2.32021</v>
      </c>
      <c r="F1472" s="1" t="s">
        <v>2264</v>
      </c>
      <c r="G1472" s="1">
        <v>16990000</v>
      </c>
      <c r="H1472" s="1">
        <v>17800000</v>
      </c>
    </row>
    <row r="1473" spans="1:8" ht="13.5" customHeight="1" x14ac:dyDescent="0.3">
      <c r="A1473" s="1" t="s">
        <v>242</v>
      </c>
      <c r="B1473" s="1" t="s">
        <v>3128</v>
      </c>
      <c r="C1473" s="1" t="s">
        <v>5097</v>
      </c>
      <c r="D1473" s="1">
        <v>2021</v>
      </c>
      <c r="E1473" s="1" t="str">
        <f t="shared" si="5"/>
        <v>NP300NP300 NAVARA DCAB 4X4 2.32021</v>
      </c>
      <c r="F1473" s="1" t="s">
        <v>2311</v>
      </c>
      <c r="G1473" s="1">
        <v>22990000</v>
      </c>
      <c r="H1473" s="1">
        <v>20000000</v>
      </c>
    </row>
    <row r="1474" spans="1:8" ht="13.5" customHeight="1" x14ac:dyDescent="0.3">
      <c r="A1474" s="1" t="s">
        <v>242</v>
      </c>
      <c r="B1474" s="1" t="s">
        <v>3128</v>
      </c>
      <c r="C1474" s="1" t="s">
        <v>5098</v>
      </c>
      <c r="D1474" s="1">
        <v>2020</v>
      </c>
      <c r="E1474" s="1" t="str">
        <f t="shared" si="5"/>
        <v>NP300NP300 NAVARA DCAB XE 2.32020</v>
      </c>
      <c r="F1474" s="1" t="s">
        <v>1156</v>
      </c>
      <c r="G1474" s="1">
        <v>13990000</v>
      </c>
      <c r="H1474" s="1">
        <v>11500000</v>
      </c>
    </row>
    <row r="1475" spans="1:8" ht="13.5" customHeight="1" x14ac:dyDescent="0.3">
      <c r="A1475" s="1" t="s">
        <v>242</v>
      </c>
      <c r="B1475" s="1" t="s">
        <v>3128</v>
      </c>
      <c r="C1475" s="1" t="s">
        <v>5098</v>
      </c>
      <c r="D1475" s="1">
        <v>2021</v>
      </c>
      <c r="E1475" s="1" t="str">
        <f t="shared" si="5"/>
        <v>NP300NP300 NAVARA DCAB XE 2.32021</v>
      </c>
      <c r="F1475" s="1" t="s">
        <v>958</v>
      </c>
      <c r="G1475" s="1">
        <v>14790000</v>
      </c>
      <c r="H1475" s="1">
        <v>12500000</v>
      </c>
    </row>
    <row r="1476" spans="1:8" ht="13.5" customHeight="1" x14ac:dyDescent="0.3">
      <c r="A1476" s="1" t="s">
        <v>242</v>
      </c>
      <c r="B1476" s="1" t="s">
        <v>3303</v>
      </c>
      <c r="C1476" s="1" t="s">
        <v>5099</v>
      </c>
      <c r="D1476" s="1">
        <v>2015</v>
      </c>
      <c r="E1476" s="1" t="str">
        <f t="shared" si="5"/>
        <v>PATHFINDERPATHFINDER 3.5 AUT2015</v>
      </c>
      <c r="F1476" s="1" t="s">
        <v>1462</v>
      </c>
      <c r="G1476" s="1">
        <v>11590000</v>
      </c>
      <c r="H1476" s="1">
        <v>9500000</v>
      </c>
    </row>
    <row r="1477" spans="1:8" ht="13.5" customHeight="1" x14ac:dyDescent="0.3">
      <c r="A1477" s="1" t="s">
        <v>242</v>
      </c>
      <c r="B1477" s="1" t="s">
        <v>3303</v>
      </c>
      <c r="C1477" s="1" t="s">
        <v>5100</v>
      </c>
      <c r="D1477" s="1">
        <v>2020</v>
      </c>
      <c r="E1477" s="1" t="str">
        <f t="shared" si="5"/>
        <v>PATHFINDERPATHFINDER 4X4 3.5 AUT2020</v>
      </c>
      <c r="F1477" s="1" t="s">
        <v>1652</v>
      </c>
      <c r="G1477" s="1">
        <v>19290000</v>
      </c>
      <c r="H1477" s="1">
        <v>16500000</v>
      </c>
    </row>
    <row r="1478" spans="1:8" ht="13.5" customHeight="1" x14ac:dyDescent="0.3">
      <c r="A1478" s="1" t="s">
        <v>242</v>
      </c>
      <c r="B1478" s="1" t="s">
        <v>3303</v>
      </c>
      <c r="C1478" s="1" t="s">
        <v>5101</v>
      </c>
      <c r="D1478" s="1">
        <v>2023</v>
      </c>
      <c r="E1478" s="1" t="str">
        <f t="shared" si="5"/>
        <v>PATHFINDERPATHFINDER R53 3.5 AUT2023</v>
      </c>
      <c r="F1478" s="1" t="s">
        <v>1852</v>
      </c>
      <c r="G1478" s="1">
        <v>32190000</v>
      </c>
      <c r="H1478" s="1">
        <v>27000000</v>
      </c>
    </row>
    <row r="1479" spans="1:8" ht="13.5" customHeight="1" x14ac:dyDescent="0.3">
      <c r="A1479" s="1" t="s">
        <v>242</v>
      </c>
      <c r="B1479" s="1" t="s">
        <v>3303</v>
      </c>
      <c r="C1479" s="1" t="s">
        <v>5102</v>
      </c>
      <c r="D1479" s="1">
        <v>2020</v>
      </c>
      <c r="E1479" s="1" t="str">
        <f t="shared" si="5"/>
        <v>PATHFINDERPATHFINDER SENSE 3.5 AUT2020</v>
      </c>
      <c r="F1479" s="1" t="s">
        <v>2265</v>
      </c>
      <c r="G1479" s="1">
        <v>19490000</v>
      </c>
      <c r="H1479" s="1">
        <v>17000000</v>
      </c>
    </row>
    <row r="1480" spans="1:8" ht="13.5" customHeight="1" x14ac:dyDescent="0.3">
      <c r="A1480" s="1" t="s">
        <v>242</v>
      </c>
      <c r="B1480" s="1" t="s">
        <v>246</v>
      </c>
      <c r="C1480" s="1" t="s">
        <v>5103</v>
      </c>
      <c r="D1480" s="1">
        <v>2021</v>
      </c>
      <c r="E1480" s="1" t="str">
        <f t="shared" si="5"/>
        <v>QASHQAINEW QASHQAI ADVANCE 2.02021</v>
      </c>
      <c r="F1480" s="1" t="s">
        <v>1686</v>
      </c>
      <c r="G1480" s="1">
        <v>12590000</v>
      </c>
      <c r="H1480" s="1">
        <v>10500000</v>
      </c>
    </row>
    <row r="1481" spans="1:8" ht="13.5" customHeight="1" x14ac:dyDescent="0.3">
      <c r="A1481" s="1" t="s">
        <v>242</v>
      </c>
      <c r="B1481" s="1" t="s">
        <v>246</v>
      </c>
      <c r="C1481" s="1" t="s">
        <v>5104</v>
      </c>
      <c r="D1481" s="1">
        <v>2024</v>
      </c>
      <c r="E1481" s="1" t="str">
        <f t="shared" si="5"/>
        <v>QASHQAIQASHQAI 1.3 AUT2024</v>
      </c>
      <c r="F1481" s="1" t="s">
        <v>1477</v>
      </c>
      <c r="G1481" s="1">
        <v>20990000</v>
      </c>
      <c r="H1481" s="1">
        <v>22000000</v>
      </c>
    </row>
    <row r="1482" spans="1:8" ht="13.5" customHeight="1" x14ac:dyDescent="0.3">
      <c r="A1482" s="1" t="s">
        <v>242</v>
      </c>
      <c r="B1482" s="1" t="s">
        <v>246</v>
      </c>
      <c r="C1482" s="1" t="s">
        <v>5104</v>
      </c>
      <c r="D1482" s="1">
        <v>2024</v>
      </c>
      <c r="E1482" s="1" t="str">
        <f t="shared" si="5"/>
        <v>QASHQAIQASHQAI 1.3 AUT2024</v>
      </c>
      <c r="F1482" s="1" t="s">
        <v>960</v>
      </c>
      <c r="G1482" s="1">
        <v>19490000</v>
      </c>
      <c r="H1482" s="1">
        <v>21000000</v>
      </c>
    </row>
    <row r="1483" spans="1:8" ht="13.5" customHeight="1" x14ac:dyDescent="0.3">
      <c r="A1483" s="1" t="s">
        <v>242</v>
      </c>
      <c r="B1483" s="1" t="s">
        <v>246</v>
      </c>
      <c r="C1483" s="1" t="s">
        <v>5105</v>
      </c>
      <c r="D1483" s="1">
        <v>2021</v>
      </c>
      <c r="E1483" s="1" t="str">
        <f t="shared" si="5"/>
        <v>QASHQAIQASHQAI 4WD 2.0 AUT2021</v>
      </c>
      <c r="F1483" s="1" t="s">
        <v>464</v>
      </c>
      <c r="G1483" s="1">
        <v>15490000</v>
      </c>
      <c r="H1483" s="1">
        <v>12800000</v>
      </c>
    </row>
    <row r="1484" spans="1:8" ht="13.5" customHeight="1" x14ac:dyDescent="0.3">
      <c r="A1484" s="1" t="s">
        <v>242</v>
      </c>
      <c r="B1484" s="1" t="s">
        <v>246</v>
      </c>
      <c r="C1484" s="1" t="s">
        <v>5105</v>
      </c>
      <c r="D1484" s="1">
        <v>2022</v>
      </c>
      <c r="E1484" s="1" t="str">
        <f t="shared" si="5"/>
        <v>QASHQAIQASHQAI 4WD 2.0 AUT2022</v>
      </c>
      <c r="F1484" s="1" t="s">
        <v>2366</v>
      </c>
      <c r="G1484" s="1">
        <v>18990000</v>
      </c>
      <c r="H1484" s="1">
        <v>16000000</v>
      </c>
    </row>
    <row r="1485" spans="1:8" ht="13.5" customHeight="1" x14ac:dyDescent="0.3">
      <c r="A1485" s="1" t="s">
        <v>242</v>
      </c>
      <c r="B1485" s="1" t="s">
        <v>246</v>
      </c>
      <c r="C1485" s="1" t="s">
        <v>5106</v>
      </c>
      <c r="D1485" s="1">
        <v>2017</v>
      </c>
      <c r="E1485" s="1" t="str">
        <f t="shared" si="5"/>
        <v>QASHQAIQASHQAI 4X4 2.0 AUT2017</v>
      </c>
      <c r="F1485" s="1" t="s">
        <v>2312</v>
      </c>
      <c r="G1485" s="1">
        <v>13290000</v>
      </c>
      <c r="H1485" s="1">
        <v>10700000</v>
      </c>
    </row>
    <row r="1486" spans="1:8" ht="13.5" customHeight="1" x14ac:dyDescent="0.3">
      <c r="A1486" s="1" t="s">
        <v>242</v>
      </c>
      <c r="B1486" s="1" t="s">
        <v>246</v>
      </c>
      <c r="C1486" s="1" t="s">
        <v>5106</v>
      </c>
      <c r="D1486" s="1">
        <v>2017</v>
      </c>
      <c r="E1486" s="1" t="str">
        <f t="shared" si="5"/>
        <v>QASHQAIQASHQAI 4X4 2.0 AUT2017</v>
      </c>
      <c r="F1486" s="1" t="s">
        <v>1118</v>
      </c>
      <c r="G1486" s="1">
        <v>21180000</v>
      </c>
      <c r="H1486" s="1">
        <v>17800000</v>
      </c>
    </row>
    <row r="1487" spans="1:8" ht="13.5" customHeight="1" x14ac:dyDescent="0.3">
      <c r="A1487" s="1" t="s">
        <v>242</v>
      </c>
      <c r="B1487" s="1" t="s">
        <v>246</v>
      </c>
      <c r="C1487" s="1" t="s">
        <v>5107</v>
      </c>
      <c r="D1487" s="1">
        <v>2017</v>
      </c>
      <c r="E1487" s="1" t="str">
        <f t="shared" si="5"/>
        <v>QASHQAIQASHQAI ADVANCE 2.02017</v>
      </c>
      <c r="F1487" s="1" t="s">
        <v>2693</v>
      </c>
      <c r="G1487" s="1">
        <v>10890000</v>
      </c>
      <c r="H1487" s="1">
        <v>12490756</v>
      </c>
    </row>
    <row r="1488" spans="1:8" ht="13.5" customHeight="1" x14ac:dyDescent="0.3">
      <c r="A1488" s="1" t="s">
        <v>242</v>
      </c>
      <c r="B1488" s="1" t="s">
        <v>246</v>
      </c>
      <c r="C1488" s="1" t="s">
        <v>5107</v>
      </c>
      <c r="D1488" s="1">
        <v>2018</v>
      </c>
      <c r="E1488" s="1" t="str">
        <f t="shared" si="5"/>
        <v>QASHQAIQASHQAI ADVANCE 2.02018</v>
      </c>
      <c r="F1488" s="1" t="s">
        <v>2589</v>
      </c>
      <c r="G1488" s="1">
        <v>10990000</v>
      </c>
      <c r="H1488" s="1">
        <v>12800000</v>
      </c>
    </row>
    <row r="1489" spans="1:8" ht="13.5" customHeight="1" x14ac:dyDescent="0.3">
      <c r="A1489" s="1" t="s">
        <v>242</v>
      </c>
      <c r="B1489" s="1" t="s">
        <v>246</v>
      </c>
      <c r="C1489" s="1" t="s">
        <v>5108</v>
      </c>
      <c r="D1489" s="1">
        <v>2019</v>
      </c>
      <c r="E1489" s="1" t="str">
        <f t="shared" si="5"/>
        <v>QASHQAIQASHQAI ADVANCE 2.0 AUT2019</v>
      </c>
      <c r="F1489" s="1" t="s">
        <v>821</v>
      </c>
      <c r="G1489" s="1">
        <v>10940000</v>
      </c>
      <c r="H1489" s="1">
        <v>8650000</v>
      </c>
    </row>
    <row r="1490" spans="1:8" ht="13.5" customHeight="1" x14ac:dyDescent="0.3">
      <c r="A1490" s="1" t="s">
        <v>242</v>
      </c>
      <c r="B1490" s="1" t="s">
        <v>246</v>
      </c>
      <c r="C1490" s="1" t="s">
        <v>5109</v>
      </c>
      <c r="D1490" s="1">
        <v>2021</v>
      </c>
      <c r="E1490" s="1" t="str">
        <f t="shared" si="5"/>
        <v>QASHQAIQASHQAI CVT 2.0 AUT2021</v>
      </c>
      <c r="F1490" s="1" t="s">
        <v>1279</v>
      </c>
      <c r="G1490" s="1">
        <v>14590000</v>
      </c>
      <c r="H1490" s="1">
        <v>12500000</v>
      </c>
    </row>
    <row r="1491" spans="1:8" ht="13.5" customHeight="1" x14ac:dyDescent="0.3">
      <c r="A1491" s="1" t="s">
        <v>242</v>
      </c>
      <c r="B1491" s="1" t="s">
        <v>246</v>
      </c>
      <c r="C1491" s="1" t="s">
        <v>5110</v>
      </c>
      <c r="D1491" s="1">
        <v>2020</v>
      </c>
      <c r="E1491" s="1" t="str">
        <f t="shared" si="5"/>
        <v>QASHQAIQASHQAI J11 2.02020</v>
      </c>
      <c r="F1491" s="1" t="s">
        <v>1427</v>
      </c>
      <c r="G1491" s="1">
        <v>11635620</v>
      </c>
      <c r="H1491" s="1">
        <v>10000000</v>
      </c>
    </row>
    <row r="1492" spans="1:8" ht="13.5" customHeight="1" x14ac:dyDescent="0.3">
      <c r="A1492" s="1" t="s">
        <v>242</v>
      </c>
      <c r="B1492" s="1" t="s">
        <v>246</v>
      </c>
      <c r="C1492" s="1" t="s">
        <v>5110</v>
      </c>
      <c r="D1492" s="1">
        <v>2021</v>
      </c>
      <c r="E1492" s="1" t="str">
        <f t="shared" si="5"/>
        <v>QASHQAIQASHQAI J11 2.02021</v>
      </c>
      <c r="G1492" s="1">
        <v>13990000</v>
      </c>
      <c r="H1492" s="1">
        <v>0</v>
      </c>
    </row>
    <row r="1493" spans="1:8" ht="13.5" customHeight="1" x14ac:dyDescent="0.3">
      <c r="A1493" s="1" t="s">
        <v>242</v>
      </c>
      <c r="B1493" s="1" t="s">
        <v>246</v>
      </c>
      <c r="C1493" s="1" t="s">
        <v>5110</v>
      </c>
      <c r="D1493" s="1">
        <v>2021</v>
      </c>
      <c r="E1493" s="1" t="str">
        <f t="shared" si="5"/>
        <v>QASHQAIQASHQAI J11 2.02021</v>
      </c>
      <c r="F1493" s="1" t="s">
        <v>1846</v>
      </c>
      <c r="G1493" s="1">
        <v>11690000</v>
      </c>
      <c r="H1493" s="1">
        <v>9000000</v>
      </c>
    </row>
    <row r="1494" spans="1:8" ht="13.5" customHeight="1" x14ac:dyDescent="0.3">
      <c r="A1494" s="1" t="s">
        <v>242</v>
      </c>
      <c r="B1494" s="1" t="s">
        <v>246</v>
      </c>
      <c r="C1494" s="1" t="s">
        <v>5110</v>
      </c>
      <c r="D1494" s="1">
        <v>2021</v>
      </c>
      <c r="E1494" s="1" t="str">
        <f t="shared" si="5"/>
        <v>QASHQAIQASHQAI J11 2.02021</v>
      </c>
      <c r="F1494" s="1" t="s">
        <v>2283</v>
      </c>
      <c r="G1494" s="1">
        <v>14290000</v>
      </c>
      <c r="H1494" s="1">
        <v>12000000</v>
      </c>
    </row>
    <row r="1495" spans="1:8" ht="13.5" customHeight="1" x14ac:dyDescent="0.3">
      <c r="A1495" s="1" t="s">
        <v>242</v>
      </c>
      <c r="B1495" s="1" t="s">
        <v>246</v>
      </c>
      <c r="C1495" s="1" t="s">
        <v>5110</v>
      </c>
      <c r="D1495" s="1">
        <v>2021</v>
      </c>
      <c r="E1495" s="1" t="str">
        <f t="shared" si="5"/>
        <v>QASHQAIQASHQAI J11 2.02021</v>
      </c>
      <c r="F1495" s="1" t="s">
        <v>2660</v>
      </c>
      <c r="G1495" s="1">
        <v>17990000</v>
      </c>
      <c r="H1495" s="1">
        <v>15500000</v>
      </c>
    </row>
    <row r="1496" spans="1:8" ht="13.5" customHeight="1" x14ac:dyDescent="0.3">
      <c r="A1496" s="1" t="s">
        <v>242</v>
      </c>
      <c r="B1496" s="1" t="s">
        <v>246</v>
      </c>
      <c r="C1496" s="1" t="s">
        <v>5110</v>
      </c>
      <c r="D1496" s="1">
        <v>2021</v>
      </c>
      <c r="E1496" s="1" t="str">
        <f t="shared" si="5"/>
        <v>QASHQAIQASHQAI J11 2.02021</v>
      </c>
      <c r="F1496" s="1" t="s">
        <v>1970</v>
      </c>
      <c r="G1496" s="1">
        <v>12990000</v>
      </c>
      <c r="H1496" s="1">
        <v>10500000</v>
      </c>
    </row>
    <row r="1497" spans="1:8" ht="13.5" customHeight="1" x14ac:dyDescent="0.3">
      <c r="A1497" s="1" t="s">
        <v>242</v>
      </c>
      <c r="B1497" s="1" t="s">
        <v>246</v>
      </c>
      <c r="C1497" s="1" t="s">
        <v>5110</v>
      </c>
      <c r="D1497" s="1">
        <v>2021</v>
      </c>
      <c r="E1497" s="1" t="str">
        <f t="shared" si="5"/>
        <v>QASHQAIQASHQAI J11 2.02021</v>
      </c>
      <c r="F1497" s="1" t="s">
        <v>2270</v>
      </c>
      <c r="G1497" s="1">
        <v>14490000</v>
      </c>
      <c r="H1497" s="1">
        <v>10000000</v>
      </c>
    </row>
    <row r="1498" spans="1:8" ht="13.5" customHeight="1" x14ac:dyDescent="0.3">
      <c r="A1498" s="1" t="s">
        <v>242</v>
      </c>
      <c r="B1498" s="1" t="s">
        <v>246</v>
      </c>
      <c r="C1498" s="1" t="s">
        <v>5110</v>
      </c>
      <c r="D1498" s="1">
        <v>2021</v>
      </c>
      <c r="E1498" s="1" t="str">
        <f t="shared" si="5"/>
        <v>QASHQAIQASHQAI J11 2.02021</v>
      </c>
      <c r="F1498" s="1" t="s">
        <v>1718</v>
      </c>
      <c r="G1498" s="1">
        <v>11890000</v>
      </c>
      <c r="H1498" s="1">
        <v>10000000</v>
      </c>
    </row>
    <row r="1499" spans="1:8" ht="13.5" customHeight="1" x14ac:dyDescent="0.3">
      <c r="A1499" s="1" t="s">
        <v>242</v>
      </c>
      <c r="B1499" s="1" t="s">
        <v>246</v>
      </c>
      <c r="C1499" s="1" t="s">
        <v>5110</v>
      </c>
      <c r="D1499" s="1">
        <v>2022</v>
      </c>
      <c r="E1499" s="1" t="str">
        <f t="shared" si="5"/>
        <v>QASHQAIQASHQAI J11 2.02022</v>
      </c>
      <c r="F1499" s="1" t="s">
        <v>2534</v>
      </c>
      <c r="G1499" s="1">
        <v>13990000</v>
      </c>
      <c r="H1499" s="1">
        <v>13500000</v>
      </c>
    </row>
    <row r="1500" spans="1:8" ht="13.5" customHeight="1" x14ac:dyDescent="0.3">
      <c r="A1500" s="1" t="s">
        <v>242</v>
      </c>
      <c r="B1500" s="1" t="s">
        <v>246</v>
      </c>
      <c r="C1500" s="1" t="s">
        <v>5110</v>
      </c>
      <c r="D1500" s="1">
        <v>2022</v>
      </c>
      <c r="E1500" s="1" t="str">
        <f t="shared" si="5"/>
        <v>QASHQAIQASHQAI J11 2.02022</v>
      </c>
      <c r="F1500" s="1" t="s">
        <v>2405</v>
      </c>
      <c r="G1500" s="1">
        <v>17190000</v>
      </c>
      <c r="H1500" s="1">
        <v>15000000</v>
      </c>
    </row>
    <row r="1501" spans="1:8" ht="13.5" customHeight="1" x14ac:dyDescent="0.3">
      <c r="A1501" s="1" t="s">
        <v>242</v>
      </c>
      <c r="B1501" s="1" t="s">
        <v>246</v>
      </c>
      <c r="C1501" s="1" t="s">
        <v>5110</v>
      </c>
      <c r="D1501" s="1">
        <v>2022</v>
      </c>
      <c r="E1501" s="1" t="str">
        <f t="shared" si="5"/>
        <v>QASHQAIQASHQAI J11 2.02022</v>
      </c>
      <c r="F1501" s="1" t="s">
        <v>1461</v>
      </c>
      <c r="G1501" s="1">
        <v>12990000</v>
      </c>
      <c r="H1501" s="1">
        <v>10270000</v>
      </c>
    </row>
    <row r="1502" spans="1:8" ht="13.5" customHeight="1" x14ac:dyDescent="0.3">
      <c r="A1502" s="1" t="s">
        <v>242</v>
      </c>
      <c r="B1502" s="1" t="s">
        <v>246</v>
      </c>
      <c r="C1502" s="1" t="s">
        <v>5111</v>
      </c>
      <c r="D1502" s="1">
        <v>2017</v>
      </c>
      <c r="E1502" s="1" t="str">
        <f t="shared" si="5"/>
        <v>QASHQAIQASHQAI SENSE 2.02017</v>
      </c>
      <c r="F1502" s="1" t="s">
        <v>1468</v>
      </c>
      <c r="G1502" s="1">
        <v>8790000</v>
      </c>
      <c r="H1502" s="1">
        <v>7000000</v>
      </c>
    </row>
    <row r="1503" spans="1:8" ht="13.5" customHeight="1" x14ac:dyDescent="0.3">
      <c r="A1503" s="1" t="s">
        <v>242</v>
      </c>
      <c r="B1503" s="1" t="s">
        <v>246</v>
      </c>
      <c r="C1503" s="1" t="s">
        <v>5111</v>
      </c>
      <c r="D1503" s="1">
        <v>2017</v>
      </c>
      <c r="E1503" s="1" t="str">
        <f t="shared" si="5"/>
        <v>QASHQAIQASHQAI SENSE 2.02017</v>
      </c>
      <c r="F1503" s="1" t="s">
        <v>741</v>
      </c>
      <c r="G1503" s="1">
        <v>8690000</v>
      </c>
      <c r="H1503" s="1">
        <v>7000000</v>
      </c>
    </row>
    <row r="1504" spans="1:8" ht="13.5" customHeight="1" x14ac:dyDescent="0.3">
      <c r="A1504" s="1" t="s">
        <v>242</v>
      </c>
      <c r="B1504" s="1" t="s">
        <v>246</v>
      </c>
      <c r="C1504" s="1" t="s">
        <v>5111</v>
      </c>
      <c r="D1504" s="1">
        <v>2017</v>
      </c>
      <c r="E1504" s="1" t="str">
        <f t="shared" si="5"/>
        <v>QASHQAIQASHQAI SENSE 2.02017</v>
      </c>
      <c r="F1504" s="1" t="s">
        <v>1416</v>
      </c>
      <c r="G1504" s="1">
        <v>8990000</v>
      </c>
      <c r="H1504" s="1">
        <v>7500000</v>
      </c>
    </row>
    <row r="1505" spans="1:8" ht="13.5" customHeight="1" x14ac:dyDescent="0.3">
      <c r="A1505" s="1" t="s">
        <v>242</v>
      </c>
      <c r="B1505" s="1" t="s">
        <v>246</v>
      </c>
      <c r="C1505" s="1" t="s">
        <v>5111</v>
      </c>
      <c r="D1505" s="1">
        <v>2018</v>
      </c>
      <c r="E1505" s="1" t="str">
        <f t="shared" si="5"/>
        <v>QASHQAIQASHQAI SENSE 2.02018</v>
      </c>
      <c r="F1505" s="1" t="s">
        <v>2079</v>
      </c>
      <c r="G1505" s="1">
        <v>8990000</v>
      </c>
      <c r="H1505" s="1">
        <v>7000000</v>
      </c>
    </row>
    <row r="1506" spans="1:8" ht="13.5" customHeight="1" x14ac:dyDescent="0.3">
      <c r="A1506" s="1" t="s">
        <v>242</v>
      </c>
      <c r="B1506" s="1" t="s">
        <v>246</v>
      </c>
      <c r="C1506" s="1" t="s">
        <v>5111</v>
      </c>
      <c r="D1506" s="1">
        <v>2020</v>
      </c>
      <c r="E1506" s="1" t="str">
        <f t="shared" si="5"/>
        <v>QASHQAIQASHQAI SENSE 2.02020</v>
      </c>
      <c r="F1506" s="1" t="s">
        <v>1127</v>
      </c>
      <c r="G1506" s="1">
        <v>10990000</v>
      </c>
      <c r="H1506" s="1">
        <v>9000000</v>
      </c>
    </row>
    <row r="1507" spans="1:8" ht="13.5" customHeight="1" x14ac:dyDescent="0.3">
      <c r="A1507" s="1" t="s">
        <v>242</v>
      </c>
      <c r="B1507" s="1" t="s">
        <v>246</v>
      </c>
      <c r="C1507" s="1" t="s">
        <v>5111</v>
      </c>
      <c r="D1507" s="1">
        <v>2020</v>
      </c>
      <c r="E1507" s="1" t="str">
        <f t="shared" si="5"/>
        <v>QASHQAIQASHQAI SENSE 2.02020</v>
      </c>
      <c r="F1507" s="1" t="s">
        <v>2623</v>
      </c>
      <c r="G1507" s="1">
        <v>16990000</v>
      </c>
      <c r="H1507" s="1">
        <v>13500000</v>
      </c>
    </row>
    <row r="1508" spans="1:8" ht="13.5" customHeight="1" x14ac:dyDescent="0.3">
      <c r="A1508" s="1" t="s">
        <v>242</v>
      </c>
      <c r="B1508" s="1" t="s">
        <v>246</v>
      </c>
      <c r="C1508" s="1" t="s">
        <v>247</v>
      </c>
      <c r="D1508" s="1">
        <v>2023</v>
      </c>
      <c r="E1508" s="1" t="str">
        <f t="shared" si="5"/>
        <v>QASHQAIQASHQAI TURBO 1.32023</v>
      </c>
      <c r="F1508" s="1" t="s">
        <v>1028</v>
      </c>
      <c r="G1508" s="1">
        <v>19614120</v>
      </c>
      <c r="H1508" s="1">
        <v>17000000</v>
      </c>
    </row>
    <row r="1509" spans="1:8" ht="13.5" customHeight="1" x14ac:dyDescent="0.3">
      <c r="A1509" s="1" t="s">
        <v>242</v>
      </c>
      <c r="B1509" s="1" t="s">
        <v>246</v>
      </c>
      <c r="C1509" s="1" t="s">
        <v>247</v>
      </c>
      <c r="D1509" s="1">
        <v>2023</v>
      </c>
      <c r="E1509" s="1" t="str">
        <f t="shared" si="5"/>
        <v>QASHQAIQASHQAI TURBO 1.32023</v>
      </c>
      <c r="F1509" s="1" t="s">
        <v>527</v>
      </c>
      <c r="G1509" s="1">
        <v>17690000</v>
      </c>
      <c r="H1509" s="1">
        <v>15000000</v>
      </c>
    </row>
    <row r="1510" spans="1:8" ht="13.5" customHeight="1" x14ac:dyDescent="0.3">
      <c r="A1510" s="1" t="s">
        <v>242</v>
      </c>
      <c r="B1510" s="1" t="s">
        <v>246</v>
      </c>
      <c r="C1510" s="1" t="s">
        <v>247</v>
      </c>
      <c r="D1510" s="1">
        <v>2023</v>
      </c>
      <c r="E1510" s="1" t="str">
        <f t="shared" si="5"/>
        <v>QASHQAIQASHQAI TURBO 1.32023</v>
      </c>
      <c r="F1510" s="1" t="s">
        <v>2217</v>
      </c>
      <c r="G1510" s="1">
        <v>16390000</v>
      </c>
      <c r="H1510" s="1">
        <v>17500000</v>
      </c>
    </row>
    <row r="1511" spans="1:8" ht="13.5" customHeight="1" x14ac:dyDescent="0.3">
      <c r="A1511" s="1" t="s">
        <v>242</v>
      </c>
      <c r="B1511" s="1" t="s">
        <v>246</v>
      </c>
      <c r="C1511" s="1" t="s">
        <v>247</v>
      </c>
      <c r="D1511" s="1">
        <v>2023</v>
      </c>
      <c r="E1511" s="1" t="str">
        <f t="shared" si="5"/>
        <v>QASHQAIQASHQAI TURBO 1.32023</v>
      </c>
      <c r="F1511" s="1" t="s">
        <v>831</v>
      </c>
      <c r="G1511" s="1">
        <v>18690000</v>
      </c>
      <c r="H1511" s="1">
        <v>16000000</v>
      </c>
    </row>
    <row r="1512" spans="1:8" ht="13.5" customHeight="1" x14ac:dyDescent="0.3">
      <c r="A1512" s="1" t="s">
        <v>242</v>
      </c>
      <c r="B1512" s="1" t="s">
        <v>246</v>
      </c>
      <c r="C1512" s="1" t="s">
        <v>247</v>
      </c>
      <c r="D1512" s="1">
        <v>2024</v>
      </c>
      <c r="E1512" s="1" t="str">
        <f t="shared" si="5"/>
        <v>QASHQAIQASHQAI TURBO 1.32024</v>
      </c>
      <c r="F1512" s="1" t="s">
        <v>1784</v>
      </c>
      <c r="G1512" s="1">
        <v>19990000</v>
      </c>
      <c r="H1512" s="1">
        <v>19000000</v>
      </c>
    </row>
    <row r="1513" spans="1:8" ht="13.5" customHeight="1" x14ac:dyDescent="0.3">
      <c r="A1513" s="1" t="s">
        <v>242</v>
      </c>
      <c r="B1513" s="1" t="s">
        <v>246</v>
      </c>
      <c r="C1513" s="1" t="s">
        <v>5112</v>
      </c>
      <c r="D1513" s="1">
        <v>2023</v>
      </c>
      <c r="E1513" s="1" t="str">
        <f t="shared" si="5"/>
        <v>QASHQAIQASHQAI TURBO 4X4 1.3 AUT2023</v>
      </c>
      <c r="F1513" s="1" t="s">
        <v>1572</v>
      </c>
      <c r="G1513" s="1">
        <v>23990000</v>
      </c>
      <c r="H1513" s="1">
        <v>21000000</v>
      </c>
    </row>
    <row r="1514" spans="1:8" ht="13.5" customHeight="1" x14ac:dyDescent="0.3">
      <c r="A1514" s="1" t="s">
        <v>242</v>
      </c>
      <c r="B1514" s="1" t="s">
        <v>251</v>
      </c>
      <c r="C1514" s="1" t="s">
        <v>252</v>
      </c>
      <c r="D1514" s="1">
        <v>2020</v>
      </c>
      <c r="E1514" s="1" t="str">
        <f t="shared" si="5"/>
        <v>SENTRASENTRA 1.8 AT2020</v>
      </c>
      <c r="F1514" s="1" t="s">
        <v>253</v>
      </c>
      <c r="G1514" s="1">
        <v>19380000</v>
      </c>
      <c r="H1514" s="1">
        <v>17100000</v>
      </c>
    </row>
    <row r="1515" spans="1:8" ht="13.5" customHeight="1" x14ac:dyDescent="0.3">
      <c r="A1515" s="1" t="s">
        <v>242</v>
      </c>
      <c r="B1515" s="1" t="s">
        <v>251</v>
      </c>
      <c r="C1515" s="1" t="s">
        <v>5113</v>
      </c>
      <c r="D1515" s="1">
        <v>2012</v>
      </c>
      <c r="E1515" s="1" t="str">
        <f t="shared" si="5"/>
        <v>SENTRASENTRA 2.02012</v>
      </c>
      <c r="F1515" s="1" t="s">
        <v>1991</v>
      </c>
      <c r="G1515" s="1">
        <v>4990000</v>
      </c>
      <c r="H1515" s="1">
        <v>5000000</v>
      </c>
    </row>
    <row r="1516" spans="1:8" ht="13.5" customHeight="1" x14ac:dyDescent="0.3">
      <c r="A1516" s="1" t="s">
        <v>242</v>
      </c>
      <c r="B1516" s="1" t="s">
        <v>251</v>
      </c>
      <c r="C1516" s="1" t="s">
        <v>5114</v>
      </c>
      <c r="D1516" s="1">
        <v>2021</v>
      </c>
      <c r="E1516" s="1" t="str">
        <f t="shared" si="5"/>
        <v>SENTRASENTRA B17 1.82021</v>
      </c>
      <c r="F1516" s="1" t="s">
        <v>1856</v>
      </c>
      <c r="G1516" s="1">
        <v>9490000</v>
      </c>
      <c r="H1516" s="1">
        <v>8200000</v>
      </c>
    </row>
    <row r="1517" spans="1:8" ht="13.5" customHeight="1" x14ac:dyDescent="0.3">
      <c r="A1517" s="1" t="s">
        <v>242</v>
      </c>
      <c r="B1517" s="1" t="s">
        <v>251</v>
      </c>
      <c r="C1517" s="1" t="s">
        <v>5114</v>
      </c>
      <c r="D1517" s="1">
        <v>2021</v>
      </c>
      <c r="E1517" s="1" t="str">
        <f t="shared" si="5"/>
        <v>SENTRASENTRA B17 1.82021</v>
      </c>
      <c r="F1517" s="1" t="s">
        <v>2232</v>
      </c>
      <c r="G1517" s="1">
        <v>11500000</v>
      </c>
      <c r="H1517" s="1">
        <v>11500000</v>
      </c>
    </row>
    <row r="1518" spans="1:8" ht="13.5" customHeight="1" x14ac:dyDescent="0.3">
      <c r="A1518" s="1" t="s">
        <v>242</v>
      </c>
      <c r="B1518" s="1" t="s">
        <v>251</v>
      </c>
      <c r="C1518" s="1" t="s">
        <v>5115</v>
      </c>
      <c r="D1518" s="1">
        <v>2021</v>
      </c>
      <c r="E1518" s="1" t="str">
        <f t="shared" si="5"/>
        <v>SENTRASENTRA B18 CVT 2.0 AUT2021</v>
      </c>
      <c r="F1518" s="1" t="s">
        <v>2004</v>
      </c>
      <c r="G1518" s="1">
        <v>13890000</v>
      </c>
      <c r="H1518" s="1">
        <v>12200000</v>
      </c>
    </row>
    <row r="1519" spans="1:8" ht="13.5" customHeight="1" x14ac:dyDescent="0.3">
      <c r="A1519" s="1" t="s">
        <v>242</v>
      </c>
      <c r="B1519" s="1" t="s">
        <v>251</v>
      </c>
      <c r="C1519" s="1" t="s">
        <v>5115</v>
      </c>
      <c r="D1519" s="1">
        <v>2023</v>
      </c>
      <c r="E1519" s="1" t="str">
        <f t="shared" si="5"/>
        <v>SENTRASENTRA B18 CVT 2.0 AUT2023</v>
      </c>
      <c r="F1519" s="1" t="s">
        <v>898</v>
      </c>
      <c r="G1519" s="1">
        <v>17490000</v>
      </c>
      <c r="H1519" s="1">
        <v>15200000</v>
      </c>
    </row>
    <row r="1520" spans="1:8" ht="13.5" customHeight="1" x14ac:dyDescent="0.3">
      <c r="A1520" s="1" t="s">
        <v>242</v>
      </c>
      <c r="B1520" s="1" t="s">
        <v>251</v>
      </c>
      <c r="C1520" s="1" t="s">
        <v>5115</v>
      </c>
      <c r="D1520" s="1">
        <v>2023</v>
      </c>
      <c r="E1520" s="1" t="str">
        <f t="shared" si="5"/>
        <v>SENTRASENTRA B18 CVT 2.0 AUT2023</v>
      </c>
      <c r="F1520" s="1" t="s">
        <v>2073</v>
      </c>
      <c r="G1520" s="1">
        <v>16990000</v>
      </c>
      <c r="H1520" s="1">
        <v>15000000</v>
      </c>
    </row>
    <row r="1521" spans="1:8" ht="13.5" customHeight="1" x14ac:dyDescent="0.3">
      <c r="A1521" s="1" t="s">
        <v>242</v>
      </c>
      <c r="B1521" s="1" t="s">
        <v>251</v>
      </c>
      <c r="C1521" s="1" t="s">
        <v>5115</v>
      </c>
      <c r="D1521" s="1">
        <v>2023</v>
      </c>
      <c r="E1521" s="1" t="str">
        <f t="shared" si="5"/>
        <v>SENTRASENTRA B18 CVT 2.0 AUT2023</v>
      </c>
      <c r="F1521" s="1" t="s">
        <v>918</v>
      </c>
      <c r="G1521" s="1">
        <v>14290000</v>
      </c>
      <c r="H1521" s="1">
        <v>15000000</v>
      </c>
    </row>
    <row r="1522" spans="1:8" ht="13.5" customHeight="1" x14ac:dyDescent="0.3">
      <c r="A1522" s="1" t="s">
        <v>242</v>
      </c>
      <c r="B1522" s="1" t="s">
        <v>251</v>
      </c>
      <c r="C1522" s="1" t="s">
        <v>5115</v>
      </c>
      <c r="D1522" s="1">
        <v>2023</v>
      </c>
      <c r="E1522" s="1" t="str">
        <f t="shared" si="5"/>
        <v>SENTRASENTRA B18 CVT 2.0 AUT2023</v>
      </c>
      <c r="F1522" s="1" t="s">
        <v>1034</v>
      </c>
      <c r="G1522" s="1">
        <v>12990000</v>
      </c>
      <c r="H1522" s="1">
        <v>15000000</v>
      </c>
    </row>
    <row r="1523" spans="1:8" ht="13.5" customHeight="1" x14ac:dyDescent="0.3">
      <c r="A1523" s="1" t="s">
        <v>242</v>
      </c>
      <c r="B1523" s="1" t="s">
        <v>251</v>
      </c>
      <c r="C1523" s="1" t="s">
        <v>5116</v>
      </c>
      <c r="D1523" s="1">
        <v>2022</v>
      </c>
      <c r="E1523" s="1" t="str">
        <f t="shared" si="5"/>
        <v>SENTRASENTRA MT 2.02022</v>
      </c>
      <c r="F1523" s="1" t="s">
        <v>730</v>
      </c>
      <c r="G1523" s="1">
        <v>13290000</v>
      </c>
      <c r="H1523" s="1">
        <v>11300000</v>
      </c>
    </row>
    <row r="1524" spans="1:8" ht="13.5" customHeight="1" x14ac:dyDescent="0.3">
      <c r="A1524" s="1" t="s">
        <v>242</v>
      </c>
      <c r="B1524" s="1" t="s">
        <v>251</v>
      </c>
      <c r="C1524" s="1" t="s">
        <v>5116</v>
      </c>
      <c r="D1524" s="1">
        <v>2023</v>
      </c>
      <c r="E1524" s="1" t="str">
        <f t="shared" si="5"/>
        <v>SENTRASENTRA MT 2.02023</v>
      </c>
      <c r="F1524" s="1" t="s">
        <v>1368</v>
      </c>
      <c r="G1524" s="1">
        <v>13901120</v>
      </c>
      <c r="H1524" s="1">
        <v>12000000</v>
      </c>
    </row>
    <row r="1525" spans="1:8" ht="13.5" customHeight="1" x14ac:dyDescent="0.3">
      <c r="A1525" s="1" t="s">
        <v>242</v>
      </c>
      <c r="B1525" s="1" t="s">
        <v>251</v>
      </c>
      <c r="C1525" s="1" t="s">
        <v>5116</v>
      </c>
      <c r="D1525" s="1">
        <v>2023</v>
      </c>
      <c r="E1525" s="1" t="str">
        <f t="shared" si="5"/>
        <v>SENTRASENTRA MT 2.02023</v>
      </c>
      <c r="F1525" s="1" t="s">
        <v>1148</v>
      </c>
      <c r="G1525" s="1">
        <v>14490000</v>
      </c>
      <c r="H1525" s="1">
        <v>12500000</v>
      </c>
    </row>
    <row r="1526" spans="1:8" ht="13.5" customHeight="1" x14ac:dyDescent="0.3">
      <c r="A1526" s="1" t="s">
        <v>242</v>
      </c>
      <c r="B1526" s="1" t="s">
        <v>251</v>
      </c>
      <c r="C1526" s="1" t="s">
        <v>5116</v>
      </c>
      <c r="D1526" s="1">
        <v>2023</v>
      </c>
      <c r="E1526" s="1" t="str">
        <f t="shared" si="5"/>
        <v>SENTRASENTRA MT 2.02023</v>
      </c>
      <c r="F1526" s="1" t="s">
        <v>1858</v>
      </c>
      <c r="G1526" s="1">
        <v>13990000</v>
      </c>
      <c r="H1526" s="1">
        <v>12500000</v>
      </c>
    </row>
    <row r="1527" spans="1:8" ht="13.5" customHeight="1" x14ac:dyDescent="0.3">
      <c r="A1527" s="1" t="s">
        <v>242</v>
      </c>
      <c r="B1527" s="1" t="s">
        <v>251</v>
      </c>
      <c r="C1527" s="1" t="s">
        <v>5117</v>
      </c>
      <c r="D1527" s="1">
        <v>2021</v>
      </c>
      <c r="E1527" s="1" t="str">
        <f t="shared" si="5"/>
        <v>SENTRASENTRA SENSE 1.82021</v>
      </c>
      <c r="F1527" s="1" t="s">
        <v>2831</v>
      </c>
      <c r="G1527" s="1">
        <v>11990000</v>
      </c>
      <c r="H1527" s="1">
        <v>14000000</v>
      </c>
    </row>
    <row r="1528" spans="1:8" ht="13.5" customHeight="1" x14ac:dyDescent="0.3">
      <c r="A1528" s="1" t="s">
        <v>242</v>
      </c>
      <c r="B1528" s="1" t="s">
        <v>5118</v>
      </c>
      <c r="C1528" s="1" t="s">
        <v>5119</v>
      </c>
      <c r="D1528" s="1">
        <v>2022</v>
      </c>
      <c r="E1528" s="1" t="str">
        <f t="shared" si="5"/>
        <v>URVANURVAN 4X2 2.52022</v>
      </c>
      <c r="F1528" s="1" t="s">
        <v>1532</v>
      </c>
      <c r="G1528" s="1">
        <v>19990000</v>
      </c>
      <c r="H1528" s="1">
        <v>17500000</v>
      </c>
    </row>
    <row r="1529" spans="1:8" ht="13.5" customHeight="1" x14ac:dyDescent="0.3">
      <c r="A1529" s="1" t="s">
        <v>242</v>
      </c>
      <c r="B1529" s="1" t="s">
        <v>254</v>
      </c>
      <c r="C1529" s="1" t="s">
        <v>5120</v>
      </c>
      <c r="D1529" s="1">
        <v>2021</v>
      </c>
      <c r="E1529" s="1" t="str">
        <f t="shared" si="5"/>
        <v>VERSAV DRIVE N17 1.62021</v>
      </c>
      <c r="F1529" s="1" t="s">
        <v>2501</v>
      </c>
      <c r="G1529" s="1">
        <v>8990000</v>
      </c>
      <c r="H1529" s="1">
        <v>8650000</v>
      </c>
    </row>
    <row r="1530" spans="1:8" ht="13.5" customHeight="1" x14ac:dyDescent="0.3">
      <c r="A1530" s="1" t="s">
        <v>242</v>
      </c>
      <c r="B1530" s="1" t="s">
        <v>254</v>
      </c>
      <c r="C1530" s="1" t="s">
        <v>255</v>
      </c>
      <c r="D1530" s="1">
        <v>2021</v>
      </c>
      <c r="E1530" s="1" t="str">
        <f t="shared" si="5"/>
        <v>VERSAVERSA CVT 1.6 AUT2021</v>
      </c>
      <c r="G1530" s="1">
        <v>9690000</v>
      </c>
      <c r="H1530" s="1">
        <v>0</v>
      </c>
    </row>
    <row r="1531" spans="1:8" ht="13.5" customHeight="1" x14ac:dyDescent="0.3">
      <c r="A1531" s="1" t="s">
        <v>242</v>
      </c>
      <c r="B1531" s="1" t="s">
        <v>254</v>
      </c>
      <c r="C1531" s="1" t="s">
        <v>255</v>
      </c>
      <c r="D1531" s="1">
        <v>2021</v>
      </c>
      <c r="E1531" s="1" t="str">
        <f t="shared" si="5"/>
        <v>VERSAVERSA CVT 1.6 AUT2021</v>
      </c>
      <c r="F1531" s="1" t="s">
        <v>2153</v>
      </c>
      <c r="G1531" s="1">
        <v>12890000</v>
      </c>
      <c r="H1531" s="1">
        <v>10520000</v>
      </c>
    </row>
    <row r="1532" spans="1:8" ht="13.5" customHeight="1" x14ac:dyDescent="0.3">
      <c r="A1532" s="1" t="s">
        <v>242</v>
      </c>
      <c r="B1532" s="1" t="s">
        <v>254</v>
      </c>
      <c r="C1532" s="1" t="s">
        <v>255</v>
      </c>
      <c r="D1532" s="1">
        <v>2021</v>
      </c>
      <c r="E1532" s="1" t="str">
        <f t="shared" si="5"/>
        <v>VERSAVERSA CVT 1.6 AUT2021</v>
      </c>
      <c r="F1532" s="1" t="s">
        <v>689</v>
      </c>
      <c r="G1532" s="1">
        <v>9990000</v>
      </c>
      <c r="H1532" s="1">
        <v>8100000</v>
      </c>
    </row>
    <row r="1533" spans="1:8" ht="13.5" customHeight="1" x14ac:dyDescent="0.3">
      <c r="A1533" s="1" t="s">
        <v>242</v>
      </c>
      <c r="B1533" s="1" t="s">
        <v>254</v>
      </c>
      <c r="C1533" s="1" t="s">
        <v>255</v>
      </c>
      <c r="D1533" s="1">
        <v>2021</v>
      </c>
      <c r="E1533" s="1" t="str">
        <f t="shared" ref="E1533:E1787" si="6">CONCATENATE(B1533,C1533,D1533)</f>
        <v>VERSAVERSA CVT 1.6 AUT2021</v>
      </c>
      <c r="F1533" s="1" t="s">
        <v>1740</v>
      </c>
      <c r="G1533" s="1">
        <v>8780120</v>
      </c>
      <c r="H1533" s="1">
        <v>7500000</v>
      </c>
    </row>
    <row r="1534" spans="1:8" ht="13.5" customHeight="1" x14ac:dyDescent="0.3">
      <c r="A1534" s="1" t="s">
        <v>242</v>
      </c>
      <c r="B1534" s="1" t="s">
        <v>254</v>
      </c>
      <c r="C1534" s="1" t="s">
        <v>255</v>
      </c>
      <c r="D1534" s="1">
        <v>2022</v>
      </c>
      <c r="E1534" s="1" t="str">
        <f t="shared" si="6"/>
        <v>VERSAVERSA CVT 1.6 AUT2022</v>
      </c>
      <c r="F1534" s="1" t="s">
        <v>1869</v>
      </c>
      <c r="G1534" s="1">
        <v>19780000</v>
      </c>
      <c r="H1534" s="1">
        <v>16000000</v>
      </c>
    </row>
    <row r="1535" spans="1:8" ht="13.5" customHeight="1" x14ac:dyDescent="0.3">
      <c r="A1535" s="1" t="s">
        <v>242</v>
      </c>
      <c r="B1535" s="1" t="s">
        <v>254</v>
      </c>
      <c r="C1535" s="1" t="s">
        <v>255</v>
      </c>
      <c r="D1535" s="1">
        <v>2022</v>
      </c>
      <c r="E1535" s="1" t="str">
        <f t="shared" si="6"/>
        <v>VERSAVERSA CVT 1.6 AUT2022</v>
      </c>
      <c r="F1535" s="1" t="s">
        <v>1092</v>
      </c>
      <c r="G1535" s="1">
        <v>12990000</v>
      </c>
      <c r="H1535" s="1">
        <v>11500000</v>
      </c>
    </row>
    <row r="1536" spans="1:8" ht="13.5" customHeight="1" x14ac:dyDescent="0.3">
      <c r="A1536" s="1" t="s">
        <v>242</v>
      </c>
      <c r="B1536" s="1" t="s">
        <v>254</v>
      </c>
      <c r="C1536" s="1" t="s">
        <v>255</v>
      </c>
      <c r="D1536" s="1">
        <v>2022</v>
      </c>
      <c r="E1536" s="1" t="str">
        <f t="shared" si="6"/>
        <v>VERSAVERSA CVT 1.6 AUT2022</v>
      </c>
      <c r="F1536" s="1" t="s">
        <v>5121</v>
      </c>
      <c r="G1536" s="1">
        <v>10500000</v>
      </c>
      <c r="H1536" s="1">
        <v>9500000</v>
      </c>
    </row>
    <row r="1537" spans="1:8" ht="13.5" customHeight="1" x14ac:dyDescent="0.3">
      <c r="A1537" s="1" t="s">
        <v>242</v>
      </c>
      <c r="B1537" s="1" t="s">
        <v>254</v>
      </c>
      <c r="C1537" s="1" t="s">
        <v>5122</v>
      </c>
      <c r="D1537" s="1">
        <v>2019</v>
      </c>
      <c r="E1537" s="1" t="str">
        <f t="shared" si="6"/>
        <v>VERSAVERSA DRIVE 1.62019</v>
      </c>
      <c r="F1537" s="1" t="s">
        <v>2802</v>
      </c>
      <c r="G1537" s="1">
        <v>8690000</v>
      </c>
      <c r="H1537" s="1">
        <v>8000000</v>
      </c>
    </row>
    <row r="1538" spans="1:8" ht="13.5" customHeight="1" x14ac:dyDescent="0.3">
      <c r="A1538" s="1" t="s">
        <v>242</v>
      </c>
      <c r="B1538" s="1" t="s">
        <v>254</v>
      </c>
      <c r="C1538" s="1" t="s">
        <v>5123</v>
      </c>
      <c r="D1538" s="1">
        <v>2021</v>
      </c>
      <c r="E1538" s="1" t="str">
        <f t="shared" si="6"/>
        <v>VERSAVERSA MT 1.62021</v>
      </c>
      <c r="G1538" s="1">
        <v>9840000</v>
      </c>
      <c r="H1538" s="1">
        <v>0</v>
      </c>
    </row>
    <row r="1539" spans="1:8" ht="13.5" customHeight="1" x14ac:dyDescent="0.3">
      <c r="A1539" s="1" t="s">
        <v>242</v>
      </c>
      <c r="B1539" s="1" t="s">
        <v>254</v>
      </c>
      <c r="C1539" s="1" t="s">
        <v>5123</v>
      </c>
      <c r="D1539" s="1">
        <v>2021</v>
      </c>
      <c r="E1539" s="1" t="str">
        <f t="shared" si="6"/>
        <v>VERSAVERSA MT 1.62021</v>
      </c>
      <c r="F1539" s="1" t="s">
        <v>1841</v>
      </c>
      <c r="G1539" s="1">
        <v>9490000</v>
      </c>
      <c r="H1539" s="1">
        <v>7650000</v>
      </c>
    </row>
    <row r="1540" spans="1:8" ht="13.5" customHeight="1" x14ac:dyDescent="0.3">
      <c r="A1540" s="1" t="s">
        <v>242</v>
      </c>
      <c r="B1540" s="1" t="s">
        <v>254</v>
      </c>
      <c r="C1540" s="1" t="s">
        <v>5123</v>
      </c>
      <c r="D1540" s="1">
        <v>2021</v>
      </c>
      <c r="E1540" s="1" t="str">
        <f t="shared" si="6"/>
        <v>VERSAVERSA MT 1.62021</v>
      </c>
      <c r="F1540" s="1" t="s">
        <v>2119</v>
      </c>
      <c r="G1540" s="1">
        <v>9890000</v>
      </c>
      <c r="H1540" s="1">
        <v>8000000</v>
      </c>
    </row>
    <row r="1541" spans="1:8" ht="13.5" customHeight="1" x14ac:dyDescent="0.3">
      <c r="A1541" s="1" t="s">
        <v>242</v>
      </c>
      <c r="B1541" s="1" t="s">
        <v>254</v>
      </c>
      <c r="C1541" s="1" t="s">
        <v>5123</v>
      </c>
      <c r="D1541" s="1">
        <v>2021</v>
      </c>
      <c r="E1541" s="1" t="str">
        <f t="shared" si="6"/>
        <v>VERSAVERSA MT 1.62021</v>
      </c>
      <c r="F1541" s="1" t="s">
        <v>1758</v>
      </c>
      <c r="G1541" s="1">
        <v>9490000</v>
      </c>
      <c r="H1541" s="1">
        <v>7200000</v>
      </c>
    </row>
    <row r="1542" spans="1:8" ht="13.5" customHeight="1" x14ac:dyDescent="0.3">
      <c r="A1542" s="1" t="s">
        <v>242</v>
      </c>
      <c r="B1542" s="1" t="s">
        <v>254</v>
      </c>
      <c r="C1542" s="1" t="s">
        <v>5123</v>
      </c>
      <c r="D1542" s="1">
        <v>2021</v>
      </c>
      <c r="E1542" s="1" t="str">
        <f t="shared" si="6"/>
        <v>VERSAVERSA MT 1.62021</v>
      </c>
      <c r="F1542" s="1" t="s">
        <v>2388</v>
      </c>
      <c r="G1542" s="1">
        <v>9990000</v>
      </c>
      <c r="H1542" s="1">
        <v>8000000</v>
      </c>
    </row>
    <row r="1543" spans="1:8" ht="13.5" customHeight="1" x14ac:dyDescent="0.3">
      <c r="A1543" s="1" t="s">
        <v>242</v>
      </c>
      <c r="B1543" s="1" t="s">
        <v>254</v>
      </c>
      <c r="C1543" s="1" t="s">
        <v>5123</v>
      </c>
      <c r="D1543" s="1">
        <v>2021</v>
      </c>
      <c r="E1543" s="1" t="str">
        <f t="shared" si="6"/>
        <v>VERSAVERSA MT 1.62021</v>
      </c>
      <c r="F1543" s="1" t="s">
        <v>2034</v>
      </c>
      <c r="G1543" s="1">
        <v>9390000</v>
      </c>
      <c r="H1543" s="1">
        <v>7059244</v>
      </c>
    </row>
    <row r="1544" spans="1:8" ht="13.5" customHeight="1" x14ac:dyDescent="0.3">
      <c r="A1544" s="1" t="s">
        <v>242</v>
      </c>
      <c r="B1544" s="1" t="s">
        <v>254</v>
      </c>
      <c r="C1544" s="1" t="s">
        <v>5123</v>
      </c>
      <c r="D1544" s="1">
        <v>2021</v>
      </c>
      <c r="E1544" s="1" t="str">
        <f t="shared" si="6"/>
        <v>VERSAVERSA MT 1.62021</v>
      </c>
      <c r="F1544" s="1" t="s">
        <v>1907</v>
      </c>
      <c r="G1544" s="1">
        <v>8990000</v>
      </c>
      <c r="H1544" s="1">
        <v>7000000</v>
      </c>
    </row>
    <row r="1545" spans="1:8" ht="13.5" customHeight="1" x14ac:dyDescent="0.3">
      <c r="A1545" s="1" t="s">
        <v>242</v>
      </c>
      <c r="B1545" s="1" t="s">
        <v>254</v>
      </c>
      <c r="C1545" s="1" t="s">
        <v>5123</v>
      </c>
      <c r="D1545" s="1">
        <v>2021</v>
      </c>
      <c r="E1545" s="1" t="str">
        <f t="shared" si="6"/>
        <v>VERSAVERSA MT 1.62021</v>
      </c>
      <c r="F1545" s="1" t="s">
        <v>1526</v>
      </c>
      <c r="G1545" s="1">
        <v>8990000</v>
      </c>
      <c r="H1545" s="1">
        <v>7500000</v>
      </c>
    </row>
    <row r="1546" spans="1:8" ht="13.5" customHeight="1" x14ac:dyDescent="0.3">
      <c r="A1546" s="1" t="s">
        <v>242</v>
      </c>
      <c r="B1546" s="1" t="s">
        <v>254</v>
      </c>
      <c r="C1546" s="1" t="s">
        <v>5123</v>
      </c>
      <c r="D1546" s="1">
        <v>2021</v>
      </c>
      <c r="E1546" s="1" t="str">
        <f t="shared" si="6"/>
        <v>VERSAVERSA MT 1.62021</v>
      </c>
      <c r="F1546" s="1" t="s">
        <v>1323</v>
      </c>
      <c r="G1546" s="1">
        <v>8390000</v>
      </c>
      <c r="H1546" s="1">
        <v>7000000</v>
      </c>
    </row>
    <row r="1547" spans="1:8" ht="13.5" customHeight="1" x14ac:dyDescent="0.3">
      <c r="A1547" s="1" t="s">
        <v>242</v>
      </c>
      <c r="B1547" s="1" t="s">
        <v>254</v>
      </c>
      <c r="C1547" s="1" t="s">
        <v>5123</v>
      </c>
      <c r="D1547" s="1">
        <v>2021</v>
      </c>
      <c r="E1547" s="1" t="str">
        <f t="shared" si="6"/>
        <v>VERSAVERSA MT 1.62021</v>
      </c>
      <c r="F1547" s="1" t="s">
        <v>680</v>
      </c>
      <c r="G1547" s="1">
        <v>10190000</v>
      </c>
      <c r="H1547" s="1">
        <v>8250000</v>
      </c>
    </row>
    <row r="1548" spans="1:8" ht="13.5" customHeight="1" x14ac:dyDescent="0.3">
      <c r="A1548" s="1" t="s">
        <v>242</v>
      </c>
      <c r="B1548" s="1" t="s">
        <v>254</v>
      </c>
      <c r="C1548" s="1" t="s">
        <v>5123</v>
      </c>
      <c r="D1548" s="1">
        <v>2022</v>
      </c>
      <c r="E1548" s="1" t="str">
        <f t="shared" si="6"/>
        <v>VERSAVERSA MT 1.62022</v>
      </c>
      <c r="F1548" s="1" t="s">
        <v>1208</v>
      </c>
      <c r="G1548" s="1">
        <v>9290000</v>
      </c>
      <c r="H1548" s="1">
        <v>7600000</v>
      </c>
    </row>
    <row r="1549" spans="1:8" ht="13.5" customHeight="1" x14ac:dyDescent="0.3">
      <c r="A1549" s="1" t="s">
        <v>242</v>
      </c>
      <c r="B1549" s="1" t="s">
        <v>254</v>
      </c>
      <c r="C1549" s="1" t="s">
        <v>5123</v>
      </c>
      <c r="D1549" s="1">
        <v>2022</v>
      </c>
      <c r="E1549" s="1" t="str">
        <f t="shared" si="6"/>
        <v>VERSAVERSA MT 1.62022</v>
      </c>
      <c r="F1549" s="1" t="s">
        <v>480</v>
      </c>
      <c r="G1549" s="1">
        <v>9990000</v>
      </c>
      <c r="H1549" s="1">
        <v>6300000</v>
      </c>
    </row>
    <row r="1550" spans="1:8" ht="13.5" customHeight="1" x14ac:dyDescent="0.3">
      <c r="A1550" s="1" t="s">
        <v>242</v>
      </c>
      <c r="B1550" s="1" t="s">
        <v>254</v>
      </c>
      <c r="C1550" s="1" t="s">
        <v>5123</v>
      </c>
      <c r="D1550" s="1">
        <v>2022</v>
      </c>
      <c r="E1550" s="1" t="str">
        <f t="shared" si="6"/>
        <v>VERSAVERSA MT 1.62022</v>
      </c>
      <c r="F1550" s="1" t="s">
        <v>1574</v>
      </c>
      <c r="G1550" s="1">
        <v>10990000</v>
      </c>
      <c r="H1550" s="1">
        <v>8650000</v>
      </c>
    </row>
    <row r="1551" spans="1:8" ht="13.5" customHeight="1" x14ac:dyDescent="0.3">
      <c r="A1551" s="1" t="s">
        <v>242</v>
      </c>
      <c r="B1551" s="1" t="s">
        <v>254</v>
      </c>
      <c r="C1551" s="1" t="s">
        <v>5123</v>
      </c>
      <c r="D1551" s="1">
        <v>2022</v>
      </c>
      <c r="E1551" s="1" t="str">
        <f t="shared" si="6"/>
        <v>VERSAVERSA MT 1.62022</v>
      </c>
      <c r="F1551" s="1" t="s">
        <v>5124</v>
      </c>
      <c r="G1551" s="1">
        <v>10290000</v>
      </c>
      <c r="H1551" s="1">
        <v>9500000</v>
      </c>
    </row>
    <row r="1552" spans="1:8" ht="13.5" customHeight="1" x14ac:dyDescent="0.3">
      <c r="A1552" s="1" t="s">
        <v>242</v>
      </c>
      <c r="B1552" s="1" t="s">
        <v>254</v>
      </c>
      <c r="C1552" s="1" t="s">
        <v>5123</v>
      </c>
      <c r="D1552" s="1">
        <v>2023</v>
      </c>
      <c r="E1552" s="1" t="str">
        <f t="shared" si="6"/>
        <v>VERSAVERSA MT 1.62023</v>
      </c>
      <c r="F1552" s="1" t="s">
        <v>1859</v>
      </c>
      <c r="G1552" s="1">
        <v>11490000</v>
      </c>
      <c r="H1552" s="1">
        <v>10300000</v>
      </c>
    </row>
    <row r="1553" spans="1:8" ht="13.5" customHeight="1" x14ac:dyDescent="0.3">
      <c r="A1553" s="1" t="s">
        <v>242</v>
      </c>
      <c r="B1553" s="1" t="s">
        <v>254</v>
      </c>
      <c r="C1553" s="1" t="s">
        <v>5123</v>
      </c>
      <c r="D1553" s="1">
        <v>2023</v>
      </c>
      <c r="E1553" s="1" t="str">
        <f t="shared" si="6"/>
        <v>VERSAVERSA MT 1.62023</v>
      </c>
      <c r="F1553" s="1" t="s">
        <v>1296</v>
      </c>
      <c r="G1553" s="1">
        <v>10290000</v>
      </c>
      <c r="H1553" s="1">
        <v>8500000</v>
      </c>
    </row>
    <row r="1554" spans="1:8" ht="13.5" customHeight="1" x14ac:dyDescent="0.3">
      <c r="A1554" s="1" t="s">
        <v>242</v>
      </c>
      <c r="B1554" s="1" t="s">
        <v>254</v>
      </c>
      <c r="C1554" s="1" t="s">
        <v>5123</v>
      </c>
      <c r="D1554" s="1">
        <v>2023</v>
      </c>
      <c r="E1554" s="1" t="str">
        <f t="shared" si="6"/>
        <v>VERSAVERSA MT 1.62023</v>
      </c>
      <c r="F1554" s="1" t="s">
        <v>617</v>
      </c>
      <c r="G1554" s="1">
        <v>10790000</v>
      </c>
      <c r="H1554" s="1">
        <v>9000000</v>
      </c>
    </row>
    <row r="1555" spans="1:8" ht="13.5" customHeight="1" x14ac:dyDescent="0.3">
      <c r="A1555" s="1" t="s">
        <v>242</v>
      </c>
      <c r="B1555" s="1" t="s">
        <v>254</v>
      </c>
      <c r="C1555" s="1" t="s">
        <v>5123</v>
      </c>
      <c r="D1555" s="1">
        <v>2023</v>
      </c>
      <c r="E1555" s="1" t="str">
        <f t="shared" si="6"/>
        <v>VERSAVERSA MT 1.62023</v>
      </c>
      <c r="F1555" s="1" t="s">
        <v>1143</v>
      </c>
      <c r="G1555" s="1">
        <v>11190000</v>
      </c>
      <c r="H1555" s="1">
        <v>10000000</v>
      </c>
    </row>
    <row r="1556" spans="1:8" ht="13.5" customHeight="1" x14ac:dyDescent="0.3">
      <c r="A1556" s="1" t="s">
        <v>242</v>
      </c>
      <c r="B1556" s="1" t="s">
        <v>254</v>
      </c>
      <c r="C1556" s="1" t="s">
        <v>5123</v>
      </c>
      <c r="D1556" s="1">
        <v>2023</v>
      </c>
      <c r="E1556" s="1" t="str">
        <f t="shared" si="6"/>
        <v>VERSAVERSA MT 1.62023</v>
      </c>
      <c r="F1556" s="1" t="s">
        <v>1322</v>
      </c>
      <c r="G1556" s="1">
        <v>10990000</v>
      </c>
      <c r="H1556" s="1">
        <v>8250000</v>
      </c>
    </row>
    <row r="1557" spans="1:8" ht="13.5" customHeight="1" x14ac:dyDescent="0.3">
      <c r="A1557" s="1" t="s">
        <v>242</v>
      </c>
      <c r="B1557" s="1" t="s">
        <v>254</v>
      </c>
      <c r="C1557" s="1" t="s">
        <v>5123</v>
      </c>
      <c r="D1557" s="1">
        <v>2023</v>
      </c>
      <c r="E1557" s="1" t="str">
        <f t="shared" si="6"/>
        <v>VERSAVERSA MT 1.62023</v>
      </c>
      <c r="F1557" s="1" t="s">
        <v>579</v>
      </c>
      <c r="G1557" s="1">
        <v>10290000</v>
      </c>
      <c r="H1557" s="1">
        <v>8300000</v>
      </c>
    </row>
    <row r="1558" spans="1:8" ht="13.5" customHeight="1" x14ac:dyDescent="0.3">
      <c r="A1558" s="1" t="s">
        <v>242</v>
      </c>
      <c r="B1558" s="1" t="s">
        <v>254</v>
      </c>
      <c r="C1558" s="1" t="s">
        <v>5123</v>
      </c>
      <c r="D1558" s="1">
        <v>2023</v>
      </c>
      <c r="E1558" s="1" t="str">
        <f t="shared" si="6"/>
        <v>VERSAVERSA MT 1.62023</v>
      </c>
      <c r="F1558" s="1" t="s">
        <v>2263</v>
      </c>
      <c r="G1558" s="1">
        <v>11100000</v>
      </c>
      <c r="H1558" s="1">
        <v>10000000</v>
      </c>
    </row>
    <row r="1559" spans="1:8" ht="13.5" customHeight="1" x14ac:dyDescent="0.3">
      <c r="A1559" s="1" t="s">
        <v>242</v>
      </c>
      <c r="B1559" s="1" t="s">
        <v>254</v>
      </c>
      <c r="C1559" s="1" t="s">
        <v>5123</v>
      </c>
      <c r="D1559" s="1">
        <v>2023</v>
      </c>
      <c r="E1559" s="1" t="str">
        <f t="shared" si="6"/>
        <v>VERSAVERSA MT 1.62023</v>
      </c>
      <c r="F1559" s="1" t="s">
        <v>1669</v>
      </c>
      <c r="G1559" s="1">
        <v>10690000</v>
      </c>
      <c r="H1559" s="1">
        <v>8500000</v>
      </c>
    </row>
    <row r="1560" spans="1:8" ht="13.5" customHeight="1" x14ac:dyDescent="0.3">
      <c r="A1560" s="1" t="s">
        <v>242</v>
      </c>
      <c r="B1560" s="1" t="s">
        <v>254</v>
      </c>
      <c r="C1560" s="1" t="s">
        <v>5123</v>
      </c>
      <c r="D1560" s="1">
        <v>2023</v>
      </c>
      <c r="E1560" s="1" t="str">
        <f t="shared" si="6"/>
        <v>VERSAVERSA MT 1.62023</v>
      </c>
      <c r="F1560" s="1" t="s">
        <v>411</v>
      </c>
      <c r="G1560" s="1">
        <v>11990000</v>
      </c>
      <c r="H1560" s="1">
        <v>9300000</v>
      </c>
    </row>
    <row r="1561" spans="1:8" ht="13.5" customHeight="1" x14ac:dyDescent="0.3">
      <c r="A1561" s="1" t="s">
        <v>242</v>
      </c>
      <c r="B1561" s="1" t="s">
        <v>254</v>
      </c>
      <c r="C1561" s="1" t="s">
        <v>5123</v>
      </c>
      <c r="D1561" s="1">
        <v>2024</v>
      </c>
      <c r="E1561" s="1" t="str">
        <f t="shared" si="6"/>
        <v>VERSAVERSA MT 1.62024</v>
      </c>
      <c r="F1561" s="1" t="s">
        <v>578</v>
      </c>
      <c r="G1561" s="1">
        <v>12490000</v>
      </c>
      <c r="H1561" s="1">
        <v>10900000</v>
      </c>
    </row>
    <row r="1562" spans="1:8" ht="13.5" customHeight="1" x14ac:dyDescent="0.3">
      <c r="A1562" s="1" t="s">
        <v>242</v>
      </c>
      <c r="B1562" s="1" t="s">
        <v>254</v>
      </c>
      <c r="C1562" s="1" t="s">
        <v>5125</v>
      </c>
      <c r="D1562" s="1">
        <v>2023</v>
      </c>
      <c r="E1562" s="1" t="str">
        <f t="shared" si="6"/>
        <v>VERSAVERSA MT 4X2 1.62023</v>
      </c>
      <c r="F1562" s="1" t="s">
        <v>1384</v>
      </c>
      <c r="G1562" s="1">
        <v>10690000</v>
      </c>
      <c r="H1562" s="1">
        <v>9000000</v>
      </c>
    </row>
    <row r="1563" spans="1:8" ht="13.5" customHeight="1" x14ac:dyDescent="0.3">
      <c r="A1563" s="1" t="s">
        <v>242</v>
      </c>
      <c r="B1563" s="1" t="s">
        <v>254</v>
      </c>
      <c r="C1563" s="1" t="s">
        <v>5125</v>
      </c>
      <c r="D1563" s="1">
        <v>2024</v>
      </c>
      <c r="E1563" s="1" t="str">
        <f t="shared" si="6"/>
        <v>VERSAVERSA MT 4X2 1.62024</v>
      </c>
      <c r="F1563" s="1" t="s">
        <v>1875</v>
      </c>
      <c r="G1563" s="1">
        <v>11938120</v>
      </c>
      <c r="H1563" s="1">
        <v>11000000</v>
      </c>
    </row>
    <row r="1564" spans="1:8" ht="13.5" customHeight="1" x14ac:dyDescent="0.3">
      <c r="A1564" s="1" t="s">
        <v>242</v>
      </c>
      <c r="B1564" s="1" t="s">
        <v>254</v>
      </c>
      <c r="C1564" s="1" t="s">
        <v>5126</v>
      </c>
      <c r="D1564" s="1">
        <v>2021</v>
      </c>
      <c r="E1564" s="1" t="str">
        <f t="shared" si="6"/>
        <v>VERSAVERSA SEDAN 1.62021</v>
      </c>
      <c r="F1564" s="1" t="s">
        <v>2113</v>
      </c>
      <c r="G1564" s="1">
        <v>8890000</v>
      </c>
      <c r="H1564" s="1">
        <v>7200000</v>
      </c>
    </row>
    <row r="1565" spans="1:8" ht="13.5" customHeight="1" x14ac:dyDescent="0.3">
      <c r="A1565" s="1" t="s">
        <v>242</v>
      </c>
      <c r="B1565" s="1" t="s">
        <v>254</v>
      </c>
      <c r="C1565" s="1" t="s">
        <v>5127</v>
      </c>
      <c r="D1565" s="1">
        <v>2013</v>
      </c>
      <c r="E1565" s="1" t="str">
        <f t="shared" si="6"/>
        <v>VERSAVERSA SENCE 1.62013</v>
      </c>
      <c r="F1565" s="1" t="s">
        <v>1540</v>
      </c>
      <c r="G1565" s="1">
        <v>4950000</v>
      </c>
      <c r="H1565" s="1">
        <v>4000000</v>
      </c>
    </row>
    <row r="1566" spans="1:8" ht="13.5" customHeight="1" x14ac:dyDescent="0.3">
      <c r="A1566" s="1" t="s">
        <v>242</v>
      </c>
      <c r="B1566" s="1" t="s">
        <v>254</v>
      </c>
      <c r="C1566" s="1" t="s">
        <v>5127</v>
      </c>
      <c r="D1566" s="1">
        <v>2018</v>
      </c>
      <c r="E1566" s="1" t="str">
        <f t="shared" si="6"/>
        <v>VERSAVERSA SENCE 1.62018</v>
      </c>
      <c r="F1566" s="1" t="s">
        <v>2061</v>
      </c>
      <c r="G1566" s="1">
        <v>7490000</v>
      </c>
      <c r="H1566" s="1">
        <v>-101681</v>
      </c>
    </row>
    <row r="1567" spans="1:8" ht="13.5" customHeight="1" x14ac:dyDescent="0.3">
      <c r="A1567" s="1" t="s">
        <v>242</v>
      </c>
      <c r="B1567" s="1" t="s">
        <v>254</v>
      </c>
      <c r="C1567" s="1" t="s">
        <v>5127</v>
      </c>
      <c r="D1567" s="1">
        <v>2019</v>
      </c>
      <c r="E1567" s="1" t="str">
        <f t="shared" si="6"/>
        <v>VERSAVERSA SENCE 1.62019</v>
      </c>
      <c r="F1567" s="1" t="s">
        <v>1780</v>
      </c>
      <c r="G1567" s="1">
        <v>6490000</v>
      </c>
      <c r="H1567" s="1">
        <v>5000000</v>
      </c>
    </row>
    <row r="1568" spans="1:8" ht="13.5" customHeight="1" x14ac:dyDescent="0.3">
      <c r="A1568" s="1" t="s">
        <v>242</v>
      </c>
      <c r="B1568" s="1" t="s">
        <v>254</v>
      </c>
      <c r="C1568" s="1" t="s">
        <v>5127</v>
      </c>
      <c r="D1568" s="1">
        <v>2019</v>
      </c>
      <c r="E1568" s="1" t="str">
        <f t="shared" si="6"/>
        <v>VERSAVERSA SENCE 1.62019</v>
      </c>
      <c r="F1568" s="1" t="s">
        <v>1379</v>
      </c>
      <c r="G1568" s="1">
        <v>6690000</v>
      </c>
      <c r="H1568" s="1">
        <v>5200000</v>
      </c>
    </row>
    <row r="1569" spans="1:8" ht="13.5" customHeight="1" x14ac:dyDescent="0.3">
      <c r="A1569" s="1" t="s">
        <v>242</v>
      </c>
      <c r="B1569" s="1" t="s">
        <v>254</v>
      </c>
      <c r="C1569" s="1" t="s">
        <v>5127</v>
      </c>
      <c r="D1569" s="1">
        <v>2019</v>
      </c>
      <c r="E1569" s="1" t="str">
        <f t="shared" si="6"/>
        <v>VERSAVERSA SENCE 1.62019</v>
      </c>
      <c r="F1569" s="1" t="s">
        <v>5128</v>
      </c>
      <c r="G1569" s="1">
        <v>8390000</v>
      </c>
      <c r="H1569" s="1">
        <v>6700000</v>
      </c>
    </row>
    <row r="1570" spans="1:8" ht="13.5" customHeight="1" x14ac:dyDescent="0.3">
      <c r="A1570" s="1" t="s">
        <v>242</v>
      </c>
      <c r="B1570" s="1" t="s">
        <v>254</v>
      </c>
      <c r="C1570" s="1" t="s">
        <v>5127</v>
      </c>
      <c r="D1570" s="1">
        <v>2020</v>
      </c>
      <c r="E1570" s="1" t="str">
        <f t="shared" si="6"/>
        <v>VERSAVERSA SENCE 1.62020</v>
      </c>
      <c r="F1570" s="1" t="s">
        <v>2150</v>
      </c>
      <c r="G1570" s="1">
        <v>9690000</v>
      </c>
      <c r="H1570" s="1">
        <v>7700000</v>
      </c>
    </row>
    <row r="1571" spans="1:8" ht="13.5" customHeight="1" x14ac:dyDescent="0.3">
      <c r="A1571" s="1" t="s">
        <v>242</v>
      </c>
      <c r="B1571" s="1" t="s">
        <v>254</v>
      </c>
      <c r="C1571" s="1" t="s">
        <v>5129</v>
      </c>
      <c r="D1571" s="1">
        <v>2016</v>
      </c>
      <c r="E1571" s="1" t="str">
        <f t="shared" si="6"/>
        <v>VERSAVERSA SENSE  1.62016</v>
      </c>
      <c r="F1571" s="1" t="s">
        <v>1765</v>
      </c>
      <c r="G1571" s="1">
        <v>4990000</v>
      </c>
      <c r="H1571" s="1">
        <v>4000000</v>
      </c>
    </row>
    <row r="1572" spans="1:8" ht="13.5" customHeight="1" x14ac:dyDescent="0.3">
      <c r="A1572" s="1" t="s">
        <v>242</v>
      </c>
      <c r="B1572" s="1" t="s">
        <v>5130</v>
      </c>
      <c r="C1572" s="1" t="s">
        <v>5120</v>
      </c>
      <c r="D1572" s="1">
        <v>2022</v>
      </c>
      <c r="E1572" s="1" t="str">
        <f t="shared" si="6"/>
        <v>VERSA V-DRIVEV DRIVE N17 1.62022</v>
      </c>
      <c r="F1572" s="1" t="s">
        <v>2316</v>
      </c>
      <c r="G1572" s="1">
        <v>9990000</v>
      </c>
      <c r="H1572" s="1">
        <v>7750000</v>
      </c>
    </row>
    <row r="1573" spans="1:8" ht="13.5" customHeight="1" x14ac:dyDescent="0.3">
      <c r="A1573" s="1" t="s">
        <v>242</v>
      </c>
      <c r="B1573" s="1" t="s">
        <v>257</v>
      </c>
      <c r="C1573" s="1" t="s">
        <v>5131</v>
      </c>
      <c r="D1573" s="1">
        <v>2018</v>
      </c>
      <c r="E1573" s="1" t="str">
        <f t="shared" si="6"/>
        <v>XTRAILX TRAIL 2.5 AUT2018</v>
      </c>
      <c r="F1573" s="1" t="s">
        <v>1665</v>
      </c>
      <c r="G1573" s="1">
        <v>9690000</v>
      </c>
      <c r="H1573" s="1">
        <v>8000000</v>
      </c>
    </row>
    <row r="1574" spans="1:8" ht="13.5" customHeight="1" x14ac:dyDescent="0.3">
      <c r="A1574" s="1" t="s">
        <v>242</v>
      </c>
      <c r="B1574" s="1" t="s">
        <v>257</v>
      </c>
      <c r="C1574" s="1" t="s">
        <v>5131</v>
      </c>
      <c r="D1574" s="1">
        <v>2020</v>
      </c>
      <c r="E1574" s="1" t="str">
        <f t="shared" si="6"/>
        <v>XTRAILX TRAIL 2.5 AUT2020</v>
      </c>
      <c r="F1574" s="1" t="s">
        <v>405</v>
      </c>
      <c r="G1574" s="1">
        <v>12990000</v>
      </c>
      <c r="H1574" s="1">
        <v>11000000</v>
      </c>
    </row>
    <row r="1575" spans="1:8" ht="13.5" customHeight="1" x14ac:dyDescent="0.3">
      <c r="A1575" s="1" t="s">
        <v>242</v>
      </c>
      <c r="B1575" s="1" t="s">
        <v>257</v>
      </c>
      <c r="C1575" s="1" t="s">
        <v>258</v>
      </c>
      <c r="D1575" s="1">
        <v>2023</v>
      </c>
      <c r="E1575" s="1" t="str">
        <f t="shared" si="6"/>
        <v>XTRAILX TRAIL 4X2 7P CVT 2.52023</v>
      </c>
      <c r="F1575" s="1" t="s">
        <v>2057</v>
      </c>
      <c r="G1575" s="1">
        <v>25890000</v>
      </c>
      <c r="H1575" s="1">
        <v>22972689</v>
      </c>
    </row>
    <row r="1576" spans="1:8" ht="13.5" customHeight="1" x14ac:dyDescent="0.3">
      <c r="A1576" s="1" t="s">
        <v>242</v>
      </c>
      <c r="B1576" s="1" t="s">
        <v>257</v>
      </c>
      <c r="C1576" s="1" t="s">
        <v>258</v>
      </c>
      <c r="D1576" s="1">
        <v>2023</v>
      </c>
      <c r="E1576" s="1" t="str">
        <f t="shared" si="6"/>
        <v>XTRAILX TRAIL 4X2 7P CVT 2.52023</v>
      </c>
      <c r="F1576" s="1" t="s">
        <v>848</v>
      </c>
      <c r="G1576" s="1">
        <v>19290000</v>
      </c>
      <c r="H1576" s="1">
        <v>16500000</v>
      </c>
    </row>
    <row r="1577" spans="1:8" ht="13.5" customHeight="1" x14ac:dyDescent="0.3">
      <c r="A1577" s="1" t="s">
        <v>242</v>
      </c>
      <c r="B1577" s="1" t="s">
        <v>257</v>
      </c>
      <c r="C1577" s="1" t="s">
        <v>5132</v>
      </c>
      <c r="D1577" s="1">
        <v>2023</v>
      </c>
      <c r="E1577" s="1" t="str">
        <f t="shared" si="6"/>
        <v>XTRAILX TRAIL 4X4 7P CVT 2.52023</v>
      </c>
      <c r="F1577" s="1" t="s">
        <v>856</v>
      </c>
      <c r="G1577" s="1">
        <v>23990000</v>
      </c>
      <c r="H1577" s="1">
        <v>22200000</v>
      </c>
    </row>
    <row r="1578" spans="1:8" ht="13.5" customHeight="1" x14ac:dyDescent="0.3">
      <c r="A1578" s="1" t="s">
        <v>242</v>
      </c>
      <c r="B1578" s="1" t="s">
        <v>257</v>
      </c>
      <c r="C1578" s="1" t="s">
        <v>5133</v>
      </c>
      <c r="D1578" s="1">
        <v>2020</v>
      </c>
      <c r="E1578" s="1" t="str">
        <f t="shared" si="6"/>
        <v>XTRAILX TRAIL 7P 4X4 2.5 AUT2020</v>
      </c>
      <c r="F1578" s="1" t="s">
        <v>405</v>
      </c>
      <c r="G1578" s="1">
        <v>12990000</v>
      </c>
      <c r="H1578" s="1">
        <v>10500000</v>
      </c>
    </row>
    <row r="1579" spans="1:8" ht="13.5" customHeight="1" x14ac:dyDescent="0.3">
      <c r="A1579" s="1" t="s">
        <v>242</v>
      </c>
      <c r="B1579" s="1" t="s">
        <v>257</v>
      </c>
      <c r="C1579" s="1" t="s">
        <v>5133</v>
      </c>
      <c r="D1579" s="1">
        <v>2025</v>
      </c>
      <c r="E1579" s="1" t="str">
        <f t="shared" si="6"/>
        <v>XTRAILX TRAIL 7P 4X4 2.5 AUT2025</v>
      </c>
      <c r="F1579" s="1" t="s">
        <v>586</v>
      </c>
      <c r="G1579" s="1">
        <v>29790000</v>
      </c>
      <c r="H1579" s="1">
        <v>26500000</v>
      </c>
    </row>
    <row r="1580" spans="1:8" ht="13.5" customHeight="1" x14ac:dyDescent="0.3">
      <c r="A1580" s="1" t="s">
        <v>242</v>
      </c>
      <c r="B1580" s="1" t="s">
        <v>257</v>
      </c>
      <c r="C1580" s="1" t="s">
        <v>5134</v>
      </c>
      <c r="D1580" s="1">
        <v>2019</v>
      </c>
      <c r="E1580" s="1" t="str">
        <f t="shared" si="6"/>
        <v>XTRAILX TRAIL ADVANCE 2.5 AUT2019</v>
      </c>
      <c r="F1580" s="1" t="s">
        <v>957</v>
      </c>
      <c r="G1580" s="1">
        <v>12490000</v>
      </c>
      <c r="H1580" s="1">
        <v>10000000</v>
      </c>
    </row>
    <row r="1581" spans="1:8" ht="13.5" customHeight="1" x14ac:dyDescent="0.3">
      <c r="A1581" s="1" t="s">
        <v>242</v>
      </c>
      <c r="B1581" s="1" t="s">
        <v>257</v>
      </c>
      <c r="C1581" s="1" t="s">
        <v>5135</v>
      </c>
      <c r="D1581" s="1">
        <v>2013</v>
      </c>
      <c r="E1581" s="1" t="str">
        <f t="shared" si="6"/>
        <v>XTRAILX TRAIL CVT 2.52013</v>
      </c>
      <c r="F1581" s="1" t="s">
        <v>5136</v>
      </c>
      <c r="G1581" s="1">
        <v>4000000</v>
      </c>
      <c r="H1581" s="1">
        <v>6000000</v>
      </c>
    </row>
    <row r="1582" spans="1:8" ht="13.5" customHeight="1" x14ac:dyDescent="0.3">
      <c r="A1582" s="1" t="s">
        <v>242</v>
      </c>
      <c r="B1582" s="1" t="s">
        <v>257</v>
      </c>
      <c r="C1582" s="1" t="s">
        <v>5137</v>
      </c>
      <c r="D1582" s="1">
        <v>2020</v>
      </c>
      <c r="E1582" s="1" t="str">
        <f t="shared" si="6"/>
        <v>XTRAILX TRAIL CVT 2.5 AT2020</v>
      </c>
      <c r="F1582" s="1" t="s">
        <v>887</v>
      </c>
      <c r="G1582" s="1">
        <v>12990000</v>
      </c>
      <c r="H1582" s="1">
        <v>10200000</v>
      </c>
    </row>
    <row r="1583" spans="1:8" ht="13.5" customHeight="1" x14ac:dyDescent="0.3">
      <c r="A1583" s="1" t="s">
        <v>242</v>
      </c>
      <c r="B1583" s="1" t="s">
        <v>257</v>
      </c>
      <c r="C1583" s="1" t="s">
        <v>5137</v>
      </c>
      <c r="D1583" s="1">
        <v>2021</v>
      </c>
      <c r="E1583" s="1" t="str">
        <f t="shared" si="6"/>
        <v>XTRAILX TRAIL CVT 2.5 AT2021</v>
      </c>
      <c r="F1583" s="1" t="s">
        <v>2379</v>
      </c>
      <c r="G1583" s="1">
        <v>16590000</v>
      </c>
      <c r="H1583" s="1">
        <v>13500000</v>
      </c>
    </row>
    <row r="1584" spans="1:8" ht="13.5" customHeight="1" x14ac:dyDescent="0.3">
      <c r="A1584" s="1" t="s">
        <v>242</v>
      </c>
      <c r="B1584" s="1" t="s">
        <v>257</v>
      </c>
      <c r="C1584" s="1" t="s">
        <v>5137</v>
      </c>
      <c r="D1584" s="1">
        <v>2021</v>
      </c>
      <c r="E1584" s="1" t="str">
        <f t="shared" si="6"/>
        <v>XTRAILX TRAIL CVT 2.5 AT2021</v>
      </c>
      <c r="F1584" s="1" t="s">
        <v>2269</v>
      </c>
      <c r="G1584" s="1">
        <v>14690000</v>
      </c>
      <c r="H1584" s="1">
        <v>12500000</v>
      </c>
    </row>
    <row r="1585" spans="1:8" ht="13.5" customHeight="1" x14ac:dyDescent="0.3">
      <c r="A1585" s="1" t="s">
        <v>242</v>
      </c>
      <c r="B1585" s="1" t="s">
        <v>257</v>
      </c>
      <c r="C1585" s="1" t="s">
        <v>5137</v>
      </c>
      <c r="D1585" s="1">
        <v>2021</v>
      </c>
      <c r="E1585" s="1" t="str">
        <f t="shared" si="6"/>
        <v>XTRAILX TRAIL CVT 2.5 AT2021</v>
      </c>
      <c r="F1585" s="1" t="s">
        <v>1659</v>
      </c>
      <c r="G1585" s="1">
        <v>14590000</v>
      </c>
      <c r="H1585" s="1">
        <v>12300000</v>
      </c>
    </row>
    <row r="1586" spans="1:8" ht="13.5" customHeight="1" x14ac:dyDescent="0.3">
      <c r="A1586" s="1" t="s">
        <v>242</v>
      </c>
      <c r="B1586" s="1" t="s">
        <v>257</v>
      </c>
      <c r="C1586" s="1" t="s">
        <v>5137</v>
      </c>
      <c r="D1586" s="1">
        <v>2022</v>
      </c>
      <c r="E1586" s="1" t="str">
        <f t="shared" si="6"/>
        <v>XTRAILX TRAIL CVT 2.5 AT2022</v>
      </c>
      <c r="F1586" s="1" t="s">
        <v>1523</v>
      </c>
      <c r="G1586" s="1">
        <v>15490000</v>
      </c>
      <c r="H1586" s="1">
        <v>13000000</v>
      </c>
    </row>
    <row r="1587" spans="1:8" ht="13.5" customHeight="1" x14ac:dyDescent="0.3">
      <c r="A1587" s="1" t="s">
        <v>242</v>
      </c>
      <c r="B1587" s="1" t="s">
        <v>257</v>
      </c>
      <c r="C1587" s="1" t="s">
        <v>5137</v>
      </c>
      <c r="D1587" s="1">
        <v>2023</v>
      </c>
      <c r="E1587" s="1" t="str">
        <f t="shared" si="6"/>
        <v>XTRAILX TRAIL CVT 2.5 AT2023</v>
      </c>
      <c r="F1587" s="1" t="s">
        <v>911</v>
      </c>
      <c r="G1587" s="1">
        <v>17390000</v>
      </c>
      <c r="H1587" s="1">
        <v>16000000</v>
      </c>
    </row>
    <row r="1588" spans="1:8" ht="13.5" customHeight="1" x14ac:dyDescent="0.3">
      <c r="A1588" s="1" t="s">
        <v>242</v>
      </c>
      <c r="B1588" s="1" t="s">
        <v>257</v>
      </c>
      <c r="C1588" s="1" t="s">
        <v>5137</v>
      </c>
      <c r="D1588" s="1">
        <v>2023</v>
      </c>
      <c r="E1588" s="1" t="str">
        <f t="shared" si="6"/>
        <v>XTRAILX TRAIL CVT 2.5 AT2023</v>
      </c>
      <c r="F1588" s="1" t="s">
        <v>526</v>
      </c>
      <c r="G1588" s="1">
        <v>17990000</v>
      </c>
      <c r="H1588" s="1">
        <v>15200000</v>
      </c>
    </row>
    <row r="1589" spans="1:8" ht="13.5" customHeight="1" x14ac:dyDescent="0.3">
      <c r="A1589" s="1" t="s">
        <v>242</v>
      </c>
      <c r="B1589" s="1" t="s">
        <v>257</v>
      </c>
      <c r="C1589" s="1" t="s">
        <v>5138</v>
      </c>
      <c r="D1589" s="1">
        <v>2022</v>
      </c>
      <c r="E1589" s="1" t="str">
        <f t="shared" si="6"/>
        <v>XTRAILX TRAIL CVT 4X4 2.5 AT2022</v>
      </c>
      <c r="F1589" s="1" t="s">
        <v>1211</v>
      </c>
      <c r="G1589" s="1">
        <v>14990000</v>
      </c>
      <c r="H1589" s="1">
        <v>12800000</v>
      </c>
    </row>
    <row r="1590" spans="1:8" ht="13.5" customHeight="1" x14ac:dyDescent="0.3">
      <c r="A1590" s="1" t="s">
        <v>242</v>
      </c>
      <c r="B1590" s="1" t="s">
        <v>257</v>
      </c>
      <c r="C1590" s="1" t="s">
        <v>5139</v>
      </c>
      <c r="D1590" s="1">
        <v>2017</v>
      </c>
      <c r="E1590" s="1" t="str">
        <f t="shared" si="6"/>
        <v>XTRAILX TRAIL SENSE 2.5 AUT2017</v>
      </c>
      <c r="F1590" s="1" t="s">
        <v>756</v>
      </c>
      <c r="G1590" s="1">
        <v>11548000</v>
      </c>
      <c r="H1590" s="1">
        <v>9400000</v>
      </c>
    </row>
    <row r="1591" spans="1:8" ht="13.5" customHeight="1" x14ac:dyDescent="0.3">
      <c r="A1591" s="1" t="s">
        <v>242</v>
      </c>
      <c r="B1591" s="1" t="s">
        <v>257</v>
      </c>
      <c r="C1591" s="1" t="s">
        <v>5139</v>
      </c>
      <c r="D1591" s="1">
        <v>2018</v>
      </c>
      <c r="E1591" s="1" t="str">
        <f t="shared" si="6"/>
        <v>XTRAILX TRAIL SENSE 2.5 AUT2018</v>
      </c>
      <c r="F1591" s="1" t="s">
        <v>1956</v>
      </c>
      <c r="G1591" s="1">
        <v>11690000</v>
      </c>
      <c r="H1591" s="1">
        <v>9000000</v>
      </c>
    </row>
    <row r="1592" spans="1:8" ht="13.5" customHeight="1" x14ac:dyDescent="0.3">
      <c r="A1592" s="1" t="s">
        <v>242</v>
      </c>
      <c r="B1592" s="1" t="s">
        <v>257</v>
      </c>
      <c r="C1592" s="1" t="s">
        <v>5139</v>
      </c>
      <c r="D1592" s="1">
        <v>2018</v>
      </c>
      <c r="E1592" s="1" t="str">
        <f t="shared" si="6"/>
        <v>XTRAILX TRAIL SENSE 2.5 AUT2018</v>
      </c>
      <c r="F1592" s="1" t="s">
        <v>5140</v>
      </c>
      <c r="G1592" s="1">
        <v>14690000</v>
      </c>
      <c r="H1592" s="1">
        <v>12500000</v>
      </c>
    </row>
    <row r="1593" spans="1:8" ht="13.5" customHeight="1" x14ac:dyDescent="0.3">
      <c r="A1593" s="1" t="s">
        <v>242</v>
      </c>
      <c r="B1593" s="1" t="s">
        <v>257</v>
      </c>
      <c r="C1593" s="1" t="s">
        <v>5139</v>
      </c>
      <c r="D1593" s="1">
        <v>2019</v>
      </c>
      <c r="E1593" s="1" t="str">
        <f t="shared" si="6"/>
        <v>XTRAILX TRAIL SENSE 2.5 AUT2019</v>
      </c>
      <c r="F1593" s="1" t="s">
        <v>1567</v>
      </c>
      <c r="G1593" s="1">
        <v>10990000</v>
      </c>
      <c r="H1593" s="1">
        <v>9200000</v>
      </c>
    </row>
    <row r="1594" spans="1:8" ht="13.5" customHeight="1" x14ac:dyDescent="0.3">
      <c r="A1594" s="1" t="s">
        <v>242</v>
      </c>
      <c r="B1594" s="1" t="s">
        <v>257</v>
      </c>
      <c r="C1594" s="1" t="s">
        <v>5139</v>
      </c>
      <c r="D1594" s="1">
        <v>2019</v>
      </c>
      <c r="E1594" s="1" t="str">
        <f t="shared" si="6"/>
        <v>XTRAILX TRAIL SENSE 2.5 AUT2019</v>
      </c>
      <c r="F1594" s="1" t="s">
        <v>375</v>
      </c>
      <c r="G1594" s="1">
        <v>11990000</v>
      </c>
      <c r="H1594" s="1">
        <v>10000000</v>
      </c>
    </row>
    <row r="1595" spans="1:8" ht="13.5" customHeight="1" x14ac:dyDescent="0.3">
      <c r="A1595" s="1" t="s">
        <v>242</v>
      </c>
      <c r="B1595" s="1" t="s">
        <v>257</v>
      </c>
      <c r="C1595" s="1" t="s">
        <v>5139</v>
      </c>
      <c r="D1595" s="1">
        <v>2019</v>
      </c>
      <c r="E1595" s="1" t="str">
        <f t="shared" si="6"/>
        <v>XTRAILX TRAIL SENSE 2.5 AUT2019</v>
      </c>
      <c r="F1595" s="1" t="s">
        <v>1524</v>
      </c>
      <c r="G1595" s="1">
        <v>11990000</v>
      </c>
      <c r="H1595" s="1">
        <v>10000000</v>
      </c>
    </row>
    <row r="1596" spans="1:8" ht="13.5" customHeight="1" x14ac:dyDescent="0.3">
      <c r="A1596" s="1" t="s">
        <v>242</v>
      </c>
      <c r="B1596" s="1" t="s">
        <v>257</v>
      </c>
      <c r="C1596" s="1" t="s">
        <v>5139</v>
      </c>
      <c r="D1596" s="1">
        <v>2020</v>
      </c>
      <c r="E1596" s="1" t="str">
        <f t="shared" si="6"/>
        <v>XTRAILX TRAIL SENSE 2.5 AUT2020</v>
      </c>
      <c r="F1596" s="1" t="s">
        <v>2155</v>
      </c>
      <c r="G1596" s="1">
        <v>13990000</v>
      </c>
      <c r="H1596" s="1">
        <v>11450000</v>
      </c>
    </row>
    <row r="1597" spans="1:8" ht="13.5" customHeight="1" x14ac:dyDescent="0.3">
      <c r="A1597" s="1" t="s">
        <v>242</v>
      </c>
      <c r="B1597" s="1" t="s">
        <v>257</v>
      </c>
      <c r="C1597" s="1" t="s">
        <v>5139</v>
      </c>
      <c r="D1597" s="1">
        <v>2020</v>
      </c>
      <c r="E1597" s="1" t="str">
        <f t="shared" si="6"/>
        <v>XTRAILX TRAIL SENSE 2.5 AUT2020</v>
      </c>
      <c r="F1597" s="1" t="s">
        <v>2354</v>
      </c>
      <c r="G1597" s="1">
        <v>15990000</v>
      </c>
      <c r="H1597" s="1">
        <v>12500000</v>
      </c>
    </row>
    <row r="1598" spans="1:8" ht="13.5" customHeight="1" x14ac:dyDescent="0.3">
      <c r="A1598" s="1" t="s">
        <v>242</v>
      </c>
      <c r="B1598" s="1" t="s">
        <v>257</v>
      </c>
      <c r="C1598" s="1" t="s">
        <v>5141</v>
      </c>
      <c r="D1598" s="1">
        <v>2017</v>
      </c>
      <c r="E1598" s="1" t="str">
        <f t="shared" si="6"/>
        <v>XTRAILX TRAIL SENSE 4WD 2.5 AUT2017</v>
      </c>
      <c r="G1598" s="1">
        <v>12990000</v>
      </c>
      <c r="H1598" s="1">
        <v>0</v>
      </c>
    </row>
    <row r="1599" spans="1:8" ht="13.5" customHeight="1" x14ac:dyDescent="0.3">
      <c r="A1599" s="1" t="s">
        <v>242</v>
      </c>
      <c r="B1599" s="1" t="s">
        <v>257</v>
      </c>
      <c r="C1599" s="1" t="s">
        <v>5141</v>
      </c>
      <c r="D1599" s="1">
        <v>2017</v>
      </c>
      <c r="E1599" s="1" t="str">
        <f t="shared" si="6"/>
        <v>XTRAILX TRAIL SENSE 4WD 2.5 AUT2017</v>
      </c>
      <c r="F1599" s="1" t="s">
        <v>2558</v>
      </c>
      <c r="G1599" s="1">
        <v>12990000</v>
      </c>
      <c r="H1599" s="1">
        <v>14800000</v>
      </c>
    </row>
    <row r="1600" spans="1:8" ht="13.5" customHeight="1" x14ac:dyDescent="0.3">
      <c r="A1600" s="1" t="s">
        <v>242</v>
      </c>
      <c r="B1600" s="1" t="s">
        <v>257</v>
      </c>
      <c r="C1600" s="1" t="s">
        <v>5142</v>
      </c>
      <c r="D1600" s="1">
        <v>2021</v>
      </c>
      <c r="E1600" s="1" t="str">
        <f t="shared" si="6"/>
        <v>XTRAILX TRAIL T32 CVT 2.5 AUT2021</v>
      </c>
      <c r="F1600" s="1" t="s">
        <v>1454</v>
      </c>
      <c r="G1600" s="1">
        <v>11990000</v>
      </c>
      <c r="H1600" s="1">
        <v>11000000</v>
      </c>
    </row>
    <row r="1601" spans="1:8" ht="13.5" customHeight="1" x14ac:dyDescent="0.3">
      <c r="A1601" s="1" t="s">
        <v>242</v>
      </c>
      <c r="B1601" s="1" t="s">
        <v>257</v>
      </c>
      <c r="C1601" s="1" t="s">
        <v>5142</v>
      </c>
      <c r="D1601" s="1">
        <v>2021</v>
      </c>
      <c r="E1601" s="1" t="str">
        <f t="shared" si="6"/>
        <v>XTRAILX TRAIL T32 CVT 2.5 AUT2021</v>
      </c>
      <c r="F1601" s="1" t="s">
        <v>1515</v>
      </c>
      <c r="G1601" s="1">
        <v>13990000</v>
      </c>
      <c r="H1601" s="1">
        <v>11300000</v>
      </c>
    </row>
    <row r="1602" spans="1:8" ht="13.5" customHeight="1" x14ac:dyDescent="0.3">
      <c r="A1602" s="1" t="s">
        <v>242</v>
      </c>
      <c r="B1602" s="1" t="s">
        <v>257</v>
      </c>
      <c r="C1602" s="1" t="s">
        <v>5142</v>
      </c>
      <c r="D1602" s="1">
        <v>2022</v>
      </c>
      <c r="E1602" s="1" t="str">
        <f t="shared" si="6"/>
        <v>XTRAILX TRAIL T32 CVT 2.5 AUT2022</v>
      </c>
      <c r="F1602" s="1" t="s">
        <v>1757</v>
      </c>
      <c r="G1602" s="1">
        <v>15290000</v>
      </c>
      <c r="H1602" s="1">
        <v>12700000</v>
      </c>
    </row>
    <row r="1603" spans="1:8" ht="13.5" customHeight="1" x14ac:dyDescent="0.3">
      <c r="A1603" s="1" t="s">
        <v>242</v>
      </c>
      <c r="B1603" s="1" t="s">
        <v>257</v>
      </c>
      <c r="C1603" s="1" t="s">
        <v>5142</v>
      </c>
      <c r="D1603" s="1">
        <v>2022</v>
      </c>
      <c r="E1603" s="1" t="str">
        <f t="shared" si="6"/>
        <v>XTRAILX TRAIL T32 CVT 2.5 AUT2022</v>
      </c>
      <c r="F1603" s="1" t="s">
        <v>1683</v>
      </c>
      <c r="G1603" s="1">
        <v>13290000</v>
      </c>
      <c r="H1603" s="1">
        <v>11200000</v>
      </c>
    </row>
    <row r="1604" spans="1:8" ht="13.5" customHeight="1" x14ac:dyDescent="0.3">
      <c r="A1604" s="1" t="s">
        <v>242</v>
      </c>
      <c r="B1604" s="1" t="s">
        <v>257</v>
      </c>
      <c r="C1604" s="1" t="s">
        <v>5142</v>
      </c>
      <c r="D1604" s="1">
        <v>2022</v>
      </c>
      <c r="E1604" s="1" t="str">
        <f t="shared" si="6"/>
        <v>XTRAILX TRAIL T32 CVT 2.5 AUT2022</v>
      </c>
      <c r="F1604" s="1" t="s">
        <v>1993</v>
      </c>
      <c r="G1604" s="1">
        <v>15300000</v>
      </c>
      <c r="H1604" s="1">
        <v>15900000</v>
      </c>
    </row>
    <row r="1605" spans="1:8" ht="13.5" customHeight="1" x14ac:dyDescent="0.3">
      <c r="A1605" s="1" t="s">
        <v>242</v>
      </c>
      <c r="B1605" s="1" t="s">
        <v>257</v>
      </c>
      <c r="C1605" s="1" t="s">
        <v>5142</v>
      </c>
      <c r="D1605" s="1">
        <v>2022</v>
      </c>
      <c r="E1605" s="1" t="str">
        <f t="shared" si="6"/>
        <v>XTRAILX TRAIL T32 CVT 2.5 AUT2022</v>
      </c>
      <c r="F1605" s="1" t="s">
        <v>1030</v>
      </c>
      <c r="G1605" s="1">
        <v>14290000</v>
      </c>
      <c r="H1605" s="1">
        <v>12000000</v>
      </c>
    </row>
    <row r="1606" spans="1:8" ht="13.5" customHeight="1" x14ac:dyDescent="0.3">
      <c r="A1606" s="1" t="s">
        <v>242</v>
      </c>
      <c r="B1606" s="1" t="s">
        <v>257</v>
      </c>
      <c r="C1606" s="1" t="s">
        <v>5142</v>
      </c>
      <c r="D1606" s="1">
        <v>2023</v>
      </c>
      <c r="E1606" s="1" t="str">
        <f t="shared" si="6"/>
        <v>XTRAILX TRAIL T32 CVT 2.5 AUT2023</v>
      </c>
      <c r="F1606" s="1" t="s">
        <v>1675</v>
      </c>
      <c r="G1606" s="1">
        <v>17842120</v>
      </c>
      <c r="H1606" s="1">
        <v>15500000</v>
      </c>
    </row>
    <row r="1607" spans="1:8" ht="13.5" customHeight="1" x14ac:dyDescent="0.3">
      <c r="A1607" s="1" t="s">
        <v>242</v>
      </c>
      <c r="B1607" s="1" t="s">
        <v>257</v>
      </c>
      <c r="C1607" s="1" t="s">
        <v>5142</v>
      </c>
      <c r="D1607" s="1">
        <v>2023</v>
      </c>
      <c r="E1607" s="1" t="str">
        <f t="shared" si="6"/>
        <v>XTRAILX TRAIL T32 CVT 2.5 AUT2023</v>
      </c>
      <c r="F1607" s="1" t="s">
        <v>2086</v>
      </c>
      <c r="G1607" s="1">
        <v>16690000</v>
      </c>
      <c r="H1607" s="1">
        <v>16350000</v>
      </c>
    </row>
    <row r="1608" spans="1:8" ht="13.5" customHeight="1" x14ac:dyDescent="0.3">
      <c r="A1608" s="1" t="s">
        <v>242</v>
      </c>
      <c r="B1608" s="1" t="s">
        <v>257</v>
      </c>
      <c r="C1608" s="1" t="s">
        <v>5142</v>
      </c>
      <c r="D1608" s="1">
        <v>2023</v>
      </c>
      <c r="E1608" s="1" t="str">
        <f t="shared" si="6"/>
        <v>XTRAILX TRAIL T32 CVT 2.5 AUT2023</v>
      </c>
      <c r="F1608" s="1" t="s">
        <v>1399</v>
      </c>
      <c r="G1608" s="1">
        <v>36380000</v>
      </c>
      <c r="H1608" s="1">
        <v>33000000</v>
      </c>
    </row>
    <row r="1609" spans="1:8" ht="13.5" customHeight="1" x14ac:dyDescent="0.3">
      <c r="A1609" s="1" t="s">
        <v>242</v>
      </c>
      <c r="B1609" s="1" t="s">
        <v>257</v>
      </c>
      <c r="C1609" s="1" t="s">
        <v>5143</v>
      </c>
      <c r="D1609" s="1">
        <v>2023</v>
      </c>
      <c r="E1609" s="1" t="str">
        <f t="shared" si="6"/>
        <v>XTRAILXTRAIL 1.5 4X4 AUT2023</v>
      </c>
      <c r="F1609" s="1" t="s">
        <v>776</v>
      </c>
      <c r="G1609" s="1">
        <v>24990000</v>
      </c>
      <c r="H1609" s="1">
        <v>22000000</v>
      </c>
    </row>
    <row r="1610" spans="1:8" ht="13.5" customHeight="1" x14ac:dyDescent="0.3">
      <c r="A1610" s="1" t="s">
        <v>242</v>
      </c>
      <c r="B1610" s="1" t="s">
        <v>257</v>
      </c>
      <c r="C1610" s="1" t="s">
        <v>5143</v>
      </c>
      <c r="D1610" s="1">
        <v>2023</v>
      </c>
      <c r="E1610" s="1" t="str">
        <f t="shared" si="6"/>
        <v>XTRAILXTRAIL 1.5 4X4 AUT2023</v>
      </c>
      <c r="F1610" s="1" t="s">
        <v>5144</v>
      </c>
      <c r="G1610" s="1">
        <v>28990000</v>
      </c>
      <c r="H1610" s="1">
        <v>28000000</v>
      </c>
    </row>
    <row r="1611" spans="1:8" ht="13.5" customHeight="1" x14ac:dyDescent="0.3">
      <c r="A1611" s="1" t="s">
        <v>242</v>
      </c>
      <c r="B1611" s="1" t="s">
        <v>257</v>
      </c>
      <c r="C1611" s="1" t="s">
        <v>5143</v>
      </c>
      <c r="D1611" s="1">
        <v>2023</v>
      </c>
      <c r="E1611" s="1" t="str">
        <f t="shared" si="6"/>
        <v>XTRAILXTRAIL 1.5 4X4 AUT2023</v>
      </c>
      <c r="F1611" s="1" t="s">
        <v>965</v>
      </c>
      <c r="G1611" s="1">
        <v>26990000</v>
      </c>
      <c r="H1611" s="1">
        <v>26500000</v>
      </c>
    </row>
    <row r="1612" spans="1:8" ht="13.5" customHeight="1" x14ac:dyDescent="0.3">
      <c r="A1612" s="1" t="s">
        <v>242</v>
      </c>
      <c r="B1612" s="1" t="s">
        <v>257</v>
      </c>
      <c r="C1612" s="1" t="s">
        <v>5145</v>
      </c>
      <c r="D1612" s="1">
        <v>2014</v>
      </c>
      <c r="E1612" s="1" t="str">
        <f t="shared" si="6"/>
        <v>XTRAILXTRAIL 2.5 AT2014</v>
      </c>
      <c r="F1612" s="1" t="s">
        <v>1378</v>
      </c>
      <c r="G1612" s="1">
        <v>8390000</v>
      </c>
      <c r="H1612" s="1">
        <v>7000000</v>
      </c>
    </row>
    <row r="1613" spans="1:8" ht="13.5" customHeight="1" x14ac:dyDescent="0.3">
      <c r="A1613" s="1" t="s">
        <v>242</v>
      </c>
      <c r="B1613" s="1" t="s">
        <v>257</v>
      </c>
      <c r="C1613" s="1" t="s">
        <v>5146</v>
      </c>
      <c r="D1613" s="1">
        <v>2019</v>
      </c>
      <c r="E1613" s="1" t="str">
        <f t="shared" si="6"/>
        <v>XTRAILXTRAIL 4X4 2.5 AUT2019</v>
      </c>
      <c r="F1613" s="1" t="s">
        <v>2297</v>
      </c>
      <c r="G1613" s="1">
        <v>16390000</v>
      </c>
      <c r="H1613" s="1">
        <v>13500000</v>
      </c>
    </row>
    <row r="1614" spans="1:8" ht="13.5" customHeight="1" x14ac:dyDescent="0.3">
      <c r="A1614" s="1" t="s">
        <v>242</v>
      </c>
      <c r="B1614" s="1" t="s">
        <v>257</v>
      </c>
      <c r="C1614" s="1" t="s">
        <v>5146</v>
      </c>
      <c r="D1614" s="1">
        <v>2019</v>
      </c>
      <c r="E1614" s="1" t="str">
        <f t="shared" si="6"/>
        <v>XTRAILXTRAIL 4X4 2.5 AUT2019</v>
      </c>
      <c r="F1614" s="1" t="s">
        <v>1607</v>
      </c>
      <c r="G1614" s="1">
        <v>13590000</v>
      </c>
      <c r="H1614" s="1">
        <v>11600000</v>
      </c>
    </row>
    <row r="1615" spans="1:8" ht="13.5" customHeight="1" x14ac:dyDescent="0.3">
      <c r="A1615" s="1" t="s">
        <v>242</v>
      </c>
      <c r="B1615" s="1" t="s">
        <v>257</v>
      </c>
      <c r="C1615" s="1" t="s">
        <v>5147</v>
      </c>
      <c r="D1615" s="1">
        <v>2018</v>
      </c>
      <c r="E1615" s="1" t="str">
        <f t="shared" si="6"/>
        <v>XTRAILXTRAIL SENSE 2.5 AT2018</v>
      </c>
      <c r="F1615" s="1" t="s">
        <v>2624</v>
      </c>
      <c r="G1615" s="1">
        <v>14490000</v>
      </c>
      <c r="H1615" s="1">
        <v>14000000</v>
      </c>
    </row>
    <row r="1616" spans="1:8" ht="13.5" customHeight="1" x14ac:dyDescent="0.3">
      <c r="A1616" s="1" t="s">
        <v>260</v>
      </c>
      <c r="B1616" s="1" t="s">
        <v>69</v>
      </c>
      <c r="C1616" s="1" t="s">
        <v>5148</v>
      </c>
      <c r="D1616" s="1">
        <v>2025</v>
      </c>
      <c r="E1616" s="1" t="str">
        <f t="shared" si="6"/>
        <v>C51.5L CVT URBAN2025</v>
      </c>
      <c r="F1616" s="1" t="s">
        <v>5149</v>
      </c>
      <c r="G1616" s="1">
        <v>11990000</v>
      </c>
      <c r="H1616" s="1">
        <v>10000000</v>
      </c>
    </row>
    <row r="1617" spans="1:8" ht="13.5" customHeight="1" x14ac:dyDescent="0.3">
      <c r="A1617" s="1" t="s">
        <v>260</v>
      </c>
      <c r="B1617" s="1" t="s">
        <v>69</v>
      </c>
      <c r="C1617" s="1" t="s">
        <v>261</v>
      </c>
      <c r="D1617" s="1">
        <v>2024</v>
      </c>
      <c r="E1617" s="1" t="str">
        <f t="shared" si="6"/>
        <v>C5C5 1.5 AUT2024</v>
      </c>
      <c r="F1617" s="1" t="s">
        <v>1088</v>
      </c>
      <c r="G1617" s="1">
        <v>12890000</v>
      </c>
      <c r="H1617" s="1">
        <v>10700000</v>
      </c>
    </row>
    <row r="1618" spans="1:8" ht="13.5" customHeight="1" x14ac:dyDescent="0.3">
      <c r="A1618" s="1" t="s">
        <v>260</v>
      </c>
      <c r="B1618" s="1" t="s">
        <v>69</v>
      </c>
      <c r="C1618" s="1" t="s">
        <v>261</v>
      </c>
      <c r="D1618" s="1">
        <v>2024</v>
      </c>
      <c r="E1618" s="1" t="str">
        <f t="shared" si="6"/>
        <v>C5C5 1.5 AUT2024</v>
      </c>
      <c r="F1618" s="1" t="s">
        <v>1145</v>
      </c>
      <c r="G1618" s="1">
        <v>11990000</v>
      </c>
      <c r="H1618" s="1">
        <v>10000000</v>
      </c>
    </row>
    <row r="1619" spans="1:8" ht="13.5" customHeight="1" x14ac:dyDescent="0.3">
      <c r="A1619" s="1" t="s">
        <v>260</v>
      </c>
      <c r="B1619" s="1" t="s">
        <v>69</v>
      </c>
      <c r="C1619" s="1" t="s">
        <v>261</v>
      </c>
      <c r="D1619" s="1">
        <v>2024</v>
      </c>
      <c r="E1619" s="1" t="str">
        <f t="shared" si="6"/>
        <v>C5C5 1.5 AUT2024</v>
      </c>
      <c r="F1619" s="1" t="s">
        <v>961</v>
      </c>
      <c r="G1619" s="1">
        <v>14990000</v>
      </c>
      <c r="H1619" s="1">
        <v>12600000</v>
      </c>
    </row>
    <row r="1620" spans="1:8" ht="13.5" customHeight="1" x14ac:dyDescent="0.3">
      <c r="A1620" s="1" t="s">
        <v>260</v>
      </c>
      <c r="B1620" s="1" t="s">
        <v>69</v>
      </c>
      <c r="C1620" s="1" t="s">
        <v>261</v>
      </c>
      <c r="D1620" s="1">
        <v>2024</v>
      </c>
      <c r="E1620" s="1" t="str">
        <f t="shared" si="6"/>
        <v>C5C5 1.5 AUT2024</v>
      </c>
      <c r="F1620" s="1" t="s">
        <v>724</v>
      </c>
      <c r="G1620" s="1">
        <v>12990000</v>
      </c>
      <c r="H1620" s="1">
        <v>11000000</v>
      </c>
    </row>
    <row r="1621" spans="1:8" ht="13.5" customHeight="1" x14ac:dyDescent="0.3">
      <c r="A1621" s="1" t="s">
        <v>260</v>
      </c>
      <c r="B1621" s="1" t="s">
        <v>69</v>
      </c>
      <c r="C1621" s="1" t="s">
        <v>261</v>
      </c>
      <c r="D1621" s="1">
        <v>2025</v>
      </c>
      <c r="E1621" s="1" t="str">
        <f t="shared" si="6"/>
        <v>C5C5 1.5 AUT2025</v>
      </c>
      <c r="F1621" s="1" t="s">
        <v>877</v>
      </c>
      <c r="G1621" s="1">
        <v>12490000</v>
      </c>
      <c r="H1621" s="1">
        <v>10500000</v>
      </c>
    </row>
    <row r="1622" spans="1:8" ht="13.5" customHeight="1" x14ac:dyDescent="0.3">
      <c r="A1622" s="1" t="s">
        <v>260</v>
      </c>
      <c r="B1622" s="1" t="s">
        <v>69</v>
      </c>
      <c r="C1622" s="1" t="s">
        <v>5150</v>
      </c>
      <c r="D1622" s="1">
        <v>2024</v>
      </c>
      <c r="E1622" s="1" t="str">
        <f t="shared" si="6"/>
        <v>C5C5 1.6 AUT2024</v>
      </c>
      <c r="F1622" s="1" t="s">
        <v>601</v>
      </c>
      <c r="G1622" s="1">
        <v>14490000</v>
      </c>
      <c r="H1622" s="1">
        <v>12700000</v>
      </c>
    </row>
    <row r="1623" spans="1:8" ht="13.5" customHeight="1" x14ac:dyDescent="0.3">
      <c r="A1623" s="1" t="s">
        <v>260</v>
      </c>
      <c r="B1623" s="1" t="s">
        <v>69</v>
      </c>
      <c r="C1623" s="1" t="s">
        <v>5150</v>
      </c>
      <c r="D1623" s="1">
        <v>2024</v>
      </c>
      <c r="E1623" s="1" t="str">
        <f t="shared" si="6"/>
        <v>C5C5 1.6 AUT2024</v>
      </c>
      <c r="F1623" s="1" t="s">
        <v>742</v>
      </c>
      <c r="G1623" s="1">
        <v>14990000</v>
      </c>
      <c r="H1623" s="1">
        <v>12700000</v>
      </c>
    </row>
    <row r="1624" spans="1:8" ht="13.5" customHeight="1" x14ac:dyDescent="0.3">
      <c r="A1624" s="1" t="s">
        <v>2961</v>
      </c>
      <c r="B1624" s="1" t="s">
        <v>3897</v>
      </c>
      <c r="C1624" s="1" t="s">
        <v>5151</v>
      </c>
      <c r="D1624" s="1">
        <v>2024</v>
      </c>
      <c r="E1624" s="1" t="str">
        <f t="shared" si="6"/>
        <v>CORSACORSA 100 1.2 AUT2024</v>
      </c>
      <c r="F1624" s="1" t="s">
        <v>382</v>
      </c>
      <c r="G1624" s="1">
        <v>13190000</v>
      </c>
      <c r="H1624" s="1">
        <v>11300000</v>
      </c>
    </row>
    <row r="1625" spans="1:8" ht="13.5" customHeight="1" x14ac:dyDescent="0.3">
      <c r="A1625" s="1" t="s">
        <v>2961</v>
      </c>
      <c r="B1625" s="1" t="s">
        <v>3897</v>
      </c>
      <c r="C1625" s="1" t="s">
        <v>5151</v>
      </c>
      <c r="D1625" s="1">
        <v>2024</v>
      </c>
      <c r="E1625" s="1" t="str">
        <f t="shared" si="6"/>
        <v>CORSACORSA 100 1.2 AUT2024</v>
      </c>
      <c r="F1625" s="1" t="s">
        <v>1089</v>
      </c>
      <c r="G1625" s="1">
        <v>13990000</v>
      </c>
      <c r="H1625" s="1">
        <v>12500000</v>
      </c>
    </row>
    <row r="1626" spans="1:8" ht="13.5" customHeight="1" x14ac:dyDescent="0.3">
      <c r="A1626" s="1" t="s">
        <v>2961</v>
      </c>
      <c r="B1626" s="1" t="s">
        <v>3897</v>
      </c>
      <c r="C1626" s="1" t="s">
        <v>5152</v>
      </c>
      <c r="D1626" s="1">
        <v>2021</v>
      </c>
      <c r="E1626" s="1" t="str">
        <f t="shared" si="6"/>
        <v>CORSACORSA BLUE HDI 100 1.52021</v>
      </c>
      <c r="F1626" s="1" t="s">
        <v>926</v>
      </c>
      <c r="G1626" s="1">
        <v>9590000</v>
      </c>
      <c r="H1626" s="1">
        <v>7600000</v>
      </c>
    </row>
    <row r="1627" spans="1:8" ht="13.5" customHeight="1" x14ac:dyDescent="0.3">
      <c r="A1627" s="1" t="s">
        <v>2961</v>
      </c>
      <c r="B1627" s="1" t="s">
        <v>3897</v>
      </c>
      <c r="C1627" s="1" t="s">
        <v>5153</v>
      </c>
      <c r="D1627" s="1">
        <v>2022</v>
      </c>
      <c r="E1627" s="1" t="str">
        <f t="shared" si="6"/>
        <v>CORSACORSA HB 1.2 AUT2022</v>
      </c>
      <c r="F1627" s="1" t="s">
        <v>1188</v>
      </c>
      <c r="G1627" s="1">
        <v>11834120</v>
      </c>
      <c r="H1627" s="1">
        <v>10200000</v>
      </c>
    </row>
    <row r="1628" spans="1:8" ht="13.5" customHeight="1" x14ac:dyDescent="0.3">
      <c r="A1628" s="1" t="s">
        <v>2961</v>
      </c>
      <c r="B1628" s="1" t="s">
        <v>3897</v>
      </c>
      <c r="C1628" s="1" t="s">
        <v>5154</v>
      </c>
      <c r="D1628" s="1">
        <v>2019</v>
      </c>
      <c r="E1628" s="1" t="str">
        <f t="shared" si="6"/>
        <v>CORSACORSA HB5 1.42019</v>
      </c>
      <c r="F1628" s="1" t="s">
        <v>2319</v>
      </c>
      <c r="G1628" s="1">
        <v>8490000</v>
      </c>
      <c r="H1628" s="1">
        <v>8000000</v>
      </c>
    </row>
    <row r="1629" spans="1:8" ht="13.5" customHeight="1" x14ac:dyDescent="0.3">
      <c r="A1629" s="1" t="s">
        <v>2961</v>
      </c>
      <c r="B1629" s="1" t="s">
        <v>3897</v>
      </c>
      <c r="C1629" s="1" t="s">
        <v>5155</v>
      </c>
      <c r="D1629" s="1">
        <v>2023</v>
      </c>
      <c r="E1629" s="1" t="str">
        <f t="shared" si="6"/>
        <v>CORSACORSA TD 100 1.52023</v>
      </c>
      <c r="F1629" s="1" t="s">
        <v>654</v>
      </c>
      <c r="G1629" s="1">
        <v>11390000</v>
      </c>
      <c r="H1629" s="1">
        <v>9500000</v>
      </c>
    </row>
    <row r="1630" spans="1:8" ht="13.5" customHeight="1" x14ac:dyDescent="0.3">
      <c r="A1630" s="1" t="s">
        <v>2961</v>
      </c>
      <c r="B1630" s="1" t="s">
        <v>3897</v>
      </c>
      <c r="C1630" s="1" t="s">
        <v>5155</v>
      </c>
      <c r="D1630" s="1">
        <v>2023</v>
      </c>
      <c r="E1630" s="1" t="str">
        <f t="shared" si="6"/>
        <v>CORSACORSA TD 100 1.52023</v>
      </c>
      <c r="F1630" s="1" t="s">
        <v>1114</v>
      </c>
      <c r="G1630" s="1">
        <v>12490000</v>
      </c>
      <c r="H1630" s="1">
        <v>10000000</v>
      </c>
    </row>
    <row r="1631" spans="1:8" ht="13.5" customHeight="1" x14ac:dyDescent="0.3">
      <c r="A1631" s="1" t="s">
        <v>2961</v>
      </c>
      <c r="B1631" s="1" t="s">
        <v>5156</v>
      </c>
      <c r="C1631" s="1" t="s">
        <v>5157</v>
      </c>
      <c r="D1631" s="1">
        <v>2023</v>
      </c>
      <c r="E1631" s="1" t="str">
        <f t="shared" si="6"/>
        <v>CROSSLANDCROSSLAND MT6 1.2T2023</v>
      </c>
      <c r="F1631" s="1" t="s">
        <v>1303</v>
      </c>
      <c r="G1631" s="1">
        <v>13195520</v>
      </c>
      <c r="H1631" s="1">
        <v>11000000</v>
      </c>
    </row>
    <row r="1632" spans="1:8" ht="13.5" customHeight="1" x14ac:dyDescent="0.3">
      <c r="A1632" s="1" t="s">
        <v>2961</v>
      </c>
      <c r="B1632" s="1" t="s">
        <v>5156</v>
      </c>
      <c r="C1632" s="1" t="s">
        <v>5158</v>
      </c>
      <c r="D1632" s="1">
        <v>2022</v>
      </c>
      <c r="E1632" s="1" t="str">
        <f t="shared" si="6"/>
        <v>CROSSLANDCROSSLAND TD MT6 1.52022</v>
      </c>
      <c r="F1632" s="1" t="s">
        <v>937</v>
      </c>
      <c r="G1632" s="1">
        <v>11290000</v>
      </c>
      <c r="H1632" s="1">
        <v>8950000</v>
      </c>
    </row>
    <row r="1633" spans="1:8" ht="13.5" customHeight="1" x14ac:dyDescent="0.3">
      <c r="A1633" s="1" t="s">
        <v>2961</v>
      </c>
      <c r="B1633" s="1" t="s">
        <v>5159</v>
      </c>
      <c r="C1633" s="1" t="s">
        <v>5160</v>
      </c>
      <c r="D1633" s="1">
        <v>2021</v>
      </c>
      <c r="E1633" s="1" t="str">
        <f t="shared" si="6"/>
        <v>GRANDLANDGRANDLAND 1.6 AUT2021</v>
      </c>
      <c r="F1633" s="1" t="s">
        <v>2052</v>
      </c>
      <c r="G1633" s="1">
        <v>15090000</v>
      </c>
      <c r="H1633" s="1">
        <v>12000000</v>
      </c>
    </row>
    <row r="1634" spans="1:8" ht="13.5" customHeight="1" x14ac:dyDescent="0.3">
      <c r="A1634" s="1" t="s">
        <v>2961</v>
      </c>
      <c r="B1634" s="1" t="s">
        <v>5159</v>
      </c>
      <c r="C1634" s="1" t="s">
        <v>5161</v>
      </c>
      <c r="D1634" s="1">
        <v>2023</v>
      </c>
      <c r="E1634" s="1" t="str">
        <f t="shared" si="6"/>
        <v>GRANDLANDGRANDLAND 130 1.2T AUT2023</v>
      </c>
      <c r="F1634" s="1" t="s">
        <v>904</v>
      </c>
      <c r="G1634" s="1">
        <v>15990000</v>
      </c>
      <c r="H1634" s="1">
        <v>14800000</v>
      </c>
    </row>
    <row r="1635" spans="1:8" ht="13.5" customHeight="1" x14ac:dyDescent="0.3">
      <c r="A1635" s="1" t="s">
        <v>2961</v>
      </c>
      <c r="B1635" s="1" t="s">
        <v>5159</v>
      </c>
      <c r="C1635" s="1" t="s">
        <v>5161</v>
      </c>
      <c r="D1635" s="1">
        <v>2024</v>
      </c>
      <c r="E1635" s="1" t="str">
        <f t="shared" si="6"/>
        <v>GRANDLANDGRANDLAND 130 1.2T AUT2024</v>
      </c>
      <c r="F1635" s="1" t="s">
        <v>1182</v>
      </c>
      <c r="G1635" s="1">
        <v>15990000</v>
      </c>
      <c r="H1635" s="1">
        <v>18200000</v>
      </c>
    </row>
    <row r="1636" spans="1:8" ht="13.5" customHeight="1" x14ac:dyDescent="0.3">
      <c r="A1636" s="1" t="s">
        <v>2961</v>
      </c>
      <c r="B1636" s="1" t="s">
        <v>5162</v>
      </c>
      <c r="C1636" s="1" t="s">
        <v>5163</v>
      </c>
      <c r="D1636" s="1">
        <v>2022</v>
      </c>
      <c r="E1636" s="1" t="str">
        <f t="shared" si="6"/>
        <v>MOKKAMOKKA 1.2T2022</v>
      </c>
      <c r="F1636" s="1" t="s">
        <v>1387</v>
      </c>
      <c r="G1636" s="1">
        <v>15683970</v>
      </c>
      <c r="H1636" s="1">
        <v>13500000</v>
      </c>
    </row>
    <row r="1637" spans="1:8" ht="13.5" customHeight="1" x14ac:dyDescent="0.3">
      <c r="A1637" s="1" t="s">
        <v>2961</v>
      </c>
      <c r="B1637" s="1" t="s">
        <v>5162</v>
      </c>
      <c r="C1637" s="1" t="s">
        <v>5163</v>
      </c>
      <c r="D1637" s="1">
        <v>2022</v>
      </c>
      <c r="E1637" s="1" t="str">
        <f t="shared" si="6"/>
        <v>MOKKAMOKKA 1.2T2022</v>
      </c>
      <c r="F1637" s="1" t="s">
        <v>1451</v>
      </c>
      <c r="G1637" s="1">
        <v>13990000</v>
      </c>
      <c r="H1637" s="1">
        <v>13000000</v>
      </c>
    </row>
    <row r="1638" spans="1:8" ht="13.5" customHeight="1" x14ac:dyDescent="0.3">
      <c r="A1638" s="1" t="s">
        <v>2961</v>
      </c>
      <c r="B1638" s="1" t="s">
        <v>5162</v>
      </c>
      <c r="C1638" s="1" t="s">
        <v>5163</v>
      </c>
      <c r="D1638" s="1">
        <v>2023</v>
      </c>
      <c r="E1638" s="1" t="str">
        <f t="shared" si="6"/>
        <v>MOKKAMOKKA 1.2T2023</v>
      </c>
      <c r="F1638" s="1" t="s">
        <v>394</v>
      </c>
      <c r="G1638" s="1">
        <v>13490000</v>
      </c>
      <c r="H1638" s="1">
        <v>10700000</v>
      </c>
    </row>
    <row r="1639" spans="1:8" ht="13.5" customHeight="1" x14ac:dyDescent="0.3">
      <c r="A1639" s="1" t="s">
        <v>2961</v>
      </c>
      <c r="B1639" s="1" t="s">
        <v>5162</v>
      </c>
      <c r="C1639" s="1" t="s">
        <v>5164</v>
      </c>
      <c r="D1639" s="1">
        <v>2023</v>
      </c>
      <c r="E1639" s="1" t="str">
        <f t="shared" si="6"/>
        <v>MOKKAMOKKA 1.2T AUT2023</v>
      </c>
      <c r="F1639" s="1" t="s">
        <v>1194</v>
      </c>
      <c r="G1639" s="1">
        <v>16590000</v>
      </c>
      <c r="H1639" s="1">
        <v>14200000</v>
      </c>
    </row>
    <row r="1640" spans="1:8" ht="13.5" customHeight="1" x14ac:dyDescent="0.3">
      <c r="A1640" s="1" t="s">
        <v>2961</v>
      </c>
      <c r="B1640" s="1" t="s">
        <v>5162</v>
      </c>
      <c r="C1640" s="1" t="s">
        <v>5164</v>
      </c>
      <c r="D1640" s="1">
        <v>2024</v>
      </c>
      <c r="E1640" s="1" t="str">
        <f t="shared" si="6"/>
        <v>MOKKAMOKKA 1.2T AUT2024</v>
      </c>
      <c r="F1640" s="1" t="s">
        <v>1611</v>
      </c>
      <c r="G1640" s="1">
        <v>18990000</v>
      </c>
      <c r="H1640" s="1">
        <v>16800000</v>
      </c>
    </row>
    <row r="1641" spans="1:8" ht="13.5" customHeight="1" x14ac:dyDescent="0.3">
      <c r="A1641" s="1" t="s">
        <v>2961</v>
      </c>
      <c r="B1641" s="1" t="s">
        <v>5162</v>
      </c>
      <c r="C1641" s="1" t="s">
        <v>5164</v>
      </c>
      <c r="D1641" s="1">
        <v>2024</v>
      </c>
      <c r="E1641" s="1" t="str">
        <f t="shared" si="6"/>
        <v>MOKKAMOKKA 1.2T AUT2024</v>
      </c>
      <c r="F1641" s="1" t="s">
        <v>815</v>
      </c>
      <c r="G1641" s="1">
        <v>16490000</v>
      </c>
      <c r="H1641" s="1">
        <v>14000000</v>
      </c>
    </row>
    <row r="1642" spans="1:8" ht="13.5" customHeight="1" x14ac:dyDescent="0.3">
      <c r="A1642" s="1" t="s">
        <v>2961</v>
      </c>
      <c r="B1642" s="1" t="s">
        <v>5162</v>
      </c>
      <c r="C1642" s="1" t="s">
        <v>5165</v>
      </c>
      <c r="D1642" s="1">
        <v>2020</v>
      </c>
      <c r="E1642" s="1" t="str">
        <f t="shared" si="6"/>
        <v>MOKKAMOKKA 1.4 AUT2020</v>
      </c>
      <c r="F1642" s="1" t="s">
        <v>1771</v>
      </c>
      <c r="G1642" s="1">
        <v>11833620</v>
      </c>
      <c r="H1642" s="1">
        <v>10000000</v>
      </c>
    </row>
    <row r="1643" spans="1:8" ht="13.5" customHeight="1" x14ac:dyDescent="0.3">
      <c r="A1643" s="1" t="s">
        <v>2961</v>
      </c>
      <c r="B1643" s="1" t="s">
        <v>5162</v>
      </c>
      <c r="C1643" s="1" t="s">
        <v>5166</v>
      </c>
      <c r="D1643" s="1">
        <v>2023</v>
      </c>
      <c r="E1643" s="1" t="str">
        <f t="shared" si="6"/>
        <v>MOKKAMOKKA 1.5 TD2023</v>
      </c>
      <c r="F1643" s="1" t="s">
        <v>1093</v>
      </c>
      <c r="G1643" s="1">
        <v>16800000</v>
      </c>
      <c r="H1643" s="1">
        <v>13500000</v>
      </c>
    </row>
    <row r="1644" spans="1:8" ht="13.5" customHeight="1" x14ac:dyDescent="0.3">
      <c r="A1644" s="1" t="s">
        <v>264</v>
      </c>
      <c r="B1644" s="1" t="s">
        <v>4360</v>
      </c>
      <c r="C1644" s="1" t="s">
        <v>5167</v>
      </c>
      <c r="D1644" s="1">
        <v>2016</v>
      </c>
      <c r="E1644" s="1" t="str">
        <f t="shared" si="6"/>
        <v>4008 FELINE 4WD 2.0 AUT2016</v>
      </c>
      <c r="F1644" s="1" t="s">
        <v>1335</v>
      </c>
      <c r="G1644" s="1">
        <v>8990000</v>
      </c>
      <c r="H1644" s="1">
        <v>8000000</v>
      </c>
    </row>
    <row r="1645" spans="1:8" ht="13.5" customHeight="1" x14ac:dyDescent="0.3">
      <c r="A1645" s="1" t="s">
        <v>264</v>
      </c>
      <c r="B1645" s="1" t="s">
        <v>5168</v>
      </c>
      <c r="C1645" s="1" t="s">
        <v>5169</v>
      </c>
      <c r="D1645" s="1">
        <v>2020</v>
      </c>
      <c r="E1645" s="1" t="str">
        <f t="shared" si="6"/>
        <v>20082008 ACTIVE 1.22020</v>
      </c>
      <c r="F1645" s="1" t="s">
        <v>1228</v>
      </c>
      <c r="G1645" s="1">
        <v>28848217</v>
      </c>
      <c r="H1645" s="1">
        <v>23800000</v>
      </c>
    </row>
    <row r="1646" spans="1:8" ht="13.5" customHeight="1" x14ac:dyDescent="0.3">
      <c r="A1646" s="1" t="s">
        <v>264</v>
      </c>
      <c r="B1646" s="1" t="s">
        <v>5168</v>
      </c>
      <c r="C1646" s="1" t="s">
        <v>5170</v>
      </c>
      <c r="D1646" s="1">
        <v>2025</v>
      </c>
      <c r="E1646" s="1" t="str">
        <f t="shared" si="6"/>
        <v>20082008 ACTIVE 130 1.22025</v>
      </c>
      <c r="F1646" s="1" t="s">
        <v>474</v>
      </c>
      <c r="G1646" s="1">
        <v>14290000</v>
      </c>
      <c r="H1646" s="1">
        <v>12000000</v>
      </c>
    </row>
    <row r="1647" spans="1:8" ht="13.5" customHeight="1" x14ac:dyDescent="0.3">
      <c r="A1647" s="1" t="s">
        <v>264</v>
      </c>
      <c r="B1647" s="1" t="s">
        <v>5168</v>
      </c>
      <c r="C1647" s="1" t="s">
        <v>5171</v>
      </c>
      <c r="D1647" s="1">
        <v>2019</v>
      </c>
      <c r="E1647" s="1" t="str">
        <f t="shared" si="6"/>
        <v>20082008 ACTIVE BLUEHDI 1.52019</v>
      </c>
      <c r="F1647" s="1" t="s">
        <v>2291</v>
      </c>
      <c r="G1647" s="1">
        <v>10690000</v>
      </c>
      <c r="H1647" s="1">
        <v>8800000</v>
      </c>
    </row>
    <row r="1648" spans="1:8" ht="13.5" customHeight="1" x14ac:dyDescent="0.3">
      <c r="A1648" s="1" t="s">
        <v>264</v>
      </c>
      <c r="B1648" s="1" t="s">
        <v>5168</v>
      </c>
      <c r="C1648" s="1" t="s">
        <v>5172</v>
      </c>
      <c r="D1648" s="1">
        <v>2018</v>
      </c>
      <c r="E1648" s="1" t="str">
        <f t="shared" si="6"/>
        <v>20082008 ACTIVE BLUEHDI 1.62018</v>
      </c>
      <c r="F1648" s="1" t="s">
        <v>533</v>
      </c>
      <c r="G1648" s="1">
        <v>7290000</v>
      </c>
      <c r="H1648" s="1">
        <v>5500000</v>
      </c>
    </row>
    <row r="1649" spans="1:8" ht="13.5" customHeight="1" x14ac:dyDescent="0.3">
      <c r="A1649" s="1" t="s">
        <v>264</v>
      </c>
      <c r="B1649" s="1" t="s">
        <v>5168</v>
      </c>
      <c r="C1649" s="1" t="s">
        <v>5173</v>
      </c>
      <c r="D1649" s="1">
        <v>2024</v>
      </c>
      <c r="E1649" s="1" t="str">
        <f t="shared" si="6"/>
        <v>20082008 ALLURE 130 1.22024</v>
      </c>
      <c r="F1649" s="1" t="s">
        <v>1125</v>
      </c>
      <c r="G1649" s="1">
        <v>16990000</v>
      </c>
      <c r="H1649" s="1">
        <v>16000000</v>
      </c>
    </row>
    <row r="1650" spans="1:8" ht="13.5" customHeight="1" x14ac:dyDescent="0.3">
      <c r="A1650" s="1" t="s">
        <v>264</v>
      </c>
      <c r="B1650" s="1" t="s">
        <v>5168</v>
      </c>
      <c r="C1650" s="1" t="s">
        <v>5174</v>
      </c>
      <c r="D1650" s="1">
        <v>2020</v>
      </c>
      <c r="E1650" s="1" t="str">
        <f t="shared" si="6"/>
        <v>20082008 ALLURE BLUEHDI 1.5 AUT2020</v>
      </c>
      <c r="F1650" s="1" t="s">
        <v>2927</v>
      </c>
      <c r="G1650" s="1">
        <v>8990000</v>
      </c>
      <c r="H1650" s="1">
        <v>17950000</v>
      </c>
    </row>
    <row r="1651" spans="1:8" ht="13.5" customHeight="1" x14ac:dyDescent="0.3">
      <c r="A1651" s="1" t="s">
        <v>264</v>
      </c>
      <c r="B1651" s="1" t="s">
        <v>5168</v>
      </c>
      <c r="C1651" s="1" t="s">
        <v>5174</v>
      </c>
      <c r="D1651" s="1">
        <v>2021</v>
      </c>
      <c r="E1651" s="1" t="str">
        <f t="shared" si="6"/>
        <v>20082008 ALLURE BLUEHDI 1.5 AUT2021</v>
      </c>
      <c r="F1651" s="1" t="s">
        <v>2371</v>
      </c>
      <c r="G1651" s="1">
        <v>13790000</v>
      </c>
      <c r="H1651" s="1">
        <v>11700000</v>
      </c>
    </row>
    <row r="1652" spans="1:8" ht="13.5" customHeight="1" x14ac:dyDescent="0.3">
      <c r="A1652" s="1" t="s">
        <v>264</v>
      </c>
      <c r="B1652" s="1" t="s">
        <v>5168</v>
      </c>
      <c r="C1652" s="1" t="s">
        <v>5175</v>
      </c>
      <c r="D1652" s="1">
        <v>2017</v>
      </c>
      <c r="E1652" s="1" t="str">
        <f t="shared" si="6"/>
        <v>20082008 ALLURE BLUEHDI 1.62017</v>
      </c>
      <c r="F1652" s="1" t="s">
        <v>2327</v>
      </c>
      <c r="G1652" s="1">
        <v>10590000</v>
      </c>
      <c r="H1652" s="1">
        <v>8500000</v>
      </c>
    </row>
    <row r="1653" spans="1:8" ht="13.5" customHeight="1" x14ac:dyDescent="0.3">
      <c r="A1653" s="1" t="s">
        <v>264</v>
      </c>
      <c r="B1653" s="1" t="s">
        <v>5168</v>
      </c>
      <c r="C1653" s="1" t="s">
        <v>5176</v>
      </c>
      <c r="D1653" s="1">
        <v>2019</v>
      </c>
      <c r="E1653" s="1" t="str">
        <f t="shared" si="6"/>
        <v>20082008 BLUE HDI 1.52019</v>
      </c>
      <c r="F1653" s="1" t="s">
        <v>2008</v>
      </c>
      <c r="G1653" s="1">
        <v>11490000</v>
      </c>
      <c r="H1653" s="1">
        <v>8315966</v>
      </c>
    </row>
    <row r="1654" spans="1:8" ht="13.5" customHeight="1" x14ac:dyDescent="0.3">
      <c r="A1654" s="1" t="s">
        <v>264</v>
      </c>
      <c r="B1654" s="1" t="s">
        <v>5168</v>
      </c>
      <c r="C1654" s="1" t="s">
        <v>5177</v>
      </c>
      <c r="D1654" s="1">
        <v>2022</v>
      </c>
      <c r="E1654" s="1" t="str">
        <f t="shared" si="6"/>
        <v>20082008 BLUE HDI 100 4X2 1.52022</v>
      </c>
      <c r="F1654" s="1" t="s">
        <v>487</v>
      </c>
      <c r="G1654" s="1">
        <v>12890000</v>
      </c>
      <c r="H1654" s="1">
        <v>11000000</v>
      </c>
    </row>
    <row r="1655" spans="1:8" ht="13.5" customHeight="1" x14ac:dyDescent="0.3">
      <c r="A1655" s="1" t="s">
        <v>264</v>
      </c>
      <c r="B1655" s="1" t="s">
        <v>5168</v>
      </c>
      <c r="C1655" s="1" t="s">
        <v>5177</v>
      </c>
      <c r="D1655" s="1">
        <v>2023</v>
      </c>
      <c r="E1655" s="1" t="str">
        <f t="shared" si="6"/>
        <v>20082008 BLUE HDI 100 4X2 1.52023</v>
      </c>
      <c r="F1655" s="1" t="s">
        <v>1172</v>
      </c>
      <c r="G1655" s="1">
        <v>17644120</v>
      </c>
      <c r="H1655" s="1">
        <v>15200000</v>
      </c>
    </row>
    <row r="1656" spans="1:8" ht="13.5" customHeight="1" x14ac:dyDescent="0.3">
      <c r="A1656" s="1" t="s">
        <v>264</v>
      </c>
      <c r="B1656" s="1" t="s">
        <v>5168</v>
      </c>
      <c r="C1656" s="1" t="s">
        <v>5178</v>
      </c>
      <c r="D1656" s="1">
        <v>2021</v>
      </c>
      <c r="E1656" s="1" t="str">
        <f t="shared" si="6"/>
        <v>20082008 BLUE HDI 100 TM 1.52021</v>
      </c>
      <c r="F1656" s="1" t="s">
        <v>2492</v>
      </c>
      <c r="G1656" s="1">
        <v>18290000</v>
      </c>
      <c r="H1656" s="1">
        <v>16790000</v>
      </c>
    </row>
    <row r="1657" spans="1:8" ht="13.5" customHeight="1" x14ac:dyDescent="0.3">
      <c r="A1657" s="1" t="s">
        <v>264</v>
      </c>
      <c r="B1657" s="1" t="s">
        <v>5168</v>
      </c>
      <c r="C1657" s="1" t="s">
        <v>5178</v>
      </c>
      <c r="D1657" s="1">
        <v>2021</v>
      </c>
      <c r="E1657" s="1" t="str">
        <f t="shared" si="6"/>
        <v>20082008 BLUE HDI 100 TM 1.52021</v>
      </c>
      <c r="F1657" s="1" t="s">
        <v>719</v>
      </c>
      <c r="G1657" s="1">
        <v>12490000</v>
      </c>
      <c r="H1657" s="1">
        <v>10000000</v>
      </c>
    </row>
    <row r="1658" spans="1:8" ht="13.5" customHeight="1" x14ac:dyDescent="0.3">
      <c r="A1658" s="1" t="s">
        <v>264</v>
      </c>
      <c r="B1658" s="1" t="s">
        <v>5168</v>
      </c>
      <c r="C1658" s="1" t="s">
        <v>5179</v>
      </c>
      <c r="D1658" s="1">
        <v>2021</v>
      </c>
      <c r="E1658" s="1" t="str">
        <f t="shared" si="6"/>
        <v>20082008 BLUE HDI 130 1.5 AUT2021</v>
      </c>
      <c r="F1658" s="1" t="s">
        <v>1257</v>
      </c>
      <c r="G1658" s="1">
        <v>15590000</v>
      </c>
      <c r="H1658" s="1">
        <v>12600000</v>
      </c>
    </row>
    <row r="1659" spans="1:8" ht="13.5" customHeight="1" x14ac:dyDescent="0.3">
      <c r="A1659" s="1" t="s">
        <v>264</v>
      </c>
      <c r="B1659" s="1" t="s">
        <v>5168</v>
      </c>
      <c r="C1659" s="1" t="s">
        <v>5179</v>
      </c>
      <c r="D1659" s="1">
        <v>2021</v>
      </c>
      <c r="E1659" s="1" t="str">
        <f t="shared" si="6"/>
        <v>20082008 BLUE HDI 130 1.5 AUT2021</v>
      </c>
      <c r="F1659" s="1" t="s">
        <v>5180</v>
      </c>
      <c r="G1659" s="1">
        <v>21990000</v>
      </c>
      <c r="H1659" s="1">
        <v>20050000</v>
      </c>
    </row>
    <row r="1660" spans="1:8" ht="13.5" customHeight="1" x14ac:dyDescent="0.3">
      <c r="A1660" s="1" t="s">
        <v>264</v>
      </c>
      <c r="B1660" s="1" t="s">
        <v>5168</v>
      </c>
      <c r="C1660" s="1" t="s">
        <v>5179</v>
      </c>
      <c r="D1660" s="1">
        <v>2021</v>
      </c>
      <c r="E1660" s="1" t="str">
        <f t="shared" si="6"/>
        <v>20082008 BLUE HDI 130 1.5 AUT2021</v>
      </c>
      <c r="F1660" s="1" t="s">
        <v>5181</v>
      </c>
      <c r="G1660" s="1">
        <v>18990000</v>
      </c>
      <c r="H1660" s="1">
        <v>20100000</v>
      </c>
    </row>
    <row r="1661" spans="1:8" ht="13.5" customHeight="1" x14ac:dyDescent="0.3">
      <c r="A1661" s="1" t="s">
        <v>264</v>
      </c>
      <c r="B1661" s="1" t="s">
        <v>5168</v>
      </c>
      <c r="C1661" s="1" t="s">
        <v>5179</v>
      </c>
      <c r="D1661" s="1">
        <v>2021</v>
      </c>
      <c r="E1661" s="1" t="str">
        <f t="shared" si="6"/>
        <v>20082008 BLUE HDI 130 1.5 AUT2021</v>
      </c>
      <c r="F1661" s="1" t="s">
        <v>5182</v>
      </c>
      <c r="G1661" s="1">
        <v>15990000</v>
      </c>
      <c r="H1661" s="1">
        <v>15689107</v>
      </c>
    </row>
    <row r="1662" spans="1:8" ht="13.5" customHeight="1" x14ac:dyDescent="0.3">
      <c r="A1662" s="1" t="s">
        <v>264</v>
      </c>
      <c r="B1662" s="1" t="s">
        <v>5168</v>
      </c>
      <c r="C1662" s="1" t="s">
        <v>5183</v>
      </c>
      <c r="D1662" s="1">
        <v>2021</v>
      </c>
      <c r="E1662" s="1" t="str">
        <f t="shared" si="6"/>
        <v>20082008 BLUE HDI 130 EAT8 1.5 AUT2021</v>
      </c>
      <c r="F1662" s="1" t="s">
        <v>1464</v>
      </c>
      <c r="G1662" s="1">
        <v>15290000</v>
      </c>
      <c r="H1662" s="1">
        <v>13700000</v>
      </c>
    </row>
    <row r="1663" spans="1:8" ht="13.5" customHeight="1" x14ac:dyDescent="0.3">
      <c r="A1663" s="1" t="s">
        <v>264</v>
      </c>
      <c r="B1663" s="1" t="s">
        <v>5168</v>
      </c>
      <c r="C1663" s="1" t="s">
        <v>5183</v>
      </c>
      <c r="D1663" s="1">
        <v>2022</v>
      </c>
      <c r="E1663" s="1" t="str">
        <f t="shared" si="6"/>
        <v>20082008 BLUE HDI 130 EAT8 1.5 AUT2022</v>
      </c>
      <c r="F1663" s="1" t="s">
        <v>1685</v>
      </c>
      <c r="G1663" s="1">
        <v>21290000</v>
      </c>
      <c r="H1663" s="1">
        <v>17700000</v>
      </c>
    </row>
    <row r="1664" spans="1:8" ht="13.5" customHeight="1" x14ac:dyDescent="0.3">
      <c r="A1664" s="1" t="s">
        <v>264</v>
      </c>
      <c r="B1664" s="1" t="s">
        <v>5168</v>
      </c>
      <c r="C1664" s="1" t="s">
        <v>5183</v>
      </c>
      <c r="D1664" s="1">
        <v>2023</v>
      </c>
      <c r="E1664" s="1" t="str">
        <f t="shared" si="6"/>
        <v>20082008 BLUE HDI 130 EAT8 1.5 AUT2023</v>
      </c>
      <c r="F1664" s="1" t="s">
        <v>5184</v>
      </c>
      <c r="G1664" s="1">
        <v>24500000</v>
      </c>
      <c r="H1664" s="1">
        <v>23856402</v>
      </c>
    </row>
    <row r="1665" spans="1:8" ht="13.5" customHeight="1" x14ac:dyDescent="0.3">
      <c r="A1665" s="1" t="s">
        <v>264</v>
      </c>
      <c r="B1665" s="1" t="s">
        <v>5168</v>
      </c>
      <c r="C1665" s="1" t="s">
        <v>5183</v>
      </c>
      <c r="D1665" s="1">
        <v>2023</v>
      </c>
      <c r="E1665" s="1" t="str">
        <f t="shared" si="6"/>
        <v>20082008 BLUE HDI 130 EAT8 1.5 AUT2023</v>
      </c>
      <c r="F1665" s="1" t="s">
        <v>649</v>
      </c>
      <c r="G1665" s="1">
        <v>16990000</v>
      </c>
      <c r="H1665" s="1">
        <v>15000000</v>
      </c>
    </row>
    <row r="1666" spans="1:8" ht="13.5" customHeight="1" x14ac:dyDescent="0.3">
      <c r="A1666" s="1" t="s">
        <v>264</v>
      </c>
      <c r="B1666" s="1" t="s">
        <v>5168</v>
      </c>
      <c r="C1666" s="1" t="s">
        <v>5183</v>
      </c>
      <c r="D1666" s="1">
        <v>2024</v>
      </c>
      <c r="E1666" s="1" t="str">
        <f t="shared" si="6"/>
        <v>20082008 BLUE HDI 130 EAT8 1.5 AUT2024</v>
      </c>
      <c r="F1666" s="1" t="s">
        <v>602</v>
      </c>
      <c r="G1666" s="1">
        <v>19690000</v>
      </c>
      <c r="H1666" s="1">
        <v>16800000</v>
      </c>
    </row>
    <row r="1667" spans="1:8" ht="13.5" customHeight="1" x14ac:dyDescent="0.3">
      <c r="A1667" s="1" t="s">
        <v>264</v>
      </c>
      <c r="B1667" s="1" t="s">
        <v>5168</v>
      </c>
      <c r="C1667" s="1" t="s">
        <v>5183</v>
      </c>
      <c r="D1667" s="1">
        <v>2024</v>
      </c>
      <c r="E1667" s="1" t="str">
        <f t="shared" si="6"/>
        <v>20082008 BLUE HDI 130 EAT8 1.5 AUT2024</v>
      </c>
      <c r="F1667" s="1" t="s">
        <v>919</v>
      </c>
      <c r="G1667" s="1">
        <v>22990000</v>
      </c>
      <c r="H1667" s="1">
        <v>19000000</v>
      </c>
    </row>
    <row r="1668" spans="1:8" ht="13.5" customHeight="1" x14ac:dyDescent="0.3">
      <c r="A1668" s="1" t="s">
        <v>264</v>
      </c>
      <c r="B1668" s="1" t="s">
        <v>5168</v>
      </c>
      <c r="C1668" s="1" t="s">
        <v>5185</v>
      </c>
      <c r="D1668" s="1">
        <v>2021</v>
      </c>
      <c r="E1668" s="1" t="str">
        <f t="shared" si="6"/>
        <v>20082008 PREMIERE BLUEHDI 1.5 AUT2021</v>
      </c>
      <c r="F1668" s="1" t="s">
        <v>2035</v>
      </c>
      <c r="G1668" s="1">
        <v>16290000</v>
      </c>
      <c r="H1668" s="1">
        <v>13500000</v>
      </c>
    </row>
    <row r="1669" spans="1:8" ht="13.5" customHeight="1" x14ac:dyDescent="0.3">
      <c r="A1669" s="1" t="s">
        <v>264</v>
      </c>
      <c r="B1669" s="1" t="s">
        <v>5168</v>
      </c>
      <c r="C1669" s="1" t="s">
        <v>266</v>
      </c>
      <c r="D1669" s="1">
        <v>2021</v>
      </c>
      <c r="E1669" s="1" t="str">
        <f t="shared" si="6"/>
        <v>20082008 PURETECH 130 1.22021</v>
      </c>
      <c r="F1669" s="1" t="s">
        <v>1120</v>
      </c>
      <c r="G1669" s="1">
        <v>11490000</v>
      </c>
      <c r="H1669" s="1">
        <v>10000000</v>
      </c>
    </row>
    <row r="1670" spans="1:8" ht="13.5" customHeight="1" x14ac:dyDescent="0.3">
      <c r="A1670" s="1" t="s">
        <v>264</v>
      </c>
      <c r="B1670" s="1" t="s">
        <v>5168</v>
      </c>
      <c r="C1670" s="1" t="s">
        <v>266</v>
      </c>
      <c r="D1670" s="1">
        <v>2021</v>
      </c>
      <c r="E1670" s="1" t="str">
        <f t="shared" si="6"/>
        <v>20082008 PURETECH 130 1.22021</v>
      </c>
      <c r="F1670" s="1" t="s">
        <v>567</v>
      </c>
      <c r="G1670" s="1">
        <v>10190000</v>
      </c>
      <c r="H1670" s="1">
        <v>8200000</v>
      </c>
    </row>
    <row r="1671" spans="1:8" ht="13.5" customHeight="1" x14ac:dyDescent="0.3">
      <c r="A1671" s="1" t="s">
        <v>264</v>
      </c>
      <c r="B1671" s="1" t="s">
        <v>5168</v>
      </c>
      <c r="C1671" s="1" t="s">
        <v>266</v>
      </c>
      <c r="D1671" s="1">
        <v>2021</v>
      </c>
      <c r="E1671" s="1" t="str">
        <f t="shared" si="6"/>
        <v>20082008 PURETECH 130 1.22021</v>
      </c>
      <c r="F1671" s="1" t="s">
        <v>2028</v>
      </c>
      <c r="G1671" s="1">
        <v>15490000</v>
      </c>
      <c r="H1671" s="1">
        <v>12000000</v>
      </c>
    </row>
    <row r="1672" spans="1:8" ht="13.5" customHeight="1" x14ac:dyDescent="0.3">
      <c r="A1672" s="1" t="s">
        <v>264</v>
      </c>
      <c r="B1672" s="1" t="s">
        <v>5168</v>
      </c>
      <c r="C1672" s="1" t="s">
        <v>266</v>
      </c>
      <c r="D1672" s="1">
        <v>2022</v>
      </c>
      <c r="E1672" s="1" t="str">
        <f t="shared" si="6"/>
        <v>20082008 PURETECH 130 1.22022</v>
      </c>
      <c r="F1672" s="1" t="s">
        <v>1062</v>
      </c>
      <c r="G1672" s="1">
        <v>14290000</v>
      </c>
      <c r="H1672" s="1">
        <v>12000000</v>
      </c>
    </row>
    <row r="1673" spans="1:8" ht="13.5" customHeight="1" x14ac:dyDescent="0.3">
      <c r="A1673" s="1" t="s">
        <v>264</v>
      </c>
      <c r="B1673" s="1" t="s">
        <v>5168</v>
      </c>
      <c r="C1673" s="1" t="s">
        <v>266</v>
      </c>
      <c r="D1673" s="1">
        <v>2022</v>
      </c>
      <c r="E1673" s="1" t="str">
        <f t="shared" si="6"/>
        <v>20082008 PURETECH 130 1.22022</v>
      </c>
      <c r="F1673" s="1" t="s">
        <v>949</v>
      </c>
      <c r="G1673" s="1">
        <v>11990000</v>
      </c>
      <c r="H1673" s="1">
        <v>10200000</v>
      </c>
    </row>
    <row r="1674" spans="1:8" ht="13.5" customHeight="1" x14ac:dyDescent="0.3">
      <c r="A1674" s="1" t="s">
        <v>264</v>
      </c>
      <c r="B1674" s="1" t="s">
        <v>5168</v>
      </c>
      <c r="C1674" s="1" t="s">
        <v>266</v>
      </c>
      <c r="D1674" s="1">
        <v>2022</v>
      </c>
      <c r="E1674" s="1" t="str">
        <f t="shared" si="6"/>
        <v>20082008 PURETECH 130 1.22022</v>
      </c>
      <c r="F1674" s="1" t="s">
        <v>528</v>
      </c>
      <c r="G1674" s="1">
        <v>11290000</v>
      </c>
      <c r="H1674" s="1">
        <v>9000000</v>
      </c>
    </row>
    <row r="1675" spans="1:8" ht="13.5" customHeight="1" x14ac:dyDescent="0.3">
      <c r="A1675" s="1" t="s">
        <v>264</v>
      </c>
      <c r="B1675" s="1" t="s">
        <v>5168</v>
      </c>
      <c r="C1675" s="1" t="s">
        <v>266</v>
      </c>
      <c r="D1675" s="1">
        <v>2022</v>
      </c>
      <c r="E1675" s="1" t="str">
        <f t="shared" si="6"/>
        <v>20082008 PURETECH 130 1.22022</v>
      </c>
      <c r="F1675" s="1" t="s">
        <v>1352</v>
      </c>
      <c r="G1675" s="1">
        <v>14990000</v>
      </c>
      <c r="H1675" s="1">
        <v>12000000</v>
      </c>
    </row>
    <row r="1676" spans="1:8" ht="13.5" customHeight="1" x14ac:dyDescent="0.3">
      <c r="A1676" s="1" t="s">
        <v>264</v>
      </c>
      <c r="B1676" s="1" t="s">
        <v>5168</v>
      </c>
      <c r="C1676" s="1" t="s">
        <v>266</v>
      </c>
      <c r="D1676" s="1">
        <v>2023</v>
      </c>
      <c r="E1676" s="1" t="str">
        <f t="shared" si="6"/>
        <v>20082008 PURETECH 130 1.22023</v>
      </c>
      <c r="F1676" s="1" t="s">
        <v>647</v>
      </c>
      <c r="G1676" s="1">
        <v>12990000</v>
      </c>
      <c r="H1676" s="1">
        <v>11000000</v>
      </c>
    </row>
    <row r="1677" spans="1:8" ht="13.5" customHeight="1" x14ac:dyDescent="0.3">
      <c r="A1677" s="1" t="s">
        <v>264</v>
      </c>
      <c r="B1677" s="1" t="s">
        <v>5168</v>
      </c>
      <c r="C1677" s="1" t="s">
        <v>266</v>
      </c>
      <c r="D1677" s="1">
        <v>2023</v>
      </c>
      <c r="E1677" s="1" t="str">
        <f t="shared" si="6"/>
        <v>20082008 PURETECH 130 1.22023</v>
      </c>
      <c r="F1677" s="1" t="s">
        <v>990</v>
      </c>
      <c r="G1677" s="1">
        <v>13990000</v>
      </c>
      <c r="H1677" s="1">
        <v>12000000</v>
      </c>
    </row>
    <row r="1678" spans="1:8" ht="13.5" customHeight="1" x14ac:dyDescent="0.3">
      <c r="A1678" s="1" t="s">
        <v>264</v>
      </c>
      <c r="B1678" s="1" t="s">
        <v>5168</v>
      </c>
      <c r="C1678" s="1" t="s">
        <v>266</v>
      </c>
      <c r="D1678" s="1">
        <v>2024</v>
      </c>
      <c r="E1678" s="1" t="str">
        <f t="shared" si="6"/>
        <v>20082008 PURETECH 130 1.22024</v>
      </c>
      <c r="F1678" s="1" t="s">
        <v>755</v>
      </c>
      <c r="G1678" s="1">
        <v>12990000</v>
      </c>
      <c r="H1678" s="1">
        <v>10600000</v>
      </c>
    </row>
    <row r="1679" spans="1:8" ht="13.5" customHeight="1" x14ac:dyDescent="0.3">
      <c r="A1679" s="1" t="s">
        <v>264</v>
      </c>
      <c r="B1679" s="1" t="s">
        <v>5168</v>
      </c>
      <c r="C1679" s="1" t="s">
        <v>5186</v>
      </c>
      <c r="D1679" s="1">
        <v>2023</v>
      </c>
      <c r="E1679" s="1" t="str">
        <f t="shared" si="6"/>
        <v>20082008 PURETECH 130 4X2 1.22023</v>
      </c>
      <c r="F1679" s="1" t="s">
        <v>1708</v>
      </c>
      <c r="G1679" s="1">
        <v>15890000</v>
      </c>
      <c r="H1679" s="1">
        <v>13500000</v>
      </c>
    </row>
    <row r="1680" spans="1:8" ht="13.5" customHeight="1" x14ac:dyDescent="0.3">
      <c r="A1680" s="1" t="s">
        <v>264</v>
      </c>
      <c r="B1680" s="1" t="s">
        <v>5168</v>
      </c>
      <c r="C1680" s="1" t="s">
        <v>5186</v>
      </c>
      <c r="D1680" s="1">
        <v>2023</v>
      </c>
      <c r="E1680" s="1" t="str">
        <f t="shared" si="6"/>
        <v>20082008 PURETECH 130 4X2 1.22023</v>
      </c>
      <c r="F1680" s="1" t="s">
        <v>932</v>
      </c>
      <c r="G1680" s="1">
        <v>13490000</v>
      </c>
      <c r="H1680" s="1">
        <v>10700000</v>
      </c>
    </row>
    <row r="1681" spans="1:8" ht="13.5" customHeight="1" x14ac:dyDescent="0.3">
      <c r="A1681" s="1" t="s">
        <v>264</v>
      </c>
      <c r="B1681" s="1" t="s">
        <v>5168</v>
      </c>
      <c r="C1681" s="1" t="s">
        <v>5187</v>
      </c>
      <c r="D1681" s="1">
        <v>2022</v>
      </c>
      <c r="E1681" s="1" t="str">
        <f t="shared" si="6"/>
        <v>20082008 PURETECH 130 EAT8 1.2 AUT2022</v>
      </c>
      <c r="F1681" s="1" t="s">
        <v>888</v>
      </c>
      <c r="G1681" s="1">
        <v>13490000</v>
      </c>
      <c r="H1681" s="1">
        <v>11000000</v>
      </c>
    </row>
    <row r="1682" spans="1:8" ht="13.5" customHeight="1" x14ac:dyDescent="0.3">
      <c r="A1682" s="1" t="s">
        <v>264</v>
      </c>
      <c r="B1682" s="1" t="s">
        <v>5168</v>
      </c>
      <c r="C1682" s="1" t="s">
        <v>5187</v>
      </c>
      <c r="D1682" s="1">
        <v>2023</v>
      </c>
      <c r="E1682" s="1" t="str">
        <f t="shared" si="6"/>
        <v>20082008 PURETECH 130 EAT8 1.2 AUT2023</v>
      </c>
      <c r="F1682" s="1" t="s">
        <v>1862</v>
      </c>
      <c r="G1682" s="1">
        <v>19990000</v>
      </c>
      <c r="H1682" s="1">
        <v>18000000</v>
      </c>
    </row>
    <row r="1683" spans="1:8" ht="13.5" customHeight="1" x14ac:dyDescent="0.3">
      <c r="A1683" s="1" t="s">
        <v>264</v>
      </c>
      <c r="B1683" s="1" t="s">
        <v>5168</v>
      </c>
      <c r="C1683" s="1" t="s">
        <v>5188</v>
      </c>
      <c r="D1683" s="1">
        <v>2023</v>
      </c>
      <c r="E1683" s="1" t="str">
        <f t="shared" si="6"/>
        <v>2008E 2008 ELECTRIC AUT2023</v>
      </c>
      <c r="F1683" s="1" t="s">
        <v>760</v>
      </c>
      <c r="G1683" s="1">
        <v>14490000</v>
      </c>
      <c r="H1683" s="1">
        <v>24000000</v>
      </c>
    </row>
    <row r="1684" spans="1:8" ht="13.5" customHeight="1" x14ac:dyDescent="0.3">
      <c r="A1684" s="1" t="s">
        <v>264</v>
      </c>
      <c r="B1684" s="1" t="s">
        <v>5189</v>
      </c>
      <c r="C1684" s="1" t="s">
        <v>5190</v>
      </c>
      <c r="D1684" s="1">
        <v>2019</v>
      </c>
      <c r="E1684" s="1" t="str">
        <f t="shared" si="6"/>
        <v>208208 ACTIVE 1.22019</v>
      </c>
      <c r="F1684" s="1" t="s">
        <v>2041</v>
      </c>
      <c r="G1684" s="1">
        <v>8990000</v>
      </c>
      <c r="H1684" s="1">
        <v>6500000</v>
      </c>
    </row>
    <row r="1685" spans="1:8" ht="13.5" customHeight="1" x14ac:dyDescent="0.3">
      <c r="A1685" s="1" t="s">
        <v>264</v>
      </c>
      <c r="B1685" s="1" t="s">
        <v>5189</v>
      </c>
      <c r="C1685" s="1" t="s">
        <v>5191</v>
      </c>
      <c r="D1685" s="1">
        <v>2016</v>
      </c>
      <c r="E1685" s="1" t="str">
        <f t="shared" si="6"/>
        <v>208208 ALLURE HDI 1.42016</v>
      </c>
      <c r="F1685" s="1" t="s">
        <v>1938</v>
      </c>
      <c r="G1685" s="1">
        <v>7390000</v>
      </c>
      <c r="H1685" s="1">
        <v>5903361</v>
      </c>
    </row>
    <row r="1686" spans="1:8" ht="13.5" customHeight="1" x14ac:dyDescent="0.3">
      <c r="A1686" s="1" t="s">
        <v>264</v>
      </c>
      <c r="B1686" s="1" t="s">
        <v>5189</v>
      </c>
      <c r="C1686" s="1" t="s">
        <v>5192</v>
      </c>
      <c r="D1686" s="1">
        <v>2014</v>
      </c>
      <c r="E1686" s="1" t="str">
        <f t="shared" si="6"/>
        <v>208208 ALLURE VTI 1.62014</v>
      </c>
      <c r="F1686" s="1" t="s">
        <v>2226</v>
      </c>
      <c r="G1686" s="1">
        <v>6490000</v>
      </c>
      <c r="H1686" s="1">
        <v>5000000</v>
      </c>
    </row>
    <row r="1687" spans="1:8" ht="13.5" customHeight="1" x14ac:dyDescent="0.3">
      <c r="A1687" s="1" t="s">
        <v>264</v>
      </c>
      <c r="B1687" s="1" t="s">
        <v>5189</v>
      </c>
      <c r="C1687" s="1" t="s">
        <v>5193</v>
      </c>
      <c r="D1687" s="1">
        <v>2021</v>
      </c>
      <c r="E1687" s="1" t="str">
        <f t="shared" si="6"/>
        <v>208208 BLUE HDI 100 4X2 1.52021</v>
      </c>
      <c r="F1687" s="1" t="s">
        <v>2415</v>
      </c>
      <c r="G1687" s="1">
        <v>15290000</v>
      </c>
      <c r="H1687" s="1">
        <v>13500000</v>
      </c>
    </row>
    <row r="1688" spans="1:8" ht="13.5" customHeight="1" x14ac:dyDescent="0.3">
      <c r="A1688" s="1" t="s">
        <v>264</v>
      </c>
      <c r="B1688" s="1" t="s">
        <v>5189</v>
      </c>
      <c r="C1688" s="1" t="s">
        <v>5193</v>
      </c>
      <c r="D1688" s="1">
        <v>2021</v>
      </c>
      <c r="E1688" s="1" t="str">
        <f t="shared" si="6"/>
        <v>208208 BLUE HDI 100 4X2 1.52021</v>
      </c>
      <c r="F1688" s="1" t="s">
        <v>968</v>
      </c>
      <c r="G1688" s="1">
        <v>10000000</v>
      </c>
      <c r="H1688" s="1">
        <v>8300000</v>
      </c>
    </row>
    <row r="1689" spans="1:8" ht="13.5" customHeight="1" x14ac:dyDescent="0.3">
      <c r="A1689" s="1" t="s">
        <v>264</v>
      </c>
      <c r="B1689" s="1" t="s">
        <v>5189</v>
      </c>
      <c r="C1689" s="1" t="s">
        <v>5193</v>
      </c>
      <c r="D1689" s="1">
        <v>2023</v>
      </c>
      <c r="E1689" s="1" t="str">
        <f t="shared" si="6"/>
        <v>208208 BLUE HDI 100 4X2 1.52023</v>
      </c>
      <c r="F1689" s="1" t="s">
        <v>2054</v>
      </c>
      <c r="G1689" s="1">
        <v>15090000</v>
      </c>
      <c r="H1689" s="1">
        <v>12300000</v>
      </c>
    </row>
    <row r="1690" spans="1:8" ht="13.5" customHeight="1" x14ac:dyDescent="0.3">
      <c r="A1690" s="1" t="s">
        <v>264</v>
      </c>
      <c r="B1690" s="1" t="s">
        <v>5189</v>
      </c>
      <c r="C1690" s="1" t="s">
        <v>5193</v>
      </c>
      <c r="D1690" s="1">
        <v>2023</v>
      </c>
      <c r="E1690" s="1" t="str">
        <f t="shared" si="6"/>
        <v>208208 BLUE HDI 100 4X2 1.52023</v>
      </c>
      <c r="F1690" s="1" t="s">
        <v>1248</v>
      </c>
      <c r="G1690" s="1">
        <v>13990000</v>
      </c>
      <c r="H1690" s="1">
        <v>13500000</v>
      </c>
    </row>
    <row r="1691" spans="1:8" ht="13.5" customHeight="1" x14ac:dyDescent="0.3">
      <c r="A1691" s="1" t="s">
        <v>264</v>
      </c>
      <c r="B1691" s="1" t="s">
        <v>5189</v>
      </c>
      <c r="C1691" s="1" t="s">
        <v>5194</v>
      </c>
      <c r="D1691" s="1">
        <v>2020</v>
      </c>
      <c r="E1691" s="1" t="str">
        <f t="shared" si="6"/>
        <v>208208 BLUE HDI HB 1.52020</v>
      </c>
      <c r="F1691" s="1" t="s">
        <v>1311</v>
      </c>
      <c r="G1691" s="1">
        <v>9290000</v>
      </c>
      <c r="H1691" s="1">
        <v>7000000</v>
      </c>
    </row>
    <row r="1692" spans="1:8" ht="13.5" customHeight="1" x14ac:dyDescent="0.3">
      <c r="A1692" s="1" t="s">
        <v>264</v>
      </c>
      <c r="B1692" s="1" t="s">
        <v>5189</v>
      </c>
      <c r="C1692" s="1" t="s">
        <v>5195</v>
      </c>
      <c r="D1692" s="1">
        <v>2020</v>
      </c>
      <c r="E1692" s="1" t="str">
        <f t="shared" si="6"/>
        <v>208208 PURE TECH HB 1.22020</v>
      </c>
      <c r="F1692" s="1" t="s">
        <v>1203</v>
      </c>
      <c r="G1692" s="1">
        <v>7990000</v>
      </c>
      <c r="H1692" s="1">
        <v>6300000</v>
      </c>
    </row>
    <row r="1693" spans="1:8" ht="13.5" customHeight="1" x14ac:dyDescent="0.3">
      <c r="A1693" s="1" t="s">
        <v>264</v>
      </c>
      <c r="B1693" s="1" t="s">
        <v>5189</v>
      </c>
      <c r="C1693" s="1" t="s">
        <v>5196</v>
      </c>
      <c r="D1693" s="1">
        <v>2023</v>
      </c>
      <c r="E1693" s="1" t="str">
        <f t="shared" si="6"/>
        <v>208208 PURETECH 130 EAT8 1.2 AUT2023</v>
      </c>
      <c r="F1693" s="1" t="s">
        <v>1215</v>
      </c>
      <c r="G1693" s="1">
        <v>13310120</v>
      </c>
      <c r="H1693" s="1">
        <v>11500000</v>
      </c>
    </row>
    <row r="1694" spans="1:8" ht="13.5" customHeight="1" x14ac:dyDescent="0.3">
      <c r="A1694" s="1" t="s">
        <v>264</v>
      </c>
      <c r="B1694" s="1" t="s">
        <v>5189</v>
      </c>
      <c r="C1694" s="1" t="s">
        <v>5196</v>
      </c>
      <c r="D1694" s="1">
        <v>2023</v>
      </c>
      <c r="E1694" s="1" t="str">
        <f t="shared" si="6"/>
        <v>208208 PURETECH 130 EAT8 1.2 AUT2023</v>
      </c>
      <c r="F1694" s="1" t="s">
        <v>1232</v>
      </c>
      <c r="G1694" s="1">
        <v>17095520</v>
      </c>
      <c r="H1694" s="1">
        <v>15000000</v>
      </c>
    </row>
    <row r="1695" spans="1:8" ht="13.5" customHeight="1" x14ac:dyDescent="0.3">
      <c r="A1695" s="1" t="s">
        <v>264</v>
      </c>
      <c r="B1695" s="1" t="s">
        <v>5189</v>
      </c>
      <c r="C1695" s="1" t="s">
        <v>5196</v>
      </c>
      <c r="D1695" s="1">
        <v>2023</v>
      </c>
      <c r="E1695" s="1" t="str">
        <f t="shared" si="6"/>
        <v>208208 PURETECH 130 EAT8 1.2 AUT2023</v>
      </c>
      <c r="F1695" s="1" t="s">
        <v>439</v>
      </c>
      <c r="G1695" s="1">
        <v>14290000</v>
      </c>
      <c r="H1695" s="1">
        <v>11000000</v>
      </c>
    </row>
    <row r="1696" spans="1:8" ht="13.5" customHeight="1" x14ac:dyDescent="0.3">
      <c r="A1696" s="1" t="s">
        <v>264</v>
      </c>
      <c r="B1696" s="1" t="s">
        <v>5189</v>
      </c>
      <c r="C1696" s="1" t="s">
        <v>5197</v>
      </c>
      <c r="D1696" s="1">
        <v>2024</v>
      </c>
      <c r="E1696" s="1" t="str">
        <f t="shared" si="6"/>
        <v>208208 PURETECH 4X2 1.22024</v>
      </c>
      <c r="F1696" s="1" t="s">
        <v>920</v>
      </c>
      <c r="G1696" s="1">
        <v>11144620</v>
      </c>
      <c r="H1696" s="1">
        <v>12990000</v>
      </c>
    </row>
    <row r="1697" spans="1:8" ht="13.5" customHeight="1" x14ac:dyDescent="0.3">
      <c r="A1697" s="1" t="s">
        <v>264</v>
      </c>
      <c r="B1697" s="1" t="s">
        <v>5189</v>
      </c>
      <c r="C1697" s="1" t="s">
        <v>5197</v>
      </c>
      <c r="D1697" s="1">
        <v>2025</v>
      </c>
      <c r="E1697" s="1" t="str">
        <f t="shared" si="6"/>
        <v>208208 PURETECH 4X2 1.22025</v>
      </c>
      <c r="F1697" s="1" t="s">
        <v>494</v>
      </c>
      <c r="G1697" s="1">
        <v>11190000</v>
      </c>
      <c r="H1697" s="1">
        <v>10000000</v>
      </c>
    </row>
    <row r="1698" spans="1:8" ht="13.5" customHeight="1" x14ac:dyDescent="0.3">
      <c r="A1698" s="1" t="s">
        <v>264</v>
      </c>
      <c r="B1698" s="1" t="s">
        <v>5189</v>
      </c>
      <c r="C1698" s="1" t="s">
        <v>5198</v>
      </c>
      <c r="D1698" s="1">
        <v>2021</v>
      </c>
      <c r="E1698" s="1" t="str">
        <f t="shared" si="6"/>
        <v>208208 PURETECH 75 1.22021</v>
      </c>
      <c r="F1698" s="1" t="s">
        <v>1942</v>
      </c>
      <c r="G1698" s="1">
        <v>10690000</v>
      </c>
      <c r="H1698" s="1">
        <v>8700000</v>
      </c>
    </row>
    <row r="1699" spans="1:8" ht="13.5" customHeight="1" x14ac:dyDescent="0.3">
      <c r="A1699" s="1" t="s">
        <v>264</v>
      </c>
      <c r="B1699" s="1" t="s">
        <v>5189</v>
      </c>
      <c r="C1699" s="1" t="s">
        <v>5198</v>
      </c>
      <c r="D1699" s="1">
        <v>2022</v>
      </c>
      <c r="E1699" s="1" t="str">
        <f t="shared" si="6"/>
        <v>208208 PURETECH 75 1.22022</v>
      </c>
      <c r="F1699" s="1" t="s">
        <v>1502</v>
      </c>
      <c r="G1699" s="1">
        <v>11390000</v>
      </c>
      <c r="H1699" s="1">
        <v>9500000</v>
      </c>
    </row>
    <row r="1700" spans="1:8" ht="13.5" customHeight="1" x14ac:dyDescent="0.3">
      <c r="A1700" s="1" t="s">
        <v>264</v>
      </c>
      <c r="B1700" s="1" t="s">
        <v>5189</v>
      </c>
      <c r="C1700" s="1" t="s">
        <v>5198</v>
      </c>
      <c r="D1700" s="1">
        <v>2022</v>
      </c>
      <c r="E1700" s="1" t="str">
        <f t="shared" si="6"/>
        <v>208208 PURETECH 75 1.22022</v>
      </c>
      <c r="F1700" s="1" t="s">
        <v>811</v>
      </c>
      <c r="G1700" s="1">
        <v>9690000</v>
      </c>
      <c r="H1700" s="1">
        <v>8000000</v>
      </c>
    </row>
    <row r="1701" spans="1:8" ht="13.5" customHeight="1" x14ac:dyDescent="0.3">
      <c r="A1701" s="1" t="s">
        <v>264</v>
      </c>
      <c r="B1701" s="1" t="s">
        <v>5189</v>
      </c>
      <c r="C1701" s="1" t="s">
        <v>5198</v>
      </c>
      <c r="D1701" s="1">
        <v>2022</v>
      </c>
      <c r="E1701" s="1" t="str">
        <f t="shared" si="6"/>
        <v>208208 PURETECH 75 1.22022</v>
      </c>
      <c r="F1701" s="1" t="s">
        <v>536</v>
      </c>
      <c r="G1701" s="1">
        <v>8890000</v>
      </c>
      <c r="H1701" s="1">
        <v>7400000</v>
      </c>
    </row>
    <row r="1702" spans="1:8" ht="13.5" customHeight="1" x14ac:dyDescent="0.3">
      <c r="A1702" s="1" t="s">
        <v>264</v>
      </c>
      <c r="B1702" s="1" t="s">
        <v>5189</v>
      </c>
      <c r="C1702" s="1" t="s">
        <v>5198</v>
      </c>
      <c r="D1702" s="1">
        <v>2024</v>
      </c>
      <c r="E1702" s="1" t="str">
        <f t="shared" si="6"/>
        <v>208208 PURETECH 75 1.22024</v>
      </c>
      <c r="F1702" s="1" t="s">
        <v>1108</v>
      </c>
      <c r="G1702" s="1">
        <v>10990000</v>
      </c>
      <c r="H1702" s="1">
        <v>9000000</v>
      </c>
    </row>
    <row r="1703" spans="1:8" ht="13.5" customHeight="1" x14ac:dyDescent="0.3">
      <c r="A1703" s="1" t="s">
        <v>264</v>
      </c>
      <c r="B1703" s="1" t="s">
        <v>5189</v>
      </c>
      <c r="C1703" s="1" t="s">
        <v>5199</v>
      </c>
      <c r="D1703" s="1">
        <v>2023</v>
      </c>
      <c r="E1703" s="1" t="str">
        <f t="shared" si="6"/>
        <v>208208 PURETECH 75 MT 1.22023</v>
      </c>
      <c r="F1703" s="1" t="s">
        <v>1516</v>
      </c>
      <c r="G1703" s="1">
        <v>11490000</v>
      </c>
      <c r="H1703" s="1">
        <v>9000000</v>
      </c>
    </row>
    <row r="1704" spans="1:8" ht="13.5" customHeight="1" x14ac:dyDescent="0.3">
      <c r="A1704" s="1" t="s">
        <v>264</v>
      </c>
      <c r="B1704" s="1" t="s">
        <v>5189</v>
      </c>
      <c r="C1704" s="1" t="s">
        <v>5199</v>
      </c>
      <c r="D1704" s="1">
        <v>2023</v>
      </c>
      <c r="E1704" s="1" t="str">
        <f t="shared" si="6"/>
        <v>208208 PURETECH 75 MT 1.22023</v>
      </c>
      <c r="F1704" s="1" t="s">
        <v>2001</v>
      </c>
      <c r="G1704" s="1">
        <v>10490000</v>
      </c>
      <c r="H1704" s="1">
        <v>9000000</v>
      </c>
    </row>
    <row r="1705" spans="1:8" ht="13.5" customHeight="1" x14ac:dyDescent="0.3">
      <c r="A1705" s="1" t="s">
        <v>264</v>
      </c>
      <c r="B1705" s="1" t="s">
        <v>5189</v>
      </c>
      <c r="C1705" s="1" t="s">
        <v>5199</v>
      </c>
      <c r="D1705" s="1">
        <v>2023</v>
      </c>
      <c r="E1705" s="1" t="str">
        <f t="shared" si="6"/>
        <v>208208 PURETECH 75 MT 1.22023</v>
      </c>
      <c r="F1705" s="1" t="s">
        <v>896</v>
      </c>
      <c r="G1705" s="1">
        <v>9990000</v>
      </c>
      <c r="H1705" s="1">
        <v>8000000</v>
      </c>
    </row>
    <row r="1706" spans="1:8" ht="13.5" customHeight="1" x14ac:dyDescent="0.3">
      <c r="A1706" s="1" t="s">
        <v>264</v>
      </c>
      <c r="B1706" s="1" t="s">
        <v>5189</v>
      </c>
      <c r="C1706" s="1" t="s">
        <v>5199</v>
      </c>
      <c r="D1706" s="1">
        <v>2023</v>
      </c>
      <c r="E1706" s="1" t="str">
        <f t="shared" si="6"/>
        <v>208208 PURETECH 75 MT 1.22023</v>
      </c>
      <c r="F1706" s="1" t="s">
        <v>1966</v>
      </c>
      <c r="G1706" s="1">
        <v>13090000</v>
      </c>
      <c r="H1706" s="1">
        <v>10200000</v>
      </c>
    </row>
    <row r="1707" spans="1:8" ht="13.5" customHeight="1" x14ac:dyDescent="0.3">
      <c r="A1707" s="1" t="s">
        <v>264</v>
      </c>
      <c r="B1707" s="1" t="s">
        <v>5189</v>
      </c>
      <c r="C1707" s="1" t="s">
        <v>5200</v>
      </c>
      <c r="D1707" s="1">
        <v>2020</v>
      </c>
      <c r="E1707" s="1" t="str">
        <f t="shared" si="6"/>
        <v>208208 SIGNATURE 1.22020</v>
      </c>
      <c r="F1707" s="1" t="s">
        <v>962</v>
      </c>
      <c r="G1707" s="1">
        <v>6226000</v>
      </c>
      <c r="H1707" s="1">
        <v>6000000</v>
      </c>
    </row>
    <row r="1708" spans="1:8" ht="13.5" customHeight="1" x14ac:dyDescent="0.3">
      <c r="A1708" s="1" t="s">
        <v>264</v>
      </c>
      <c r="B1708" s="1" t="s">
        <v>5189</v>
      </c>
      <c r="C1708" s="1" t="s">
        <v>5200</v>
      </c>
      <c r="D1708" s="1">
        <v>2020</v>
      </c>
      <c r="E1708" s="1" t="str">
        <f t="shared" si="6"/>
        <v>208208 SIGNATURE 1.22020</v>
      </c>
      <c r="F1708" s="1" t="s">
        <v>1006</v>
      </c>
      <c r="G1708" s="1">
        <v>7200000</v>
      </c>
      <c r="H1708" s="1">
        <v>5000000</v>
      </c>
    </row>
    <row r="1709" spans="1:8" ht="13.5" customHeight="1" x14ac:dyDescent="0.3">
      <c r="A1709" s="1" t="s">
        <v>264</v>
      </c>
      <c r="B1709" s="1" t="s">
        <v>5189</v>
      </c>
      <c r="C1709" s="1" t="s">
        <v>5201</v>
      </c>
      <c r="D1709" s="1">
        <v>2019</v>
      </c>
      <c r="E1709" s="1" t="str">
        <f t="shared" si="6"/>
        <v>208208 SIGNATURE BLUEHDI 1.52019</v>
      </c>
      <c r="F1709" s="1" t="s">
        <v>1621</v>
      </c>
      <c r="G1709" s="1">
        <v>8690000</v>
      </c>
      <c r="H1709" s="1">
        <v>7000000</v>
      </c>
    </row>
    <row r="1710" spans="1:8" ht="13.5" customHeight="1" x14ac:dyDescent="0.3">
      <c r="A1710" s="1" t="s">
        <v>264</v>
      </c>
      <c r="B1710" s="1" t="s">
        <v>5189</v>
      </c>
      <c r="C1710" s="1" t="s">
        <v>5202</v>
      </c>
      <c r="D1710" s="1">
        <v>2023</v>
      </c>
      <c r="E1710" s="1" t="str">
        <f t="shared" si="6"/>
        <v>208208 STYLE PURETECH 75 1.22023</v>
      </c>
      <c r="F1710" s="1" t="s">
        <v>2059</v>
      </c>
      <c r="G1710" s="1">
        <v>11690000</v>
      </c>
      <c r="H1710" s="1">
        <v>9500000</v>
      </c>
    </row>
    <row r="1711" spans="1:8" ht="13.5" customHeight="1" x14ac:dyDescent="0.3">
      <c r="A1711" s="1" t="s">
        <v>264</v>
      </c>
      <c r="B1711" s="1" t="s">
        <v>5203</v>
      </c>
      <c r="C1711" s="1" t="s">
        <v>5204</v>
      </c>
      <c r="D1711" s="1">
        <v>2020</v>
      </c>
      <c r="E1711" s="1" t="str">
        <f t="shared" si="6"/>
        <v>30083008 ACTIVE 1.22020</v>
      </c>
      <c r="F1711" s="1" t="s">
        <v>2045</v>
      </c>
      <c r="G1711" s="1">
        <v>14490000</v>
      </c>
      <c r="H1711" s="1">
        <v>13500000</v>
      </c>
    </row>
    <row r="1712" spans="1:8" ht="13.5" customHeight="1" x14ac:dyDescent="0.3">
      <c r="A1712" s="1" t="s">
        <v>264</v>
      </c>
      <c r="B1712" s="1" t="s">
        <v>5203</v>
      </c>
      <c r="C1712" s="1" t="s">
        <v>5205</v>
      </c>
      <c r="D1712" s="1">
        <v>2019</v>
      </c>
      <c r="E1712" s="1" t="str">
        <f t="shared" si="6"/>
        <v>30083008 ACTIVE 1.6 AUT2019</v>
      </c>
      <c r="F1712" s="1" t="s">
        <v>2109</v>
      </c>
      <c r="G1712" s="1">
        <v>16590000</v>
      </c>
      <c r="H1712" s="1">
        <v>14200000</v>
      </c>
    </row>
    <row r="1713" spans="1:8" ht="13.5" customHeight="1" x14ac:dyDescent="0.3">
      <c r="A1713" s="1" t="s">
        <v>264</v>
      </c>
      <c r="B1713" s="1" t="s">
        <v>5203</v>
      </c>
      <c r="C1713" s="1" t="s">
        <v>5206</v>
      </c>
      <c r="D1713" s="1">
        <v>2019</v>
      </c>
      <c r="E1713" s="1" t="str">
        <f t="shared" si="6"/>
        <v>30083008 ACTIVE BLUEHDI 1.52019</v>
      </c>
      <c r="F1713" s="1" t="s">
        <v>1431</v>
      </c>
      <c r="G1713" s="1">
        <v>29280000</v>
      </c>
      <c r="H1713" s="1">
        <v>24100000</v>
      </c>
    </row>
    <row r="1714" spans="1:8" ht="13.5" customHeight="1" x14ac:dyDescent="0.3">
      <c r="A1714" s="1" t="s">
        <v>264</v>
      </c>
      <c r="B1714" s="1" t="s">
        <v>5203</v>
      </c>
      <c r="C1714" s="1" t="s">
        <v>5206</v>
      </c>
      <c r="D1714" s="1">
        <v>2019</v>
      </c>
      <c r="E1714" s="1" t="str">
        <f t="shared" si="6"/>
        <v>30083008 ACTIVE BLUEHDI 1.52019</v>
      </c>
      <c r="F1714" s="1" t="s">
        <v>881</v>
      </c>
      <c r="G1714" s="1">
        <v>13024470</v>
      </c>
      <c r="H1714" s="1">
        <v>11000000</v>
      </c>
    </row>
    <row r="1715" spans="1:8" ht="13.5" customHeight="1" x14ac:dyDescent="0.3">
      <c r="A1715" s="1" t="s">
        <v>264</v>
      </c>
      <c r="B1715" s="1" t="s">
        <v>5203</v>
      </c>
      <c r="C1715" s="1" t="s">
        <v>5206</v>
      </c>
      <c r="D1715" s="1">
        <v>2019</v>
      </c>
      <c r="E1715" s="1" t="str">
        <f t="shared" si="6"/>
        <v>30083008 ACTIVE BLUEHDI 1.52019</v>
      </c>
      <c r="F1715" s="1" t="s">
        <v>1525</v>
      </c>
      <c r="G1715" s="1">
        <v>30274620</v>
      </c>
      <c r="H1715" s="1">
        <v>24000000</v>
      </c>
    </row>
    <row r="1716" spans="1:8" ht="13.5" customHeight="1" x14ac:dyDescent="0.3">
      <c r="A1716" s="1" t="s">
        <v>264</v>
      </c>
      <c r="B1716" s="1" t="s">
        <v>5203</v>
      </c>
      <c r="C1716" s="1" t="s">
        <v>5206</v>
      </c>
      <c r="D1716" s="1">
        <v>2019</v>
      </c>
      <c r="E1716" s="1" t="str">
        <f t="shared" si="6"/>
        <v>30083008 ACTIVE BLUEHDI 1.52019</v>
      </c>
      <c r="F1716" s="1" t="s">
        <v>1982</v>
      </c>
      <c r="G1716" s="1">
        <v>11640000</v>
      </c>
      <c r="H1716" s="1">
        <v>13200000</v>
      </c>
    </row>
    <row r="1717" spans="1:8" ht="13.5" customHeight="1" x14ac:dyDescent="0.3">
      <c r="A1717" s="1" t="s">
        <v>264</v>
      </c>
      <c r="B1717" s="1" t="s">
        <v>5203</v>
      </c>
      <c r="C1717" s="1" t="s">
        <v>5206</v>
      </c>
      <c r="D1717" s="1">
        <v>2019</v>
      </c>
      <c r="E1717" s="1" t="str">
        <f t="shared" si="6"/>
        <v>30083008 ACTIVE BLUEHDI 1.52019</v>
      </c>
      <c r="F1717" s="1" t="s">
        <v>2568</v>
      </c>
      <c r="G1717" s="1">
        <v>17990000</v>
      </c>
      <c r="H1717" s="1">
        <v>17000000</v>
      </c>
    </row>
    <row r="1718" spans="1:8" ht="13.5" customHeight="1" x14ac:dyDescent="0.3">
      <c r="A1718" s="1" t="s">
        <v>264</v>
      </c>
      <c r="B1718" s="1" t="s">
        <v>5203</v>
      </c>
      <c r="C1718" s="1" t="s">
        <v>5206</v>
      </c>
      <c r="D1718" s="1">
        <v>2019</v>
      </c>
      <c r="E1718" s="1" t="str">
        <f t="shared" si="6"/>
        <v>30083008 ACTIVE BLUEHDI 1.52019</v>
      </c>
      <c r="F1718" s="1" t="s">
        <v>2638</v>
      </c>
      <c r="G1718" s="1">
        <v>13212620</v>
      </c>
      <c r="H1718" s="1">
        <v>17000000</v>
      </c>
    </row>
    <row r="1719" spans="1:8" ht="13.5" customHeight="1" x14ac:dyDescent="0.3">
      <c r="A1719" s="1" t="s">
        <v>264</v>
      </c>
      <c r="B1719" s="1" t="s">
        <v>5203</v>
      </c>
      <c r="C1719" s="1" t="s">
        <v>5206</v>
      </c>
      <c r="D1719" s="1">
        <v>2019</v>
      </c>
      <c r="E1719" s="1" t="str">
        <f t="shared" si="6"/>
        <v>30083008 ACTIVE BLUEHDI 1.52019</v>
      </c>
      <c r="F1719" s="1" t="s">
        <v>549</v>
      </c>
      <c r="G1719" s="1">
        <v>13790000</v>
      </c>
      <c r="H1719" s="1">
        <v>11000000</v>
      </c>
    </row>
    <row r="1720" spans="1:8" ht="13.5" customHeight="1" x14ac:dyDescent="0.3">
      <c r="A1720" s="1" t="s">
        <v>264</v>
      </c>
      <c r="B1720" s="1" t="s">
        <v>5203</v>
      </c>
      <c r="C1720" s="1" t="s">
        <v>5206</v>
      </c>
      <c r="D1720" s="1">
        <v>2020</v>
      </c>
      <c r="E1720" s="1" t="str">
        <f t="shared" si="6"/>
        <v>30083008 ACTIVE BLUEHDI 1.52020</v>
      </c>
      <c r="G1720" s="1">
        <v>15690000</v>
      </c>
      <c r="H1720" s="1">
        <v>0</v>
      </c>
    </row>
    <row r="1721" spans="1:8" ht="13.5" customHeight="1" x14ac:dyDescent="0.3">
      <c r="A1721" s="1" t="s">
        <v>264</v>
      </c>
      <c r="B1721" s="1" t="s">
        <v>5203</v>
      </c>
      <c r="C1721" s="1" t="s">
        <v>5206</v>
      </c>
      <c r="D1721" s="1">
        <v>2020</v>
      </c>
      <c r="E1721" s="1" t="str">
        <f t="shared" si="6"/>
        <v>30083008 ACTIVE BLUEHDI 1.52020</v>
      </c>
      <c r="F1721" s="1" t="s">
        <v>2566</v>
      </c>
      <c r="G1721" s="1">
        <v>19690000</v>
      </c>
      <c r="H1721" s="1">
        <v>17000000</v>
      </c>
    </row>
    <row r="1722" spans="1:8" ht="13.5" customHeight="1" x14ac:dyDescent="0.3">
      <c r="A1722" s="1" t="s">
        <v>264</v>
      </c>
      <c r="B1722" s="1" t="s">
        <v>5203</v>
      </c>
      <c r="C1722" s="1" t="s">
        <v>5206</v>
      </c>
      <c r="D1722" s="1">
        <v>2020</v>
      </c>
      <c r="E1722" s="1" t="str">
        <f t="shared" si="6"/>
        <v>30083008 ACTIVE BLUEHDI 1.52020</v>
      </c>
      <c r="F1722" s="1" t="s">
        <v>2101</v>
      </c>
      <c r="G1722" s="1">
        <v>18190000</v>
      </c>
      <c r="H1722" s="1">
        <v>15000000</v>
      </c>
    </row>
    <row r="1723" spans="1:8" ht="13.5" customHeight="1" x14ac:dyDescent="0.3">
      <c r="A1723" s="1" t="s">
        <v>264</v>
      </c>
      <c r="B1723" s="1" t="s">
        <v>5203</v>
      </c>
      <c r="C1723" s="1" t="s">
        <v>5206</v>
      </c>
      <c r="D1723" s="1">
        <v>2020</v>
      </c>
      <c r="E1723" s="1" t="str">
        <f t="shared" si="6"/>
        <v>30083008 ACTIVE BLUEHDI 1.52020</v>
      </c>
      <c r="F1723" s="1" t="s">
        <v>2397</v>
      </c>
      <c r="G1723" s="1">
        <v>20290000</v>
      </c>
      <c r="H1723" s="1">
        <v>16800000</v>
      </c>
    </row>
    <row r="1724" spans="1:8" ht="13.5" customHeight="1" x14ac:dyDescent="0.3">
      <c r="A1724" s="1" t="s">
        <v>264</v>
      </c>
      <c r="B1724" s="1" t="s">
        <v>5203</v>
      </c>
      <c r="C1724" s="1" t="s">
        <v>5206</v>
      </c>
      <c r="D1724" s="1">
        <v>2020</v>
      </c>
      <c r="E1724" s="1" t="str">
        <f t="shared" si="6"/>
        <v>30083008 ACTIVE BLUEHDI 1.52020</v>
      </c>
      <c r="F1724" s="1" t="s">
        <v>1969</v>
      </c>
      <c r="G1724" s="1">
        <v>12427000</v>
      </c>
      <c r="H1724" s="1">
        <v>14000000</v>
      </c>
    </row>
    <row r="1725" spans="1:8" ht="13.5" customHeight="1" x14ac:dyDescent="0.3">
      <c r="A1725" s="1" t="s">
        <v>264</v>
      </c>
      <c r="B1725" s="1" t="s">
        <v>5203</v>
      </c>
      <c r="C1725" s="1" t="s">
        <v>5206</v>
      </c>
      <c r="D1725" s="1">
        <v>2020</v>
      </c>
      <c r="E1725" s="1" t="str">
        <f t="shared" si="6"/>
        <v>30083008 ACTIVE BLUEHDI 1.52020</v>
      </c>
      <c r="F1725" s="1" t="s">
        <v>2142</v>
      </c>
      <c r="G1725" s="1">
        <v>13290000</v>
      </c>
      <c r="H1725" s="1">
        <v>15300000</v>
      </c>
    </row>
    <row r="1726" spans="1:8" ht="13.5" customHeight="1" x14ac:dyDescent="0.3">
      <c r="A1726" s="1" t="s">
        <v>264</v>
      </c>
      <c r="B1726" s="1" t="s">
        <v>5203</v>
      </c>
      <c r="C1726" s="1" t="s">
        <v>5207</v>
      </c>
      <c r="D1726" s="1">
        <v>2019</v>
      </c>
      <c r="E1726" s="1" t="str">
        <f t="shared" si="6"/>
        <v>30083008 ACTIVE BLUEHDI 1.5 AT2019</v>
      </c>
      <c r="F1726" s="1" t="s">
        <v>5208</v>
      </c>
      <c r="G1726" s="1">
        <v>18000000</v>
      </c>
      <c r="H1726" s="1">
        <v>17838300</v>
      </c>
    </row>
    <row r="1727" spans="1:8" ht="13.5" customHeight="1" x14ac:dyDescent="0.3">
      <c r="A1727" s="1" t="s">
        <v>264</v>
      </c>
      <c r="B1727" s="1" t="s">
        <v>5203</v>
      </c>
      <c r="C1727" s="1" t="s">
        <v>5209</v>
      </c>
      <c r="D1727" s="1">
        <v>2018</v>
      </c>
      <c r="E1727" s="1" t="str">
        <f t="shared" si="6"/>
        <v>30083008 ACTIVE BLUEHDI 1.62018</v>
      </c>
      <c r="F1727" s="1" t="s">
        <v>1753</v>
      </c>
      <c r="G1727" s="1">
        <v>11490000</v>
      </c>
      <c r="H1727" s="1">
        <v>8399159</v>
      </c>
    </row>
    <row r="1728" spans="1:8" ht="13.5" customHeight="1" x14ac:dyDescent="0.3">
      <c r="A1728" s="1" t="s">
        <v>264</v>
      </c>
      <c r="B1728" s="1" t="s">
        <v>5203</v>
      </c>
      <c r="C1728" s="1" t="s">
        <v>5209</v>
      </c>
      <c r="D1728" s="1">
        <v>2018</v>
      </c>
      <c r="E1728" s="1" t="str">
        <f t="shared" si="6"/>
        <v>30083008 ACTIVE BLUEHDI 1.62018</v>
      </c>
      <c r="F1728" s="1" t="s">
        <v>2043</v>
      </c>
      <c r="G1728" s="1">
        <v>14790000</v>
      </c>
      <c r="H1728" s="1">
        <v>12457983</v>
      </c>
    </row>
    <row r="1729" spans="1:8" ht="13.5" customHeight="1" x14ac:dyDescent="0.3">
      <c r="A1729" s="1" t="s">
        <v>264</v>
      </c>
      <c r="B1729" s="1" t="s">
        <v>5203</v>
      </c>
      <c r="C1729" s="1" t="s">
        <v>5210</v>
      </c>
      <c r="D1729" s="1">
        <v>2018</v>
      </c>
      <c r="E1729" s="1" t="str">
        <f t="shared" si="6"/>
        <v>30083008 ALLURE 1.62018</v>
      </c>
      <c r="F1729" s="1" t="s">
        <v>1405</v>
      </c>
      <c r="G1729" s="1">
        <v>13790000</v>
      </c>
      <c r="H1729" s="1">
        <v>11500000</v>
      </c>
    </row>
    <row r="1730" spans="1:8" ht="13.5" customHeight="1" x14ac:dyDescent="0.3">
      <c r="A1730" s="1" t="s">
        <v>264</v>
      </c>
      <c r="B1730" s="1" t="s">
        <v>5203</v>
      </c>
      <c r="C1730" s="1" t="s">
        <v>5211</v>
      </c>
      <c r="D1730" s="1">
        <v>2020</v>
      </c>
      <c r="E1730" s="1" t="str">
        <f t="shared" si="6"/>
        <v>30083008 ALLURE 1.6 AUT2020</v>
      </c>
      <c r="F1730" s="1" t="s">
        <v>2078</v>
      </c>
      <c r="G1730" s="1">
        <v>18690000</v>
      </c>
      <c r="H1730" s="1">
        <v>15000000</v>
      </c>
    </row>
    <row r="1731" spans="1:8" ht="13.5" customHeight="1" x14ac:dyDescent="0.3">
      <c r="A1731" s="1" t="s">
        <v>264</v>
      </c>
      <c r="B1731" s="1" t="s">
        <v>5203</v>
      </c>
      <c r="C1731" s="1" t="s">
        <v>5212</v>
      </c>
      <c r="D1731" s="1">
        <v>2019</v>
      </c>
      <c r="E1731" s="1" t="str">
        <f t="shared" si="6"/>
        <v>30083008 ALLURE BLUEHDI 1.5 AT2019</v>
      </c>
      <c r="F1731" s="1" t="s">
        <v>1768</v>
      </c>
      <c r="G1731" s="1">
        <v>12753377</v>
      </c>
      <c r="H1731" s="1">
        <v>11300000</v>
      </c>
    </row>
    <row r="1732" spans="1:8" ht="13.5" customHeight="1" x14ac:dyDescent="0.3">
      <c r="A1732" s="1" t="s">
        <v>264</v>
      </c>
      <c r="B1732" s="1" t="s">
        <v>5203</v>
      </c>
      <c r="C1732" s="1" t="s">
        <v>5212</v>
      </c>
      <c r="D1732" s="1">
        <v>2019</v>
      </c>
      <c r="E1732" s="1" t="str">
        <f t="shared" si="6"/>
        <v>30083008 ALLURE BLUEHDI 1.5 AT2019</v>
      </c>
      <c r="F1732" s="1" t="s">
        <v>1857</v>
      </c>
      <c r="G1732" s="1">
        <v>15790000</v>
      </c>
      <c r="H1732" s="1">
        <v>12500000</v>
      </c>
    </row>
    <row r="1733" spans="1:8" ht="13.5" customHeight="1" x14ac:dyDescent="0.3">
      <c r="A1733" s="1" t="s">
        <v>264</v>
      </c>
      <c r="B1733" s="1" t="s">
        <v>5203</v>
      </c>
      <c r="C1733" s="1" t="s">
        <v>5213</v>
      </c>
      <c r="D1733" s="1">
        <v>2019</v>
      </c>
      <c r="E1733" s="1" t="str">
        <f t="shared" si="6"/>
        <v>30083008 ALLURE BLUEHDI 1.5 AUT2019</v>
      </c>
      <c r="F1733" s="1" t="s">
        <v>2216</v>
      </c>
      <c r="G1733" s="1">
        <v>30378040</v>
      </c>
      <c r="H1733" s="1">
        <v>30000000</v>
      </c>
    </row>
    <row r="1734" spans="1:8" ht="13.5" customHeight="1" x14ac:dyDescent="0.3">
      <c r="A1734" s="1" t="s">
        <v>264</v>
      </c>
      <c r="B1734" s="1" t="s">
        <v>5203</v>
      </c>
      <c r="C1734" s="1" t="s">
        <v>5213</v>
      </c>
      <c r="D1734" s="1">
        <v>2020</v>
      </c>
      <c r="E1734" s="1" t="str">
        <f t="shared" si="6"/>
        <v>30083008 ALLURE BLUEHDI 1.5 AUT2020</v>
      </c>
      <c r="F1734" s="1" t="s">
        <v>1873</v>
      </c>
      <c r="G1734" s="1">
        <v>16790000</v>
      </c>
      <c r="H1734" s="1">
        <v>14000000</v>
      </c>
    </row>
    <row r="1735" spans="1:8" ht="13.5" customHeight="1" x14ac:dyDescent="0.3">
      <c r="A1735" s="1" t="s">
        <v>264</v>
      </c>
      <c r="B1735" s="1" t="s">
        <v>5203</v>
      </c>
      <c r="C1735" s="1" t="s">
        <v>5213</v>
      </c>
      <c r="D1735" s="1">
        <v>2021</v>
      </c>
      <c r="E1735" s="1" t="str">
        <f t="shared" si="6"/>
        <v>30083008 ALLURE BLUEHDI 1.5 AUT2021</v>
      </c>
      <c r="F1735" s="1" t="s">
        <v>1012</v>
      </c>
      <c r="G1735" s="1">
        <v>15490000</v>
      </c>
      <c r="H1735" s="1">
        <v>14000000</v>
      </c>
    </row>
    <row r="1736" spans="1:8" ht="13.5" customHeight="1" x14ac:dyDescent="0.3">
      <c r="A1736" s="1" t="s">
        <v>264</v>
      </c>
      <c r="B1736" s="1" t="s">
        <v>5203</v>
      </c>
      <c r="C1736" s="1" t="s">
        <v>5214</v>
      </c>
      <c r="D1736" s="1">
        <v>2015</v>
      </c>
      <c r="E1736" s="1" t="str">
        <f t="shared" si="6"/>
        <v>30083008 ALLURE E HDI 1.62015</v>
      </c>
      <c r="G1736" s="1">
        <v>8700000</v>
      </c>
      <c r="H1736" s="1">
        <v>0</v>
      </c>
    </row>
    <row r="1737" spans="1:8" ht="13.5" customHeight="1" x14ac:dyDescent="0.3">
      <c r="A1737" s="1" t="s">
        <v>264</v>
      </c>
      <c r="B1737" s="1" t="s">
        <v>5203</v>
      </c>
      <c r="C1737" s="1" t="s">
        <v>5214</v>
      </c>
      <c r="D1737" s="1">
        <v>2015</v>
      </c>
      <c r="E1737" s="1" t="str">
        <f t="shared" si="6"/>
        <v>30083008 ALLURE E HDI 1.62015</v>
      </c>
      <c r="F1737" s="1" t="s">
        <v>1953</v>
      </c>
      <c r="G1737" s="1">
        <v>8000000</v>
      </c>
      <c r="H1737" s="1">
        <v>6500000</v>
      </c>
    </row>
    <row r="1738" spans="1:8" ht="13.5" customHeight="1" x14ac:dyDescent="0.3">
      <c r="A1738" s="1" t="s">
        <v>264</v>
      </c>
      <c r="B1738" s="1" t="s">
        <v>5203</v>
      </c>
      <c r="C1738" s="1" t="s">
        <v>5215</v>
      </c>
      <c r="D1738" s="1">
        <v>2019</v>
      </c>
      <c r="E1738" s="1" t="str">
        <f t="shared" si="6"/>
        <v>30083008 BLUE HDI 1.6 AUT2019</v>
      </c>
      <c r="F1738" s="1" t="s">
        <v>2140</v>
      </c>
      <c r="G1738" s="1">
        <v>16490000</v>
      </c>
      <c r="H1738" s="1">
        <v>13500000</v>
      </c>
    </row>
    <row r="1739" spans="1:8" ht="13.5" customHeight="1" x14ac:dyDescent="0.3">
      <c r="A1739" s="1" t="s">
        <v>264</v>
      </c>
      <c r="B1739" s="1" t="s">
        <v>5203</v>
      </c>
      <c r="C1739" s="1" t="s">
        <v>274</v>
      </c>
      <c r="D1739" s="1">
        <v>2021</v>
      </c>
      <c r="E1739" s="1" t="str">
        <f t="shared" si="6"/>
        <v>30083008 BLUE HDI 130 1.52021</v>
      </c>
      <c r="F1739" s="1" t="s">
        <v>275</v>
      </c>
      <c r="G1739" s="1">
        <v>13490000</v>
      </c>
      <c r="H1739" s="1">
        <v>11500000</v>
      </c>
    </row>
    <row r="1740" spans="1:8" ht="13.5" customHeight="1" x14ac:dyDescent="0.3">
      <c r="A1740" s="1" t="s">
        <v>264</v>
      </c>
      <c r="B1740" s="1" t="s">
        <v>5203</v>
      </c>
      <c r="C1740" s="1" t="s">
        <v>274</v>
      </c>
      <c r="D1740" s="1">
        <v>2022</v>
      </c>
      <c r="E1740" s="1" t="str">
        <f t="shared" si="6"/>
        <v>30083008 BLUE HDI 130 1.52022</v>
      </c>
      <c r="F1740" s="1" t="s">
        <v>923</v>
      </c>
      <c r="G1740" s="1">
        <v>14990000</v>
      </c>
      <c r="H1740" s="1">
        <v>18000000</v>
      </c>
    </row>
    <row r="1741" spans="1:8" ht="13.5" customHeight="1" x14ac:dyDescent="0.3">
      <c r="A1741" s="1" t="s">
        <v>264</v>
      </c>
      <c r="B1741" s="1" t="s">
        <v>5203</v>
      </c>
      <c r="C1741" s="1" t="s">
        <v>274</v>
      </c>
      <c r="D1741" s="1">
        <v>2022</v>
      </c>
      <c r="E1741" s="1" t="str">
        <f t="shared" si="6"/>
        <v>30083008 BLUE HDI 130 1.52022</v>
      </c>
      <c r="F1741" s="1" t="s">
        <v>1853</v>
      </c>
      <c r="G1741" s="1">
        <v>18990000</v>
      </c>
      <c r="H1741" s="1">
        <v>17000000</v>
      </c>
    </row>
    <row r="1742" spans="1:8" ht="13.5" customHeight="1" x14ac:dyDescent="0.3">
      <c r="A1742" s="1" t="s">
        <v>264</v>
      </c>
      <c r="B1742" s="1" t="s">
        <v>5203</v>
      </c>
      <c r="C1742" s="1" t="s">
        <v>274</v>
      </c>
      <c r="D1742" s="1">
        <v>2023</v>
      </c>
      <c r="E1742" s="1" t="str">
        <f t="shared" si="6"/>
        <v>30083008 BLUE HDI 130 1.52023</v>
      </c>
      <c r="F1742" s="1" t="s">
        <v>791</v>
      </c>
      <c r="G1742" s="1">
        <v>14828172</v>
      </c>
      <c r="H1742" s="1">
        <v>15150000</v>
      </c>
    </row>
    <row r="1743" spans="1:8" ht="13.5" customHeight="1" x14ac:dyDescent="0.3">
      <c r="A1743" s="1" t="s">
        <v>264</v>
      </c>
      <c r="B1743" s="1" t="s">
        <v>5203</v>
      </c>
      <c r="C1743" s="1" t="s">
        <v>5216</v>
      </c>
      <c r="D1743" s="1">
        <v>2021</v>
      </c>
      <c r="E1743" s="1" t="str">
        <f t="shared" si="6"/>
        <v>30083008 BLUE HDI 130 EAT8 1.5 AUT2021</v>
      </c>
      <c r="F1743" s="1" t="s">
        <v>955</v>
      </c>
      <c r="G1743" s="1">
        <v>32480000</v>
      </c>
      <c r="H1743" s="1">
        <v>30000000</v>
      </c>
    </row>
    <row r="1744" spans="1:8" ht="13.5" customHeight="1" x14ac:dyDescent="0.3">
      <c r="A1744" s="1" t="s">
        <v>264</v>
      </c>
      <c r="B1744" s="1" t="s">
        <v>5203</v>
      </c>
      <c r="C1744" s="1" t="s">
        <v>5216</v>
      </c>
      <c r="D1744" s="1">
        <v>2021</v>
      </c>
      <c r="E1744" s="1" t="str">
        <f t="shared" si="6"/>
        <v>30083008 BLUE HDI 130 EAT8 1.5 AUT2021</v>
      </c>
      <c r="F1744" s="1" t="s">
        <v>1766</v>
      </c>
      <c r="G1744" s="1">
        <v>17590000</v>
      </c>
      <c r="H1744" s="1">
        <v>15097584</v>
      </c>
    </row>
    <row r="1745" spans="1:8" ht="13.5" customHeight="1" x14ac:dyDescent="0.3">
      <c r="A1745" s="1" t="s">
        <v>264</v>
      </c>
      <c r="B1745" s="1" t="s">
        <v>5203</v>
      </c>
      <c r="C1745" s="1" t="s">
        <v>5216</v>
      </c>
      <c r="D1745" s="1">
        <v>2021</v>
      </c>
      <c r="E1745" s="1" t="str">
        <f t="shared" si="6"/>
        <v>30083008 BLUE HDI 130 EAT8 1.5 AUT2021</v>
      </c>
      <c r="F1745" s="1" t="s">
        <v>616</v>
      </c>
      <c r="G1745" s="1">
        <v>15990000</v>
      </c>
      <c r="H1745" s="1">
        <v>15189938</v>
      </c>
    </row>
    <row r="1746" spans="1:8" ht="13.5" customHeight="1" x14ac:dyDescent="0.3">
      <c r="A1746" s="1" t="s">
        <v>264</v>
      </c>
      <c r="B1746" s="1" t="s">
        <v>5203</v>
      </c>
      <c r="C1746" s="1" t="s">
        <v>5216</v>
      </c>
      <c r="D1746" s="1">
        <v>2021</v>
      </c>
      <c r="E1746" s="1" t="str">
        <f t="shared" si="6"/>
        <v>30083008 BLUE HDI 130 EAT8 1.5 AUT2021</v>
      </c>
      <c r="F1746" s="1" t="s">
        <v>1319</v>
      </c>
      <c r="G1746" s="1">
        <v>19590000</v>
      </c>
      <c r="H1746" s="1">
        <v>16000000</v>
      </c>
    </row>
    <row r="1747" spans="1:8" ht="13.5" customHeight="1" x14ac:dyDescent="0.3">
      <c r="A1747" s="1" t="s">
        <v>264</v>
      </c>
      <c r="B1747" s="1" t="s">
        <v>5203</v>
      </c>
      <c r="C1747" s="1" t="s">
        <v>5216</v>
      </c>
      <c r="D1747" s="1">
        <v>2022</v>
      </c>
      <c r="E1747" s="1" t="str">
        <f t="shared" si="6"/>
        <v>30083008 BLUE HDI 130 EAT8 1.5 AUT2022</v>
      </c>
      <c r="F1747" s="1" t="s">
        <v>943</v>
      </c>
      <c r="G1747" s="1">
        <v>22990000</v>
      </c>
      <c r="H1747" s="1">
        <v>22409620</v>
      </c>
    </row>
    <row r="1748" spans="1:8" ht="13.5" customHeight="1" x14ac:dyDescent="0.3">
      <c r="A1748" s="1" t="s">
        <v>264</v>
      </c>
      <c r="B1748" s="1" t="s">
        <v>5203</v>
      </c>
      <c r="C1748" s="1" t="s">
        <v>5216</v>
      </c>
      <c r="D1748" s="1">
        <v>2023</v>
      </c>
      <c r="E1748" s="1" t="str">
        <f t="shared" si="6"/>
        <v>30083008 BLUE HDI 130 EAT8 1.5 AUT2023</v>
      </c>
      <c r="F1748" s="1" t="s">
        <v>1209</v>
      </c>
      <c r="G1748" s="1">
        <v>24050000</v>
      </c>
      <c r="H1748" s="1">
        <v>21000000</v>
      </c>
    </row>
    <row r="1749" spans="1:8" ht="13.5" customHeight="1" x14ac:dyDescent="0.3">
      <c r="A1749" s="1" t="s">
        <v>264</v>
      </c>
      <c r="B1749" s="1" t="s">
        <v>5203</v>
      </c>
      <c r="C1749" s="1" t="s">
        <v>5216</v>
      </c>
      <c r="D1749" s="1">
        <v>2023</v>
      </c>
      <c r="E1749" s="1" t="str">
        <f t="shared" si="6"/>
        <v>30083008 BLUE HDI 130 EAT8 1.5 AUT2023</v>
      </c>
      <c r="F1749" s="1" t="s">
        <v>5217</v>
      </c>
      <c r="G1749" s="1">
        <v>27500000</v>
      </c>
      <c r="H1749" s="1">
        <v>26675000</v>
      </c>
    </row>
    <row r="1750" spans="1:8" ht="13.5" customHeight="1" x14ac:dyDescent="0.3">
      <c r="A1750" s="1" t="s">
        <v>264</v>
      </c>
      <c r="B1750" s="1" t="s">
        <v>5203</v>
      </c>
      <c r="C1750" s="1" t="s">
        <v>5216</v>
      </c>
      <c r="D1750" s="1">
        <v>2023</v>
      </c>
      <c r="E1750" s="1" t="str">
        <f t="shared" si="6"/>
        <v>30083008 BLUE HDI 130 EAT8 1.5 AUT2023</v>
      </c>
      <c r="F1750" s="1" t="s">
        <v>431</v>
      </c>
      <c r="G1750" s="1">
        <v>20990000</v>
      </c>
      <c r="H1750" s="1">
        <v>17500000</v>
      </c>
    </row>
    <row r="1751" spans="1:8" ht="13.5" customHeight="1" x14ac:dyDescent="0.3">
      <c r="A1751" s="1" t="s">
        <v>264</v>
      </c>
      <c r="B1751" s="1" t="s">
        <v>5203</v>
      </c>
      <c r="C1751" s="1" t="s">
        <v>5216</v>
      </c>
      <c r="D1751" s="1">
        <v>2023</v>
      </c>
      <c r="E1751" s="1" t="str">
        <f t="shared" si="6"/>
        <v>30083008 BLUE HDI 130 EAT8 1.5 AUT2023</v>
      </c>
      <c r="F1751" s="1" t="s">
        <v>1714</v>
      </c>
      <c r="G1751" s="1">
        <v>17430030</v>
      </c>
      <c r="H1751" s="1">
        <v>17000000</v>
      </c>
    </row>
    <row r="1752" spans="1:8" ht="13.5" customHeight="1" x14ac:dyDescent="0.3">
      <c r="A1752" s="1" t="s">
        <v>264</v>
      </c>
      <c r="B1752" s="1" t="s">
        <v>5203</v>
      </c>
      <c r="C1752" s="1" t="s">
        <v>5216</v>
      </c>
      <c r="D1752" s="1">
        <v>2024</v>
      </c>
      <c r="E1752" s="1" t="str">
        <f t="shared" si="6"/>
        <v>30083008 BLUE HDI 130 EAT8 1.5 AUT2024</v>
      </c>
      <c r="F1752" s="1" t="s">
        <v>519</v>
      </c>
      <c r="G1752" s="1">
        <v>23890000</v>
      </c>
      <c r="H1752" s="1">
        <v>19200000</v>
      </c>
    </row>
    <row r="1753" spans="1:8" ht="13.5" customHeight="1" x14ac:dyDescent="0.3">
      <c r="A1753" s="1" t="s">
        <v>264</v>
      </c>
      <c r="B1753" s="1" t="s">
        <v>5203</v>
      </c>
      <c r="C1753" s="1" t="s">
        <v>276</v>
      </c>
      <c r="D1753" s="1">
        <v>2019</v>
      </c>
      <c r="E1753" s="1" t="str">
        <f t="shared" si="6"/>
        <v>30083008 BLUE HDI HP 1.5 AUT2019</v>
      </c>
      <c r="F1753" s="1" t="s">
        <v>1622</v>
      </c>
      <c r="G1753" s="1">
        <v>13977150</v>
      </c>
      <c r="H1753" s="1">
        <v>11983193</v>
      </c>
    </row>
    <row r="1754" spans="1:8" ht="13.5" customHeight="1" x14ac:dyDescent="0.3">
      <c r="A1754" s="1" t="s">
        <v>264</v>
      </c>
      <c r="B1754" s="1" t="s">
        <v>5203</v>
      </c>
      <c r="C1754" s="1" t="s">
        <v>276</v>
      </c>
      <c r="D1754" s="1">
        <v>2019</v>
      </c>
      <c r="E1754" s="1" t="str">
        <f t="shared" si="6"/>
        <v>30083008 BLUE HDI HP 1.5 AUT2019</v>
      </c>
      <c r="F1754" s="1" t="s">
        <v>746</v>
      </c>
      <c r="G1754" s="1">
        <v>14000000</v>
      </c>
      <c r="H1754" s="1">
        <v>12071500</v>
      </c>
    </row>
    <row r="1755" spans="1:8" ht="13.5" customHeight="1" x14ac:dyDescent="0.3">
      <c r="A1755" s="1" t="s">
        <v>264</v>
      </c>
      <c r="B1755" s="1" t="s">
        <v>5203</v>
      </c>
      <c r="C1755" s="1" t="s">
        <v>276</v>
      </c>
      <c r="D1755" s="1">
        <v>2020</v>
      </c>
      <c r="E1755" s="1" t="str">
        <f t="shared" si="6"/>
        <v>30083008 BLUE HDI HP 1.5 AUT2020</v>
      </c>
      <c r="F1755" s="1" t="s">
        <v>277</v>
      </c>
      <c r="G1755" s="1">
        <v>14990000</v>
      </c>
      <c r="H1755" s="1">
        <v>19904201</v>
      </c>
    </row>
    <row r="1756" spans="1:8" ht="13.5" customHeight="1" x14ac:dyDescent="0.3">
      <c r="A1756" s="1" t="s">
        <v>264</v>
      </c>
      <c r="B1756" s="1" t="s">
        <v>5203</v>
      </c>
      <c r="C1756" s="1" t="s">
        <v>5218</v>
      </c>
      <c r="D1756" s="1">
        <v>2020</v>
      </c>
      <c r="E1756" s="1" t="str">
        <f t="shared" si="6"/>
        <v>30083008 BLUEHDI2020</v>
      </c>
      <c r="F1756" s="1" t="s">
        <v>2199</v>
      </c>
      <c r="G1756" s="1">
        <v>18890000</v>
      </c>
      <c r="H1756" s="1">
        <v>16000000</v>
      </c>
    </row>
    <row r="1757" spans="1:8" ht="13.5" customHeight="1" x14ac:dyDescent="0.3">
      <c r="A1757" s="1" t="s">
        <v>264</v>
      </c>
      <c r="B1757" s="1" t="s">
        <v>5203</v>
      </c>
      <c r="C1757" s="1" t="s">
        <v>5219</v>
      </c>
      <c r="D1757" s="1">
        <v>2025</v>
      </c>
      <c r="E1757" s="1" t="str">
        <f t="shared" si="6"/>
        <v>30083008 GT 1.2 AUT2025</v>
      </c>
      <c r="F1757" s="1" t="s">
        <v>702</v>
      </c>
      <c r="G1757" s="1">
        <v>27990000</v>
      </c>
      <c r="H1757" s="1">
        <v>28199795</v>
      </c>
    </row>
    <row r="1758" spans="1:8" ht="13.5" customHeight="1" x14ac:dyDescent="0.3">
      <c r="A1758" s="1" t="s">
        <v>264</v>
      </c>
      <c r="B1758" s="1" t="s">
        <v>5203</v>
      </c>
      <c r="C1758" s="1" t="s">
        <v>5220</v>
      </c>
      <c r="D1758" s="1">
        <v>2019</v>
      </c>
      <c r="E1758" s="1" t="str">
        <f t="shared" si="6"/>
        <v>30083008 GT BLUEHDI 2.0 AUT2019</v>
      </c>
      <c r="G1758" s="1">
        <v>16290000</v>
      </c>
      <c r="H1758" s="1">
        <v>0</v>
      </c>
    </row>
    <row r="1759" spans="1:8" ht="13.5" customHeight="1" x14ac:dyDescent="0.3">
      <c r="A1759" s="1" t="s">
        <v>264</v>
      </c>
      <c r="B1759" s="1" t="s">
        <v>5203</v>
      </c>
      <c r="C1759" s="1" t="s">
        <v>5220</v>
      </c>
      <c r="D1759" s="1">
        <v>2019</v>
      </c>
      <c r="E1759" s="1" t="str">
        <f t="shared" si="6"/>
        <v>30083008 GT BLUEHDI 2.0 AUT2019</v>
      </c>
      <c r="F1759" s="1" t="s">
        <v>1840</v>
      </c>
      <c r="G1759" s="1">
        <v>16290000</v>
      </c>
      <c r="H1759" s="1">
        <v>14394958</v>
      </c>
    </row>
    <row r="1760" spans="1:8" ht="13.5" customHeight="1" x14ac:dyDescent="0.3">
      <c r="A1760" s="1" t="s">
        <v>264</v>
      </c>
      <c r="B1760" s="1" t="s">
        <v>5203</v>
      </c>
      <c r="C1760" s="1" t="s">
        <v>5221</v>
      </c>
      <c r="D1760" s="1">
        <v>2018</v>
      </c>
      <c r="E1760" s="1" t="str">
        <f t="shared" si="6"/>
        <v>30083008 GT LINE 1.62018</v>
      </c>
      <c r="F1760" s="1" t="s">
        <v>1851</v>
      </c>
      <c r="G1760" s="1">
        <v>16190000</v>
      </c>
      <c r="H1760" s="1">
        <v>13000000</v>
      </c>
    </row>
    <row r="1761" spans="1:8" ht="13.5" customHeight="1" x14ac:dyDescent="0.3">
      <c r="A1761" s="1" t="s">
        <v>264</v>
      </c>
      <c r="B1761" s="1" t="s">
        <v>5203</v>
      </c>
      <c r="C1761" s="1" t="s">
        <v>5222</v>
      </c>
      <c r="D1761" s="1">
        <v>2019</v>
      </c>
      <c r="E1761" s="1" t="str">
        <f t="shared" si="6"/>
        <v>30083008 GT LINE 1.6 AT2019</v>
      </c>
      <c r="F1761" s="1" t="s">
        <v>2047</v>
      </c>
      <c r="G1761" s="1">
        <v>18990000</v>
      </c>
      <c r="H1761" s="1">
        <v>16300000</v>
      </c>
    </row>
    <row r="1762" spans="1:8" ht="13.5" customHeight="1" x14ac:dyDescent="0.3">
      <c r="A1762" s="1" t="s">
        <v>264</v>
      </c>
      <c r="B1762" s="1" t="s">
        <v>5203</v>
      </c>
      <c r="C1762" s="1" t="s">
        <v>5223</v>
      </c>
      <c r="D1762" s="1">
        <v>2019</v>
      </c>
      <c r="E1762" s="1" t="str">
        <f t="shared" si="6"/>
        <v>30083008 GT LINE BLUEHDI 1.5 AUT2019</v>
      </c>
      <c r="F1762" s="1" t="s">
        <v>1826</v>
      </c>
      <c r="G1762" s="1">
        <v>17090000</v>
      </c>
      <c r="H1762" s="1">
        <v>14500000</v>
      </c>
    </row>
    <row r="1763" spans="1:8" ht="13.5" customHeight="1" x14ac:dyDescent="0.3">
      <c r="A1763" s="1" t="s">
        <v>264</v>
      </c>
      <c r="B1763" s="1" t="s">
        <v>5203</v>
      </c>
      <c r="C1763" s="1" t="s">
        <v>278</v>
      </c>
      <c r="D1763" s="1">
        <v>2021</v>
      </c>
      <c r="E1763" s="1" t="str">
        <f t="shared" si="6"/>
        <v>30083008 PURETECH 1.2L2021</v>
      </c>
      <c r="F1763" s="1" t="s">
        <v>643</v>
      </c>
      <c r="G1763" s="1">
        <v>11090000</v>
      </c>
      <c r="H1763" s="1">
        <v>9300000</v>
      </c>
    </row>
    <row r="1764" spans="1:8" ht="13.5" customHeight="1" x14ac:dyDescent="0.3">
      <c r="A1764" s="1" t="s">
        <v>264</v>
      </c>
      <c r="B1764" s="1" t="s">
        <v>5203</v>
      </c>
      <c r="C1764" s="1" t="s">
        <v>278</v>
      </c>
      <c r="D1764" s="1">
        <v>2021</v>
      </c>
      <c r="E1764" s="1" t="str">
        <f t="shared" si="6"/>
        <v>30083008 PURETECH 1.2L2021</v>
      </c>
      <c r="F1764" s="1" t="s">
        <v>1651</v>
      </c>
      <c r="G1764" s="1">
        <v>14990000</v>
      </c>
      <c r="H1764" s="1">
        <v>12500000</v>
      </c>
    </row>
    <row r="1765" spans="1:8" ht="13.5" customHeight="1" x14ac:dyDescent="0.3">
      <c r="A1765" s="1" t="s">
        <v>264</v>
      </c>
      <c r="B1765" s="1" t="s">
        <v>5203</v>
      </c>
      <c r="C1765" s="1" t="s">
        <v>278</v>
      </c>
      <c r="D1765" s="1">
        <v>2021</v>
      </c>
      <c r="E1765" s="1" t="str">
        <f t="shared" si="6"/>
        <v>30083008 PURETECH 1.2L2021</v>
      </c>
      <c r="F1765" s="1" t="s">
        <v>927</v>
      </c>
      <c r="G1765" s="1">
        <v>12690000</v>
      </c>
      <c r="H1765" s="1">
        <v>10700000</v>
      </c>
    </row>
    <row r="1766" spans="1:8" ht="13.5" customHeight="1" x14ac:dyDescent="0.3">
      <c r="A1766" s="1" t="s">
        <v>264</v>
      </c>
      <c r="B1766" s="1" t="s">
        <v>5203</v>
      </c>
      <c r="C1766" s="1" t="s">
        <v>278</v>
      </c>
      <c r="D1766" s="1">
        <v>2022</v>
      </c>
      <c r="E1766" s="1" t="str">
        <f t="shared" si="6"/>
        <v>30083008 PURETECH 1.2L2022</v>
      </c>
      <c r="F1766" s="1" t="s">
        <v>1282</v>
      </c>
      <c r="G1766" s="1">
        <v>14290000</v>
      </c>
      <c r="H1766" s="1">
        <v>13500000</v>
      </c>
    </row>
    <row r="1767" spans="1:8" ht="13.5" customHeight="1" x14ac:dyDescent="0.3">
      <c r="A1767" s="1" t="s">
        <v>264</v>
      </c>
      <c r="B1767" s="1" t="s">
        <v>5203</v>
      </c>
      <c r="C1767" s="1" t="s">
        <v>278</v>
      </c>
      <c r="D1767" s="1">
        <v>2022</v>
      </c>
      <c r="E1767" s="1" t="str">
        <f t="shared" si="6"/>
        <v>30083008 PURETECH 1.2L2022</v>
      </c>
      <c r="F1767" s="1" t="s">
        <v>2187</v>
      </c>
      <c r="G1767" s="1">
        <v>17490000</v>
      </c>
      <c r="H1767" s="1">
        <v>16800000</v>
      </c>
    </row>
    <row r="1768" spans="1:8" ht="13.5" customHeight="1" x14ac:dyDescent="0.3">
      <c r="A1768" s="1" t="s">
        <v>264</v>
      </c>
      <c r="B1768" s="1" t="s">
        <v>5203</v>
      </c>
      <c r="C1768" s="1" t="s">
        <v>278</v>
      </c>
      <c r="D1768" s="1">
        <v>2022</v>
      </c>
      <c r="E1768" s="1" t="str">
        <f t="shared" si="6"/>
        <v>30083008 PURETECH 1.2L2022</v>
      </c>
      <c r="F1768" s="1" t="s">
        <v>1270</v>
      </c>
      <c r="G1768" s="1">
        <v>11390000</v>
      </c>
      <c r="H1768" s="1">
        <v>13100000</v>
      </c>
    </row>
    <row r="1769" spans="1:8" ht="13.5" customHeight="1" x14ac:dyDescent="0.3">
      <c r="A1769" s="1" t="s">
        <v>264</v>
      </c>
      <c r="B1769" s="1" t="s">
        <v>5203</v>
      </c>
      <c r="C1769" s="1" t="s">
        <v>5224</v>
      </c>
      <c r="D1769" s="1">
        <v>2021</v>
      </c>
      <c r="E1769" s="1" t="str">
        <f t="shared" si="6"/>
        <v>30083008 PURETECH 180 EAT8 1.6 AUT2021</v>
      </c>
      <c r="F1769" s="1" t="s">
        <v>1181</v>
      </c>
      <c r="G1769" s="1">
        <v>18990000</v>
      </c>
      <c r="H1769" s="1">
        <v>16200000</v>
      </c>
    </row>
    <row r="1770" spans="1:8" ht="13.5" customHeight="1" x14ac:dyDescent="0.3">
      <c r="A1770" s="1" t="s">
        <v>264</v>
      </c>
      <c r="B1770" s="1" t="s">
        <v>5203</v>
      </c>
      <c r="C1770" s="1" t="s">
        <v>5224</v>
      </c>
      <c r="D1770" s="1">
        <v>2022</v>
      </c>
      <c r="E1770" s="1" t="str">
        <f t="shared" si="6"/>
        <v>30083008 PURETECH 180 EAT8 1.6 AUT2022</v>
      </c>
      <c r="F1770" s="1" t="s">
        <v>785</v>
      </c>
      <c r="G1770" s="1">
        <v>16890000</v>
      </c>
      <c r="H1770" s="1">
        <v>16300000</v>
      </c>
    </row>
    <row r="1771" spans="1:8" ht="13.5" customHeight="1" x14ac:dyDescent="0.3">
      <c r="A1771" s="1" t="s">
        <v>264</v>
      </c>
      <c r="B1771" s="1" t="s">
        <v>5203</v>
      </c>
      <c r="C1771" s="1" t="s">
        <v>5224</v>
      </c>
      <c r="D1771" s="1">
        <v>2022</v>
      </c>
      <c r="E1771" s="1" t="str">
        <f t="shared" si="6"/>
        <v>30083008 PURETECH 180 EAT8 1.6 AUT2022</v>
      </c>
      <c r="F1771" s="1" t="s">
        <v>1255</v>
      </c>
      <c r="G1771" s="1">
        <v>20990000</v>
      </c>
      <c r="H1771" s="1">
        <v>18600000</v>
      </c>
    </row>
    <row r="1772" spans="1:8" ht="13.5" customHeight="1" x14ac:dyDescent="0.3">
      <c r="A1772" s="1" t="s">
        <v>264</v>
      </c>
      <c r="B1772" s="1" t="s">
        <v>5203</v>
      </c>
      <c r="C1772" s="1" t="s">
        <v>282</v>
      </c>
      <c r="D1772" s="1">
        <v>2021</v>
      </c>
      <c r="E1772" s="1" t="str">
        <f t="shared" si="6"/>
        <v>30083008 THP 165HP 1.6 AUT2021</v>
      </c>
      <c r="F1772" s="1" t="s">
        <v>1206</v>
      </c>
      <c r="G1772" s="1">
        <v>15990000</v>
      </c>
      <c r="H1772" s="1">
        <v>13500000</v>
      </c>
    </row>
    <row r="1773" spans="1:8" ht="13.5" customHeight="1" x14ac:dyDescent="0.3">
      <c r="A1773" s="1" t="s">
        <v>264</v>
      </c>
      <c r="B1773" s="1" t="s">
        <v>5203</v>
      </c>
      <c r="C1773" s="1" t="s">
        <v>282</v>
      </c>
      <c r="D1773" s="1">
        <v>2021</v>
      </c>
      <c r="E1773" s="1" t="str">
        <f t="shared" si="6"/>
        <v>30083008 THP 165HP 1.6 AUT2021</v>
      </c>
      <c r="F1773" s="1" t="s">
        <v>1298</v>
      </c>
      <c r="G1773" s="1">
        <v>16328310</v>
      </c>
      <c r="H1773" s="1">
        <v>14000000</v>
      </c>
    </row>
    <row r="1774" spans="1:8" ht="13.5" customHeight="1" x14ac:dyDescent="0.3">
      <c r="A1774" s="1" t="s">
        <v>264</v>
      </c>
      <c r="B1774" s="1" t="s">
        <v>5203</v>
      </c>
      <c r="C1774" s="1" t="s">
        <v>282</v>
      </c>
      <c r="D1774" s="1">
        <v>2021</v>
      </c>
      <c r="E1774" s="1" t="str">
        <f t="shared" si="6"/>
        <v>30083008 THP 165HP 1.6 AUT2021</v>
      </c>
      <c r="F1774" s="1" t="s">
        <v>1436</v>
      </c>
      <c r="G1774" s="1">
        <v>16954620</v>
      </c>
      <c r="H1774" s="1">
        <v>14700000</v>
      </c>
    </row>
    <row r="1775" spans="1:8" ht="13.5" customHeight="1" x14ac:dyDescent="0.3">
      <c r="A1775" s="1" t="s">
        <v>264</v>
      </c>
      <c r="B1775" s="1" t="s">
        <v>5203</v>
      </c>
      <c r="C1775" s="1" t="s">
        <v>282</v>
      </c>
      <c r="D1775" s="1">
        <v>2021</v>
      </c>
      <c r="E1775" s="1" t="str">
        <f t="shared" si="6"/>
        <v>30083008 THP 165HP 1.6 AUT2021</v>
      </c>
      <c r="F1775" s="1" t="s">
        <v>1057</v>
      </c>
      <c r="G1775" s="1">
        <v>15890000</v>
      </c>
      <c r="H1775" s="1">
        <v>13500000</v>
      </c>
    </row>
    <row r="1776" spans="1:8" ht="13.5" customHeight="1" x14ac:dyDescent="0.3">
      <c r="A1776" s="1" t="s">
        <v>264</v>
      </c>
      <c r="B1776" s="1" t="s">
        <v>5203</v>
      </c>
      <c r="C1776" s="1" t="s">
        <v>282</v>
      </c>
      <c r="D1776" s="1">
        <v>2022</v>
      </c>
      <c r="E1776" s="1" t="str">
        <f t="shared" si="6"/>
        <v>30083008 THP 165HP 1.6 AUT2022</v>
      </c>
      <c r="F1776" s="1" t="s">
        <v>846</v>
      </c>
      <c r="G1776" s="1">
        <v>15190000</v>
      </c>
      <c r="H1776" s="1">
        <v>12500000</v>
      </c>
    </row>
    <row r="1777" spans="1:8" ht="13.5" customHeight="1" x14ac:dyDescent="0.3">
      <c r="A1777" s="1" t="s">
        <v>264</v>
      </c>
      <c r="B1777" s="1" t="s">
        <v>5203</v>
      </c>
      <c r="C1777" s="1" t="s">
        <v>282</v>
      </c>
      <c r="D1777" s="1">
        <v>2023</v>
      </c>
      <c r="E1777" s="1" t="str">
        <f t="shared" si="6"/>
        <v>30083008 THP 165HP 1.6 AUT2023</v>
      </c>
      <c r="F1777" s="1" t="s">
        <v>283</v>
      </c>
      <c r="G1777" s="1">
        <v>20241150</v>
      </c>
      <c r="H1777" s="1">
        <v>17600000</v>
      </c>
    </row>
    <row r="1778" spans="1:8" ht="13.5" customHeight="1" x14ac:dyDescent="0.3">
      <c r="A1778" s="1" t="s">
        <v>264</v>
      </c>
      <c r="B1778" s="1" t="s">
        <v>5203</v>
      </c>
      <c r="C1778" s="1" t="s">
        <v>282</v>
      </c>
      <c r="D1778" s="1">
        <v>2023</v>
      </c>
      <c r="E1778" s="1" t="str">
        <f t="shared" si="6"/>
        <v>30083008 THP 165HP 1.6 AUT2023</v>
      </c>
      <c r="F1778" s="1" t="s">
        <v>766</v>
      </c>
      <c r="G1778" s="1">
        <v>18990000</v>
      </c>
      <c r="H1778" s="1">
        <v>17000000</v>
      </c>
    </row>
    <row r="1779" spans="1:8" ht="13.5" customHeight="1" x14ac:dyDescent="0.3">
      <c r="A1779" s="1" t="s">
        <v>264</v>
      </c>
      <c r="B1779" s="1" t="s">
        <v>5203</v>
      </c>
      <c r="C1779" s="1" t="s">
        <v>282</v>
      </c>
      <c r="D1779" s="1">
        <v>2024</v>
      </c>
      <c r="E1779" s="1" t="str">
        <f t="shared" si="6"/>
        <v>30083008 THP 165HP 1.6 AUT2024</v>
      </c>
      <c r="F1779" s="1" t="s">
        <v>933</v>
      </c>
      <c r="G1779" s="1">
        <v>19990000</v>
      </c>
      <c r="H1779" s="1">
        <v>18500000</v>
      </c>
    </row>
    <row r="1780" spans="1:8" ht="13.5" customHeight="1" x14ac:dyDescent="0.3">
      <c r="A1780" s="1" t="s">
        <v>264</v>
      </c>
      <c r="B1780" s="1" t="s">
        <v>5203</v>
      </c>
      <c r="C1780" s="1" t="s">
        <v>282</v>
      </c>
      <c r="D1780" s="1">
        <v>2024</v>
      </c>
      <c r="E1780" s="1" t="str">
        <f t="shared" si="6"/>
        <v>30083008 THP 165HP 1.6 AUT2024</v>
      </c>
      <c r="F1780" s="1" t="s">
        <v>1207</v>
      </c>
      <c r="G1780" s="1">
        <v>23690000</v>
      </c>
      <c r="H1780" s="1">
        <v>20300000</v>
      </c>
    </row>
    <row r="1781" spans="1:8" ht="13.5" customHeight="1" x14ac:dyDescent="0.3">
      <c r="A1781" s="1" t="s">
        <v>264</v>
      </c>
      <c r="B1781" s="1" t="s">
        <v>5225</v>
      </c>
      <c r="C1781" s="1" t="s">
        <v>5226</v>
      </c>
      <c r="D1781" s="1">
        <v>2022</v>
      </c>
      <c r="E1781" s="1" t="str">
        <f t="shared" si="6"/>
        <v>301301 HDI 92HP 1.62022</v>
      </c>
      <c r="F1781" s="1" t="s">
        <v>1603</v>
      </c>
      <c r="G1781" s="1">
        <v>10190000</v>
      </c>
      <c r="H1781" s="1">
        <v>8500000</v>
      </c>
    </row>
    <row r="1782" spans="1:8" ht="13.5" customHeight="1" x14ac:dyDescent="0.3">
      <c r="A1782" s="1" t="s">
        <v>264</v>
      </c>
      <c r="B1782" s="1" t="s">
        <v>5227</v>
      </c>
      <c r="C1782" s="1" t="s">
        <v>5228</v>
      </c>
      <c r="D1782" s="1">
        <v>2015</v>
      </c>
      <c r="E1782" s="1" t="str">
        <f t="shared" si="6"/>
        <v>308308 ALLURE 1.2 AT2015</v>
      </c>
      <c r="F1782" s="1" t="s">
        <v>1810</v>
      </c>
      <c r="G1782" s="1">
        <v>6990000</v>
      </c>
      <c r="H1782" s="1">
        <v>4600000</v>
      </c>
    </row>
    <row r="1783" spans="1:8" ht="13.5" customHeight="1" x14ac:dyDescent="0.3">
      <c r="A1783" s="1" t="s">
        <v>264</v>
      </c>
      <c r="B1783" s="1" t="s">
        <v>5227</v>
      </c>
      <c r="C1783" s="1" t="s">
        <v>5229</v>
      </c>
      <c r="D1783" s="1">
        <v>2019</v>
      </c>
      <c r="E1783" s="1" t="str">
        <f t="shared" si="6"/>
        <v>308308 ALLURE 1.62019</v>
      </c>
      <c r="F1783" s="1" t="s">
        <v>1265</v>
      </c>
      <c r="G1783" s="1">
        <v>11990000</v>
      </c>
      <c r="H1783" s="1">
        <v>11000000</v>
      </c>
    </row>
    <row r="1784" spans="1:8" ht="13.5" customHeight="1" x14ac:dyDescent="0.3">
      <c r="A1784" s="1" t="s">
        <v>264</v>
      </c>
      <c r="B1784" s="1" t="s">
        <v>5227</v>
      </c>
      <c r="C1784" s="1" t="s">
        <v>5230</v>
      </c>
      <c r="D1784" s="1">
        <v>2018</v>
      </c>
      <c r="E1784" s="1" t="str">
        <f t="shared" si="6"/>
        <v>308308 ALLURE BLUE HDI 1.62018</v>
      </c>
      <c r="F1784" s="1" t="s">
        <v>1899</v>
      </c>
      <c r="G1784" s="1">
        <v>11690000</v>
      </c>
      <c r="H1784" s="1">
        <v>9000000</v>
      </c>
    </row>
    <row r="1785" spans="1:8" ht="13.5" customHeight="1" x14ac:dyDescent="0.3">
      <c r="A1785" s="1" t="s">
        <v>264</v>
      </c>
      <c r="B1785" s="1" t="s">
        <v>5227</v>
      </c>
      <c r="C1785" s="1" t="s">
        <v>5231</v>
      </c>
      <c r="D1785" s="1">
        <v>2021</v>
      </c>
      <c r="E1785" s="1" t="str">
        <f t="shared" si="6"/>
        <v>308308 BLUE HDI 130 1.52021</v>
      </c>
      <c r="F1785" s="1" t="s">
        <v>2509</v>
      </c>
      <c r="G1785" s="1">
        <v>16990000</v>
      </c>
      <c r="H1785" s="1">
        <v>15500000</v>
      </c>
    </row>
    <row r="1786" spans="1:8" ht="13.5" customHeight="1" x14ac:dyDescent="0.3">
      <c r="A1786" s="1" t="s">
        <v>264</v>
      </c>
      <c r="B1786" s="1" t="s">
        <v>5227</v>
      </c>
      <c r="C1786" s="1" t="s">
        <v>5232</v>
      </c>
      <c r="D1786" s="1">
        <v>2022</v>
      </c>
      <c r="E1786" s="1" t="str">
        <f t="shared" si="6"/>
        <v>308308 BLUEHDI 1.5 AUT2022</v>
      </c>
      <c r="F1786" s="1" t="s">
        <v>2148</v>
      </c>
      <c r="G1786" s="1">
        <v>20790000</v>
      </c>
      <c r="H1786" s="1">
        <v>17500000</v>
      </c>
    </row>
    <row r="1787" spans="1:8" ht="13.5" customHeight="1" x14ac:dyDescent="0.3">
      <c r="A1787" s="1" t="s">
        <v>264</v>
      </c>
      <c r="B1787" s="1" t="s">
        <v>5227</v>
      </c>
      <c r="C1787" s="1" t="s">
        <v>5232</v>
      </c>
      <c r="D1787" s="1">
        <v>2023</v>
      </c>
      <c r="E1787" s="1" t="str">
        <f t="shared" si="6"/>
        <v>308308 BLUEHDI 1.5 AUT2023</v>
      </c>
      <c r="F1787" s="1" t="s">
        <v>950</v>
      </c>
      <c r="G1787" s="1">
        <v>17348620</v>
      </c>
      <c r="H1787" s="1">
        <v>15000000</v>
      </c>
    </row>
    <row r="1788" spans="1:8" ht="13.5" customHeight="1" x14ac:dyDescent="0.3">
      <c r="A1788" s="1" t="s">
        <v>264</v>
      </c>
      <c r="B1788" s="1" t="s">
        <v>5227</v>
      </c>
      <c r="C1788" s="1" t="s">
        <v>5232</v>
      </c>
      <c r="D1788" s="1">
        <v>2023</v>
      </c>
      <c r="E1788" s="1" t="str">
        <f t="shared" ref="E1788:E2042" si="7">CONCATENATE(B1788,C1788,D1788)</f>
        <v>308308 BLUEHDI 1.5 AUT2023</v>
      </c>
      <c r="F1788" s="1" t="s">
        <v>1679</v>
      </c>
      <c r="G1788" s="1">
        <v>20190000</v>
      </c>
      <c r="H1788" s="1">
        <v>17300000</v>
      </c>
    </row>
    <row r="1789" spans="1:8" ht="13.5" customHeight="1" x14ac:dyDescent="0.3">
      <c r="A1789" s="1" t="s">
        <v>264</v>
      </c>
      <c r="B1789" s="1" t="s">
        <v>5227</v>
      </c>
      <c r="C1789" s="1" t="s">
        <v>5232</v>
      </c>
      <c r="D1789" s="1">
        <v>2024</v>
      </c>
      <c r="E1789" s="1" t="str">
        <f t="shared" si="7"/>
        <v>308308 BLUEHDI 1.5 AUT2024</v>
      </c>
      <c r="F1789" s="1" t="s">
        <v>763</v>
      </c>
      <c r="G1789" s="1">
        <v>19890000</v>
      </c>
      <c r="H1789" s="1">
        <v>17000000</v>
      </c>
    </row>
    <row r="1790" spans="1:8" ht="13.5" customHeight="1" x14ac:dyDescent="0.3">
      <c r="A1790" s="1" t="s">
        <v>264</v>
      </c>
      <c r="B1790" s="1" t="s">
        <v>5227</v>
      </c>
      <c r="C1790" s="1" t="s">
        <v>5233</v>
      </c>
      <c r="D1790" s="1">
        <v>2017</v>
      </c>
      <c r="E1790" s="1" t="str">
        <f t="shared" si="7"/>
        <v>308308 FELINE BLUE HDI 1.62017</v>
      </c>
      <c r="F1790" s="1" t="s">
        <v>2318</v>
      </c>
      <c r="G1790" s="1">
        <v>11890000</v>
      </c>
      <c r="H1790" s="1">
        <v>10000000</v>
      </c>
    </row>
    <row r="1791" spans="1:8" ht="13.5" customHeight="1" x14ac:dyDescent="0.3">
      <c r="A1791" s="1" t="s">
        <v>264</v>
      </c>
      <c r="B1791" s="1" t="s">
        <v>5227</v>
      </c>
      <c r="C1791" s="1" t="s">
        <v>5234</v>
      </c>
      <c r="D1791" s="1">
        <v>2020</v>
      </c>
      <c r="E1791" s="1" t="str">
        <f t="shared" si="7"/>
        <v>308308 FELINE BLUEHDI 1.5 AUT2020</v>
      </c>
      <c r="F1791" s="1" t="s">
        <v>2288</v>
      </c>
      <c r="G1791" s="1">
        <v>14640000</v>
      </c>
      <c r="H1791" s="1">
        <v>12800000</v>
      </c>
    </row>
    <row r="1792" spans="1:8" ht="13.5" customHeight="1" x14ac:dyDescent="0.3">
      <c r="A1792" s="1" t="s">
        <v>264</v>
      </c>
      <c r="B1792" s="1" t="s">
        <v>5227</v>
      </c>
      <c r="C1792" s="1" t="s">
        <v>5235</v>
      </c>
      <c r="D1792" s="1">
        <v>2022</v>
      </c>
      <c r="E1792" s="1" t="str">
        <f t="shared" si="7"/>
        <v>308308 PURETECH 1.2 AUT2022</v>
      </c>
      <c r="F1792" s="1" t="s">
        <v>1210</v>
      </c>
      <c r="G1792" s="1">
        <v>17000000</v>
      </c>
      <c r="H1792" s="1">
        <v>19500000</v>
      </c>
    </row>
    <row r="1793" spans="1:8" ht="13.5" customHeight="1" x14ac:dyDescent="0.3">
      <c r="A1793" s="1" t="s">
        <v>264</v>
      </c>
      <c r="B1793" s="1" t="s">
        <v>5227</v>
      </c>
      <c r="C1793" s="1" t="s">
        <v>5235</v>
      </c>
      <c r="D1793" s="1">
        <v>2023</v>
      </c>
      <c r="E1793" s="1" t="str">
        <f t="shared" si="7"/>
        <v>308308 PURETECH 1.2 AUT2023</v>
      </c>
      <c r="G1793" s="1">
        <v>12890000</v>
      </c>
      <c r="H1793" s="1">
        <v>0</v>
      </c>
    </row>
    <row r="1794" spans="1:8" ht="13.5" customHeight="1" x14ac:dyDescent="0.3">
      <c r="A1794" s="1" t="s">
        <v>264</v>
      </c>
      <c r="B1794" s="1" t="s">
        <v>5227</v>
      </c>
      <c r="C1794" s="1" t="s">
        <v>5235</v>
      </c>
      <c r="D1794" s="1">
        <v>2023</v>
      </c>
      <c r="E1794" s="1" t="str">
        <f t="shared" si="7"/>
        <v>308308 PURETECH 1.2 AUT2023</v>
      </c>
      <c r="F1794" s="1" t="s">
        <v>1263</v>
      </c>
      <c r="G1794" s="1">
        <v>12890000</v>
      </c>
      <c r="H1794" s="1">
        <v>15400000</v>
      </c>
    </row>
    <row r="1795" spans="1:8" ht="13.5" customHeight="1" x14ac:dyDescent="0.3">
      <c r="A1795" s="1" t="s">
        <v>264</v>
      </c>
      <c r="B1795" s="1" t="s">
        <v>5227</v>
      </c>
      <c r="C1795" s="1" t="s">
        <v>5235</v>
      </c>
      <c r="D1795" s="1">
        <v>2023</v>
      </c>
      <c r="E1795" s="1" t="str">
        <f t="shared" si="7"/>
        <v>308308 PURETECH 1.2 AUT2023</v>
      </c>
      <c r="F1795" s="1" t="s">
        <v>800</v>
      </c>
      <c r="G1795" s="1">
        <v>15990000</v>
      </c>
      <c r="H1795" s="1">
        <v>15100000</v>
      </c>
    </row>
    <row r="1796" spans="1:8" ht="13.5" customHeight="1" x14ac:dyDescent="0.3">
      <c r="A1796" s="1" t="s">
        <v>264</v>
      </c>
      <c r="B1796" s="1" t="s">
        <v>5227</v>
      </c>
      <c r="C1796" s="1" t="s">
        <v>5235</v>
      </c>
      <c r="D1796" s="1">
        <v>2024</v>
      </c>
      <c r="E1796" s="1" t="str">
        <f t="shared" si="7"/>
        <v>308308 PURETECH 1.2 AUT2024</v>
      </c>
      <c r="F1796" s="1" t="s">
        <v>1435</v>
      </c>
      <c r="G1796" s="1">
        <v>14050000</v>
      </c>
      <c r="H1796" s="1">
        <v>18000000</v>
      </c>
    </row>
    <row r="1797" spans="1:8" ht="13.5" customHeight="1" x14ac:dyDescent="0.3">
      <c r="A1797" s="1" t="s">
        <v>264</v>
      </c>
      <c r="B1797" s="1" t="s">
        <v>5227</v>
      </c>
      <c r="C1797" s="1" t="s">
        <v>5235</v>
      </c>
      <c r="D1797" s="1">
        <v>2024</v>
      </c>
      <c r="E1797" s="1" t="str">
        <f t="shared" si="7"/>
        <v>308308 PURETECH 1.2 AUT2024</v>
      </c>
      <c r="F1797" s="1" t="s">
        <v>1596</v>
      </c>
      <c r="G1797" s="1">
        <v>13890000</v>
      </c>
      <c r="H1797" s="1">
        <v>24723805</v>
      </c>
    </row>
    <row r="1798" spans="1:8" ht="13.5" customHeight="1" x14ac:dyDescent="0.3">
      <c r="A1798" s="1" t="s">
        <v>264</v>
      </c>
      <c r="B1798" s="1" t="s">
        <v>5227</v>
      </c>
      <c r="C1798" s="1" t="s">
        <v>5235</v>
      </c>
      <c r="D1798" s="1">
        <v>2024</v>
      </c>
      <c r="E1798" s="1" t="str">
        <f t="shared" si="7"/>
        <v>308308 PURETECH 1.2 AUT2024</v>
      </c>
      <c r="F1798" s="1" t="s">
        <v>1234</v>
      </c>
      <c r="G1798" s="1">
        <v>22990000</v>
      </c>
      <c r="H1798" s="1">
        <v>23539532</v>
      </c>
    </row>
    <row r="1799" spans="1:8" ht="13.5" customHeight="1" x14ac:dyDescent="0.3">
      <c r="A1799" s="1" t="s">
        <v>264</v>
      </c>
      <c r="B1799" s="1" t="s">
        <v>5227</v>
      </c>
      <c r="C1799" s="1" t="s">
        <v>5236</v>
      </c>
      <c r="D1799" s="1">
        <v>2021</v>
      </c>
      <c r="E1799" s="1" t="str">
        <f t="shared" si="7"/>
        <v>308308 PURETECH HB OTTO 1.22021</v>
      </c>
      <c r="F1799" s="1" t="s">
        <v>1267</v>
      </c>
      <c r="G1799" s="1">
        <v>19980000</v>
      </c>
      <c r="H1799" s="1">
        <v>20800000</v>
      </c>
    </row>
    <row r="1800" spans="1:8" ht="13.5" customHeight="1" x14ac:dyDescent="0.3">
      <c r="A1800" s="1" t="s">
        <v>264</v>
      </c>
      <c r="B1800" s="1" t="s">
        <v>5237</v>
      </c>
      <c r="C1800" s="1" t="s">
        <v>5238</v>
      </c>
      <c r="D1800" s="1">
        <v>2015</v>
      </c>
      <c r="E1800" s="1" t="str">
        <f t="shared" si="7"/>
        <v>40084008 FELINE 4WD 2.0 AT2015</v>
      </c>
      <c r="F1800" s="1" t="s">
        <v>1803</v>
      </c>
      <c r="G1800" s="1">
        <v>8000000</v>
      </c>
      <c r="H1800" s="1">
        <v>6500000</v>
      </c>
    </row>
    <row r="1801" spans="1:8" ht="13.5" customHeight="1" x14ac:dyDescent="0.3">
      <c r="A1801" s="1" t="s">
        <v>264</v>
      </c>
      <c r="B1801" s="1" t="s">
        <v>5239</v>
      </c>
      <c r="C1801" s="1" t="s">
        <v>5240</v>
      </c>
      <c r="D1801" s="1">
        <v>2020</v>
      </c>
      <c r="E1801" s="1" t="str">
        <f t="shared" si="7"/>
        <v>50085008 ACTIVE BLUEHDI 1.5 AUT2020</v>
      </c>
      <c r="F1801" s="1" t="s">
        <v>711</v>
      </c>
      <c r="G1801" s="1">
        <v>14890000</v>
      </c>
      <c r="H1801" s="1">
        <v>13450000</v>
      </c>
    </row>
    <row r="1802" spans="1:8" ht="13.5" customHeight="1" x14ac:dyDescent="0.3">
      <c r="A1802" s="1" t="s">
        <v>264</v>
      </c>
      <c r="B1802" s="1" t="s">
        <v>5239</v>
      </c>
      <c r="C1802" s="1" t="s">
        <v>5240</v>
      </c>
      <c r="D1802" s="1">
        <v>2020</v>
      </c>
      <c r="E1802" s="1" t="str">
        <f t="shared" si="7"/>
        <v>50085008 ACTIVE BLUEHDI 1.5 AUT2020</v>
      </c>
      <c r="F1802" s="1" t="s">
        <v>2110</v>
      </c>
      <c r="G1802" s="1">
        <v>19790000</v>
      </c>
      <c r="H1802" s="1">
        <v>16200000</v>
      </c>
    </row>
    <row r="1803" spans="1:8" ht="13.5" customHeight="1" x14ac:dyDescent="0.3">
      <c r="A1803" s="1" t="s">
        <v>264</v>
      </c>
      <c r="B1803" s="1" t="s">
        <v>5239</v>
      </c>
      <c r="C1803" s="1" t="s">
        <v>5241</v>
      </c>
      <c r="D1803" s="1">
        <v>2018</v>
      </c>
      <c r="E1803" s="1" t="str">
        <f t="shared" si="7"/>
        <v>50085008 ALLURE 1.62018</v>
      </c>
      <c r="F1803" s="1" t="s">
        <v>1333</v>
      </c>
      <c r="G1803" s="1">
        <v>13990000</v>
      </c>
      <c r="H1803" s="1">
        <v>10500000</v>
      </c>
    </row>
    <row r="1804" spans="1:8" ht="13.5" customHeight="1" x14ac:dyDescent="0.3">
      <c r="A1804" s="1" t="s">
        <v>264</v>
      </c>
      <c r="B1804" s="1" t="s">
        <v>5239</v>
      </c>
      <c r="C1804" s="1" t="s">
        <v>5242</v>
      </c>
      <c r="D1804" s="1">
        <v>2020</v>
      </c>
      <c r="E1804" s="1" t="str">
        <f t="shared" si="7"/>
        <v>50085008 ALLURE 1.6 AUT2020</v>
      </c>
      <c r="F1804" s="1" t="s">
        <v>1417</v>
      </c>
      <c r="G1804" s="1">
        <v>16990000</v>
      </c>
      <c r="H1804" s="1">
        <v>14500000</v>
      </c>
    </row>
    <row r="1805" spans="1:8" ht="13.5" customHeight="1" x14ac:dyDescent="0.3">
      <c r="A1805" s="1" t="s">
        <v>264</v>
      </c>
      <c r="B1805" s="1" t="s">
        <v>5239</v>
      </c>
      <c r="C1805" s="1" t="s">
        <v>5243</v>
      </c>
      <c r="D1805" s="1">
        <v>2019</v>
      </c>
      <c r="E1805" s="1" t="str">
        <f t="shared" si="7"/>
        <v>50085008 ALLURE BLUEHDI 1.5 AUT2019</v>
      </c>
      <c r="F1805" s="1" t="s">
        <v>1550</v>
      </c>
      <c r="G1805" s="1">
        <v>14990000</v>
      </c>
      <c r="H1805" s="1">
        <v>12400000</v>
      </c>
    </row>
    <row r="1806" spans="1:8" ht="13.5" customHeight="1" x14ac:dyDescent="0.3">
      <c r="A1806" s="1" t="s">
        <v>264</v>
      </c>
      <c r="B1806" s="1" t="s">
        <v>5239</v>
      </c>
      <c r="C1806" s="1" t="s">
        <v>5243</v>
      </c>
      <c r="D1806" s="1">
        <v>2019</v>
      </c>
      <c r="E1806" s="1" t="str">
        <f t="shared" si="7"/>
        <v>50085008 ALLURE BLUEHDI 1.5 AUT2019</v>
      </c>
      <c r="F1806" s="1" t="s">
        <v>1330</v>
      </c>
      <c r="G1806" s="1">
        <v>15890000</v>
      </c>
      <c r="H1806" s="1">
        <v>13500000</v>
      </c>
    </row>
    <row r="1807" spans="1:8" ht="13.5" customHeight="1" x14ac:dyDescent="0.3">
      <c r="A1807" s="1" t="s">
        <v>264</v>
      </c>
      <c r="B1807" s="1" t="s">
        <v>5239</v>
      </c>
      <c r="C1807" s="1" t="s">
        <v>5244</v>
      </c>
      <c r="D1807" s="1">
        <v>2018</v>
      </c>
      <c r="E1807" s="1" t="str">
        <f t="shared" si="7"/>
        <v>50085008 ALLURE BLUEHDI 2.02018</v>
      </c>
      <c r="F1807" s="1" t="s">
        <v>2201</v>
      </c>
      <c r="G1807" s="1">
        <v>15990000</v>
      </c>
      <c r="H1807" s="1">
        <v>13236000</v>
      </c>
    </row>
    <row r="1808" spans="1:8" ht="13.5" customHeight="1" x14ac:dyDescent="0.3">
      <c r="A1808" s="1" t="s">
        <v>264</v>
      </c>
      <c r="B1808" s="1" t="s">
        <v>5239</v>
      </c>
      <c r="C1808" s="1" t="s">
        <v>5245</v>
      </c>
      <c r="D1808" s="1">
        <v>2021</v>
      </c>
      <c r="E1808" s="1" t="str">
        <f t="shared" si="7"/>
        <v>50085008 BLUE HDI 1.5 AT2021</v>
      </c>
      <c r="F1808" s="1" t="s">
        <v>2481</v>
      </c>
      <c r="G1808" s="1">
        <v>20490000</v>
      </c>
      <c r="H1808" s="1">
        <v>21000000</v>
      </c>
    </row>
    <row r="1809" spans="1:8" ht="13.5" customHeight="1" x14ac:dyDescent="0.3">
      <c r="A1809" s="1" t="s">
        <v>264</v>
      </c>
      <c r="B1809" s="1" t="s">
        <v>5239</v>
      </c>
      <c r="C1809" s="1" t="s">
        <v>286</v>
      </c>
      <c r="D1809" s="1">
        <v>2021</v>
      </c>
      <c r="E1809" s="1" t="str">
        <f t="shared" si="7"/>
        <v>50085008 BLUEHDI 130 1.5 AUT2021</v>
      </c>
      <c r="F1809" s="1" t="s">
        <v>1000</v>
      </c>
      <c r="G1809" s="1">
        <v>17990000</v>
      </c>
      <c r="H1809" s="1">
        <v>16900000</v>
      </c>
    </row>
    <row r="1810" spans="1:8" ht="13.5" customHeight="1" x14ac:dyDescent="0.3">
      <c r="A1810" s="1" t="s">
        <v>264</v>
      </c>
      <c r="B1810" s="1" t="s">
        <v>5239</v>
      </c>
      <c r="C1810" s="1" t="s">
        <v>286</v>
      </c>
      <c r="D1810" s="1">
        <v>2022</v>
      </c>
      <c r="E1810" s="1" t="str">
        <f t="shared" si="7"/>
        <v>50085008 BLUEHDI 130 1.5 AUT2022</v>
      </c>
      <c r="F1810" s="1" t="s">
        <v>1767</v>
      </c>
      <c r="G1810" s="1">
        <v>20636150</v>
      </c>
      <c r="H1810" s="1">
        <v>18000000</v>
      </c>
    </row>
    <row r="1811" spans="1:8" ht="13.5" customHeight="1" x14ac:dyDescent="0.3">
      <c r="A1811" s="1" t="s">
        <v>264</v>
      </c>
      <c r="B1811" s="1" t="s">
        <v>5239</v>
      </c>
      <c r="C1811" s="1" t="s">
        <v>286</v>
      </c>
      <c r="D1811" s="1">
        <v>2022</v>
      </c>
      <c r="E1811" s="1" t="str">
        <f t="shared" si="7"/>
        <v>50085008 BLUEHDI 130 1.5 AUT2022</v>
      </c>
      <c r="F1811" s="1" t="s">
        <v>1531</v>
      </c>
      <c r="G1811" s="1">
        <v>21790000</v>
      </c>
      <c r="H1811" s="1">
        <v>19000000</v>
      </c>
    </row>
    <row r="1812" spans="1:8" ht="13.5" customHeight="1" x14ac:dyDescent="0.3">
      <c r="A1812" s="1" t="s">
        <v>264</v>
      </c>
      <c r="B1812" s="1" t="s">
        <v>5239</v>
      </c>
      <c r="C1812" s="1" t="s">
        <v>286</v>
      </c>
      <c r="D1812" s="1">
        <v>2022</v>
      </c>
      <c r="E1812" s="1" t="str">
        <f t="shared" si="7"/>
        <v>50085008 BLUEHDI 130 1.5 AUT2022</v>
      </c>
      <c r="F1812" s="1" t="s">
        <v>1984</v>
      </c>
      <c r="G1812" s="1">
        <v>24990000</v>
      </c>
      <c r="H1812" s="1">
        <v>21000000</v>
      </c>
    </row>
    <row r="1813" spans="1:8" ht="13.5" customHeight="1" x14ac:dyDescent="0.3">
      <c r="A1813" s="1" t="s">
        <v>264</v>
      </c>
      <c r="B1813" s="1" t="s">
        <v>5239</v>
      </c>
      <c r="C1813" s="1" t="s">
        <v>286</v>
      </c>
      <c r="D1813" s="1">
        <v>2023</v>
      </c>
      <c r="E1813" s="1" t="str">
        <f t="shared" si="7"/>
        <v>50085008 BLUEHDI 130 1.5 AUT2023</v>
      </c>
      <c r="F1813" s="1" t="s">
        <v>845</v>
      </c>
      <c r="G1813" s="1">
        <v>23990000</v>
      </c>
      <c r="H1813" s="1">
        <v>20500000</v>
      </c>
    </row>
    <row r="1814" spans="1:8" ht="13.5" customHeight="1" x14ac:dyDescent="0.3">
      <c r="A1814" s="1" t="s">
        <v>264</v>
      </c>
      <c r="B1814" s="1" t="s">
        <v>5239</v>
      </c>
      <c r="C1814" s="1" t="s">
        <v>286</v>
      </c>
      <c r="D1814" s="1">
        <v>2024</v>
      </c>
      <c r="E1814" s="1" t="str">
        <f t="shared" si="7"/>
        <v>50085008 BLUEHDI 130 1.5 AUT2024</v>
      </c>
      <c r="F1814" s="1" t="s">
        <v>981</v>
      </c>
      <c r="G1814" s="1">
        <v>23790000</v>
      </c>
      <c r="H1814" s="1">
        <v>22000000</v>
      </c>
    </row>
    <row r="1815" spans="1:8" ht="13.5" customHeight="1" x14ac:dyDescent="0.3">
      <c r="A1815" s="1" t="s">
        <v>264</v>
      </c>
      <c r="B1815" s="1" t="s">
        <v>5239</v>
      </c>
      <c r="C1815" s="1" t="s">
        <v>286</v>
      </c>
      <c r="D1815" s="1">
        <v>2024</v>
      </c>
      <c r="E1815" s="1" t="str">
        <f t="shared" si="7"/>
        <v>50085008 BLUEHDI 130 1.5 AUT2024</v>
      </c>
      <c r="F1815" s="1" t="s">
        <v>675</v>
      </c>
      <c r="G1815" s="1">
        <v>23471030</v>
      </c>
      <c r="H1815" s="1">
        <v>23000000</v>
      </c>
    </row>
    <row r="1816" spans="1:8" ht="13.5" customHeight="1" x14ac:dyDescent="0.3">
      <c r="A1816" s="1" t="s">
        <v>264</v>
      </c>
      <c r="B1816" s="1" t="s">
        <v>5239</v>
      </c>
      <c r="C1816" s="1" t="s">
        <v>286</v>
      </c>
      <c r="D1816" s="1">
        <v>2024</v>
      </c>
      <c r="E1816" s="1" t="str">
        <f t="shared" si="7"/>
        <v>50085008 BLUEHDI 130 1.5 AUT2024</v>
      </c>
      <c r="F1816" s="1" t="s">
        <v>1225</v>
      </c>
      <c r="G1816" s="1">
        <v>26016620</v>
      </c>
      <c r="H1816" s="1">
        <v>22800000</v>
      </c>
    </row>
    <row r="1817" spans="1:8" ht="13.5" customHeight="1" x14ac:dyDescent="0.3">
      <c r="A1817" s="1" t="s">
        <v>264</v>
      </c>
      <c r="B1817" s="1" t="s">
        <v>5239</v>
      </c>
      <c r="C1817" s="1" t="s">
        <v>5246</v>
      </c>
      <c r="D1817" s="1">
        <v>2021</v>
      </c>
      <c r="E1817" s="1" t="str">
        <f t="shared" si="7"/>
        <v>50085008 GT BLUEHDI 1.5 AUT2021</v>
      </c>
      <c r="F1817" s="1" t="s">
        <v>916</v>
      </c>
      <c r="G1817" s="1">
        <v>18990000</v>
      </c>
      <c r="H1817" s="1">
        <v>16200000</v>
      </c>
    </row>
    <row r="1818" spans="1:8" ht="13.5" customHeight="1" x14ac:dyDescent="0.3">
      <c r="A1818" s="1" t="s">
        <v>264</v>
      </c>
      <c r="B1818" s="1" t="s">
        <v>5239</v>
      </c>
      <c r="C1818" s="1" t="s">
        <v>5247</v>
      </c>
      <c r="D1818" s="1">
        <v>2020</v>
      </c>
      <c r="E1818" s="1" t="str">
        <f t="shared" si="7"/>
        <v>50085008 GT BLUEHDI 2.0 AUT2020</v>
      </c>
      <c r="F1818" s="1" t="s">
        <v>2207</v>
      </c>
      <c r="G1818" s="1">
        <v>20990000</v>
      </c>
      <c r="H1818" s="1">
        <v>17000000</v>
      </c>
    </row>
    <row r="1819" spans="1:8" ht="13.5" customHeight="1" x14ac:dyDescent="0.3">
      <c r="A1819" s="1" t="s">
        <v>264</v>
      </c>
      <c r="B1819" s="1" t="s">
        <v>5239</v>
      </c>
      <c r="C1819" s="1" t="s">
        <v>5248</v>
      </c>
      <c r="D1819" s="1">
        <v>2020</v>
      </c>
      <c r="E1819" s="1" t="str">
        <f t="shared" si="7"/>
        <v>50085008 GT LINE BLUEHDI 1.5 AUT2020</v>
      </c>
      <c r="F1819" s="1" t="s">
        <v>2636</v>
      </c>
      <c r="G1819" s="1">
        <v>25590000</v>
      </c>
      <c r="H1819" s="1">
        <v>22000000</v>
      </c>
    </row>
    <row r="1820" spans="1:8" ht="13.5" customHeight="1" x14ac:dyDescent="0.3">
      <c r="A1820" s="1" t="s">
        <v>264</v>
      </c>
      <c r="B1820" s="1" t="s">
        <v>5239</v>
      </c>
      <c r="C1820" s="1" t="s">
        <v>5248</v>
      </c>
      <c r="D1820" s="1">
        <v>2020</v>
      </c>
      <c r="E1820" s="1" t="str">
        <f t="shared" si="7"/>
        <v>50085008 GT LINE BLUEHDI 1.5 AUT2020</v>
      </c>
      <c r="F1820" s="1" t="s">
        <v>1910</v>
      </c>
      <c r="G1820" s="1">
        <v>20890000</v>
      </c>
      <c r="H1820" s="1">
        <v>17000000</v>
      </c>
    </row>
    <row r="1821" spans="1:8" ht="13.5" customHeight="1" x14ac:dyDescent="0.3">
      <c r="A1821" s="1" t="s">
        <v>264</v>
      </c>
      <c r="B1821" s="1" t="s">
        <v>5239</v>
      </c>
      <c r="C1821" s="1" t="s">
        <v>290</v>
      </c>
      <c r="D1821" s="1">
        <v>2022</v>
      </c>
      <c r="E1821" s="1" t="str">
        <f t="shared" si="7"/>
        <v>50085008 PURETECH 180 EAT8 1.6 AUT2022</v>
      </c>
      <c r="F1821" s="1" t="s">
        <v>650</v>
      </c>
      <c r="G1821" s="1">
        <v>20290000</v>
      </c>
      <c r="H1821" s="1">
        <v>18000000</v>
      </c>
    </row>
    <row r="1822" spans="1:8" ht="13.5" customHeight="1" x14ac:dyDescent="0.3">
      <c r="A1822" s="1" t="s">
        <v>264</v>
      </c>
      <c r="B1822" s="1" t="s">
        <v>5239</v>
      </c>
      <c r="C1822" s="1" t="s">
        <v>5249</v>
      </c>
      <c r="D1822" s="1">
        <v>2021</v>
      </c>
      <c r="E1822" s="1" t="str">
        <f t="shared" si="7"/>
        <v>50085008 THP 165 1.6 AUT2021</v>
      </c>
      <c r="F1822" s="1" t="s">
        <v>2218</v>
      </c>
      <c r="G1822" s="1">
        <v>21590000</v>
      </c>
      <c r="H1822" s="1">
        <v>18000000</v>
      </c>
    </row>
    <row r="1823" spans="1:8" ht="13.5" customHeight="1" x14ac:dyDescent="0.3">
      <c r="A1823" s="1" t="s">
        <v>264</v>
      </c>
      <c r="B1823" s="1" t="s">
        <v>5239</v>
      </c>
      <c r="C1823" s="1" t="s">
        <v>5249</v>
      </c>
      <c r="D1823" s="1">
        <v>2021</v>
      </c>
      <c r="E1823" s="1" t="str">
        <f t="shared" si="7"/>
        <v>50085008 THP 165 1.6 AUT2021</v>
      </c>
      <c r="F1823" s="1" t="s">
        <v>2359</v>
      </c>
      <c r="G1823" s="1">
        <v>19590000</v>
      </c>
      <c r="H1823" s="1">
        <v>17000000</v>
      </c>
    </row>
    <row r="1824" spans="1:8" ht="13.5" customHeight="1" x14ac:dyDescent="0.3">
      <c r="A1824" s="1" t="s">
        <v>264</v>
      </c>
      <c r="B1824" s="1" t="s">
        <v>5239</v>
      </c>
      <c r="C1824" s="1" t="s">
        <v>5249</v>
      </c>
      <c r="D1824" s="1">
        <v>2021</v>
      </c>
      <c r="E1824" s="1" t="str">
        <f t="shared" si="7"/>
        <v>50085008 THP 165 1.6 AUT2021</v>
      </c>
      <c r="F1824" s="1" t="s">
        <v>1774</v>
      </c>
      <c r="G1824" s="1">
        <v>19790000</v>
      </c>
      <c r="H1824" s="1">
        <v>17000000</v>
      </c>
    </row>
    <row r="1825" spans="1:8" ht="13.5" customHeight="1" x14ac:dyDescent="0.3">
      <c r="A1825" s="1" t="s">
        <v>264</v>
      </c>
      <c r="B1825" s="1" t="s">
        <v>5239</v>
      </c>
      <c r="C1825" s="1" t="s">
        <v>5249</v>
      </c>
      <c r="D1825" s="1">
        <v>2022</v>
      </c>
      <c r="E1825" s="1" t="str">
        <f t="shared" si="7"/>
        <v>50085008 THP 165 1.6 AUT2022</v>
      </c>
      <c r="F1825" s="1" t="s">
        <v>1855</v>
      </c>
      <c r="G1825" s="1">
        <v>22390000</v>
      </c>
      <c r="H1825" s="1">
        <v>18500000</v>
      </c>
    </row>
    <row r="1826" spans="1:8" ht="13.5" customHeight="1" x14ac:dyDescent="0.3">
      <c r="A1826" s="1" t="s">
        <v>264</v>
      </c>
      <c r="B1826" s="1" t="s">
        <v>3576</v>
      </c>
      <c r="C1826" s="1" t="s">
        <v>5250</v>
      </c>
      <c r="D1826" s="1">
        <v>2023</v>
      </c>
      <c r="E1826" s="1" t="str">
        <f t="shared" si="7"/>
        <v>BOXERBOXER BLUEHDI 2.02023</v>
      </c>
      <c r="F1826" s="1" t="s">
        <v>1396</v>
      </c>
      <c r="G1826" s="1">
        <v>23290000</v>
      </c>
      <c r="H1826" s="1">
        <v>19880000</v>
      </c>
    </row>
    <row r="1827" spans="1:8" ht="13.5" customHeight="1" x14ac:dyDescent="0.3">
      <c r="A1827" s="1" t="s">
        <v>264</v>
      </c>
      <c r="B1827" s="1" t="s">
        <v>293</v>
      </c>
      <c r="C1827" s="1" t="s">
        <v>294</v>
      </c>
      <c r="D1827" s="1">
        <v>2022</v>
      </c>
      <c r="E1827" s="1" t="str">
        <f t="shared" si="7"/>
        <v>LANDTREKLANDTREK 1.92022</v>
      </c>
      <c r="F1827" s="1" t="s">
        <v>1602</v>
      </c>
      <c r="G1827" s="1">
        <v>17690000</v>
      </c>
      <c r="H1827" s="1">
        <v>15000000</v>
      </c>
    </row>
    <row r="1828" spans="1:8" ht="13.5" customHeight="1" x14ac:dyDescent="0.3">
      <c r="A1828" s="1" t="s">
        <v>264</v>
      </c>
      <c r="B1828" s="1" t="s">
        <v>293</v>
      </c>
      <c r="C1828" s="1" t="s">
        <v>294</v>
      </c>
      <c r="D1828" s="1">
        <v>2023</v>
      </c>
      <c r="E1828" s="1" t="str">
        <f t="shared" si="7"/>
        <v>LANDTREKLANDTREK 1.92023</v>
      </c>
      <c r="F1828" s="1" t="s">
        <v>295</v>
      </c>
      <c r="G1828" s="1">
        <v>14690000</v>
      </c>
      <c r="H1828" s="1">
        <v>14000000</v>
      </c>
    </row>
    <row r="1829" spans="1:8" ht="13.5" customHeight="1" x14ac:dyDescent="0.3">
      <c r="A1829" s="1" t="s">
        <v>264</v>
      </c>
      <c r="B1829" s="1" t="s">
        <v>293</v>
      </c>
      <c r="C1829" s="1" t="s">
        <v>294</v>
      </c>
      <c r="D1829" s="1">
        <v>2023</v>
      </c>
      <c r="E1829" s="1" t="str">
        <f t="shared" si="7"/>
        <v>LANDTREKLANDTREK 1.92023</v>
      </c>
      <c r="F1829" s="1" t="s">
        <v>1916</v>
      </c>
      <c r="G1829" s="1">
        <v>21590000</v>
      </c>
      <c r="H1829" s="1">
        <v>18350000</v>
      </c>
    </row>
    <row r="1830" spans="1:8" ht="13.5" customHeight="1" x14ac:dyDescent="0.3">
      <c r="A1830" s="1" t="s">
        <v>264</v>
      </c>
      <c r="B1830" s="1" t="s">
        <v>293</v>
      </c>
      <c r="C1830" s="1" t="s">
        <v>5251</v>
      </c>
      <c r="D1830" s="1">
        <v>2022</v>
      </c>
      <c r="E1830" s="1" t="str">
        <f t="shared" si="7"/>
        <v>LANDTREKLANDTREK 4X4 1.92022</v>
      </c>
      <c r="G1830" s="1">
        <v>20490000</v>
      </c>
      <c r="H1830" s="1">
        <v>0</v>
      </c>
    </row>
    <row r="1831" spans="1:8" ht="13.5" customHeight="1" x14ac:dyDescent="0.3">
      <c r="A1831" s="1" t="s">
        <v>264</v>
      </c>
      <c r="B1831" s="1" t="s">
        <v>293</v>
      </c>
      <c r="C1831" s="1" t="s">
        <v>5251</v>
      </c>
      <c r="D1831" s="1">
        <v>2022</v>
      </c>
      <c r="E1831" s="1" t="str">
        <f t="shared" si="7"/>
        <v>LANDTREKLANDTREK 4X4 1.92022</v>
      </c>
      <c r="F1831" s="1" t="s">
        <v>2193</v>
      </c>
      <c r="G1831" s="1">
        <v>17990000</v>
      </c>
      <c r="H1831" s="1">
        <v>17000000</v>
      </c>
    </row>
    <row r="1832" spans="1:8" ht="13.5" customHeight="1" x14ac:dyDescent="0.3">
      <c r="A1832" s="1" t="s">
        <v>264</v>
      </c>
      <c r="B1832" s="1" t="s">
        <v>293</v>
      </c>
      <c r="C1832" s="1" t="s">
        <v>5251</v>
      </c>
      <c r="D1832" s="1">
        <v>2022</v>
      </c>
      <c r="E1832" s="1" t="str">
        <f t="shared" si="7"/>
        <v>LANDTREKLANDTREK 4X4 1.92022</v>
      </c>
      <c r="F1832" s="1" t="s">
        <v>558</v>
      </c>
      <c r="G1832" s="1">
        <v>17890000</v>
      </c>
      <c r="H1832" s="1">
        <v>14400000</v>
      </c>
    </row>
    <row r="1833" spans="1:8" ht="13.5" customHeight="1" x14ac:dyDescent="0.3">
      <c r="A1833" s="1" t="s">
        <v>264</v>
      </c>
      <c r="B1833" s="1" t="s">
        <v>293</v>
      </c>
      <c r="C1833" s="1" t="s">
        <v>5251</v>
      </c>
      <c r="D1833" s="1">
        <v>2023</v>
      </c>
      <c r="E1833" s="1" t="str">
        <f t="shared" si="7"/>
        <v>LANDTREKLANDTREK 4X4 1.92023</v>
      </c>
      <c r="F1833" s="1" t="s">
        <v>1185</v>
      </c>
      <c r="G1833" s="1">
        <v>20490000</v>
      </c>
      <c r="H1833" s="1">
        <v>18730000</v>
      </c>
    </row>
    <row r="1834" spans="1:8" ht="13.5" customHeight="1" x14ac:dyDescent="0.3">
      <c r="A1834" s="1" t="s">
        <v>264</v>
      </c>
      <c r="B1834" s="1" t="s">
        <v>293</v>
      </c>
      <c r="C1834" s="1" t="s">
        <v>5251</v>
      </c>
      <c r="D1834" s="1">
        <v>2023</v>
      </c>
      <c r="E1834" s="1" t="str">
        <f t="shared" si="7"/>
        <v>LANDTREKLANDTREK 4X4 1.92023</v>
      </c>
      <c r="F1834" s="1" t="s">
        <v>2234</v>
      </c>
      <c r="G1834" s="1">
        <v>25490000</v>
      </c>
      <c r="H1834" s="1">
        <v>29024100</v>
      </c>
    </row>
    <row r="1835" spans="1:8" ht="13.5" customHeight="1" x14ac:dyDescent="0.3">
      <c r="A1835" s="1" t="s">
        <v>264</v>
      </c>
      <c r="B1835" s="1" t="s">
        <v>293</v>
      </c>
      <c r="C1835" s="1" t="s">
        <v>5252</v>
      </c>
      <c r="D1835" s="1">
        <v>2023</v>
      </c>
      <c r="E1835" s="1" t="str">
        <f t="shared" si="7"/>
        <v>LANDTREKLANDTREK 4X4 2.4 AUT2023</v>
      </c>
      <c r="F1835" s="1" t="s">
        <v>772</v>
      </c>
      <c r="G1835" s="1">
        <v>18990000</v>
      </c>
      <c r="H1835" s="1">
        <v>17800000</v>
      </c>
    </row>
    <row r="1836" spans="1:8" ht="13.5" customHeight="1" x14ac:dyDescent="0.3">
      <c r="A1836" s="1" t="s">
        <v>264</v>
      </c>
      <c r="B1836" s="1" t="s">
        <v>293</v>
      </c>
      <c r="C1836" s="1" t="s">
        <v>5253</v>
      </c>
      <c r="D1836" s="1">
        <v>2023</v>
      </c>
      <c r="E1836" s="1" t="str">
        <f t="shared" si="7"/>
        <v>LANDTREKLANDTREK BLUE HDI 180 4X4 2.22023</v>
      </c>
      <c r="F1836" s="1" t="s">
        <v>1546</v>
      </c>
      <c r="G1836" s="1">
        <v>23290000</v>
      </c>
      <c r="H1836" s="1">
        <v>20000000</v>
      </c>
    </row>
    <row r="1837" spans="1:8" ht="13.5" customHeight="1" x14ac:dyDescent="0.3">
      <c r="A1837" s="1" t="s">
        <v>264</v>
      </c>
      <c r="B1837" s="1" t="s">
        <v>293</v>
      </c>
      <c r="C1837" s="1" t="s">
        <v>296</v>
      </c>
      <c r="D1837" s="1">
        <v>2023</v>
      </c>
      <c r="E1837" s="1" t="str">
        <f t="shared" si="7"/>
        <v>LANDTREKLANDTREK BLUEHDI 4X4 2.2 AUT2023</v>
      </c>
      <c r="F1837" s="1" t="s">
        <v>769</v>
      </c>
      <c r="G1837" s="1">
        <v>17990000</v>
      </c>
      <c r="H1837" s="1">
        <v>17000000</v>
      </c>
    </row>
    <row r="1838" spans="1:8" ht="13.5" customHeight="1" x14ac:dyDescent="0.3">
      <c r="A1838" s="1" t="s">
        <v>264</v>
      </c>
      <c r="B1838" s="1" t="s">
        <v>293</v>
      </c>
      <c r="C1838" s="1" t="s">
        <v>296</v>
      </c>
      <c r="D1838" s="1">
        <v>2024</v>
      </c>
      <c r="E1838" s="1" t="str">
        <f t="shared" si="7"/>
        <v>LANDTREKLANDTREK BLUEHDI 4X4 2.2 AUT2024</v>
      </c>
      <c r="F1838" s="1" t="s">
        <v>710</v>
      </c>
      <c r="G1838" s="1">
        <v>21790000</v>
      </c>
      <c r="H1838" s="1">
        <v>18400000</v>
      </c>
    </row>
    <row r="1839" spans="1:8" ht="13.5" customHeight="1" x14ac:dyDescent="0.3">
      <c r="A1839" s="1" t="s">
        <v>264</v>
      </c>
      <c r="B1839" s="1" t="s">
        <v>293</v>
      </c>
      <c r="C1839" s="1" t="s">
        <v>296</v>
      </c>
      <c r="D1839" s="1">
        <v>2024</v>
      </c>
      <c r="E1839" s="1" t="str">
        <f t="shared" si="7"/>
        <v>LANDTREKLANDTREK BLUEHDI 4X4 2.2 AUT2024</v>
      </c>
      <c r="F1839" s="1" t="s">
        <v>1157</v>
      </c>
      <c r="G1839" s="1">
        <v>26990000</v>
      </c>
      <c r="H1839" s="1">
        <v>21800000</v>
      </c>
    </row>
    <row r="1840" spans="1:8" ht="13.5" customHeight="1" x14ac:dyDescent="0.3">
      <c r="A1840" s="1" t="s">
        <v>264</v>
      </c>
      <c r="B1840" s="1" t="s">
        <v>293</v>
      </c>
      <c r="C1840" s="1" t="s">
        <v>296</v>
      </c>
      <c r="D1840" s="1">
        <v>2024</v>
      </c>
      <c r="E1840" s="1" t="str">
        <f t="shared" si="7"/>
        <v>LANDTREKLANDTREK BLUEHDI 4X4 2.2 AUT2024</v>
      </c>
      <c r="F1840" s="1" t="s">
        <v>1086</v>
      </c>
      <c r="G1840" s="1">
        <v>25290000</v>
      </c>
      <c r="H1840" s="1">
        <v>21600000</v>
      </c>
    </row>
    <row r="1841" spans="1:8" ht="13.5" customHeight="1" x14ac:dyDescent="0.3">
      <c r="A1841" s="1" t="s">
        <v>264</v>
      </c>
      <c r="B1841" s="1" t="s">
        <v>293</v>
      </c>
      <c r="C1841" s="1" t="s">
        <v>296</v>
      </c>
      <c r="D1841" s="1">
        <v>2024</v>
      </c>
      <c r="E1841" s="1" t="str">
        <f t="shared" si="7"/>
        <v>LANDTREKLANDTREK BLUEHDI 4X4 2.2 AUT2024</v>
      </c>
      <c r="F1841" s="1" t="s">
        <v>885</v>
      </c>
      <c r="G1841" s="1">
        <v>21990000</v>
      </c>
      <c r="H1841" s="1">
        <v>19000001</v>
      </c>
    </row>
    <row r="1842" spans="1:8" ht="13.5" customHeight="1" x14ac:dyDescent="0.3">
      <c r="A1842" s="1" t="s">
        <v>264</v>
      </c>
      <c r="B1842" s="1" t="s">
        <v>293</v>
      </c>
      <c r="C1842" s="1" t="s">
        <v>5254</v>
      </c>
      <c r="D1842" s="1">
        <v>2022</v>
      </c>
      <c r="E1842" s="1" t="str">
        <f t="shared" si="7"/>
        <v>LANDTREKLANDTREK HDI 1.92022</v>
      </c>
      <c r="F1842" s="1" t="s">
        <v>2306</v>
      </c>
      <c r="G1842" s="1">
        <v>21590000</v>
      </c>
      <c r="H1842" s="1">
        <v>18000000</v>
      </c>
    </row>
    <row r="1843" spans="1:8" ht="13.5" customHeight="1" x14ac:dyDescent="0.3">
      <c r="A1843" s="1" t="s">
        <v>264</v>
      </c>
      <c r="B1843" s="1" t="s">
        <v>300</v>
      </c>
      <c r="C1843" s="1" t="s">
        <v>5255</v>
      </c>
      <c r="D1843" s="1">
        <v>2022</v>
      </c>
      <c r="E1843" s="1" t="str">
        <f t="shared" si="7"/>
        <v>PARTNERPARTNER HDI 92 L2 1.62022</v>
      </c>
      <c r="F1843" s="1" t="s">
        <v>2303</v>
      </c>
      <c r="G1843" s="1">
        <v>15290000</v>
      </c>
      <c r="H1843" s="1">
        <v>14478992</v>
      </c>
    </row>
    <row r="1844" spans="1:8" ht="13.5" customHeight="1" x14ac:dyDescent="0.3">
      <c r="A1844" s="1" t="s">
        <v>264</v>
      </c>
      <c r="B1844" s="1" t="s">
        <v>300</v>
      </c>
      <c r="C1844" s="1" t="s">
        <v>5256</v>
      </c>
      <c r="D1844" s="1">
        <v>2023</v>
      </c>
      <c r="E1844" s="1" t="str">
        <f t="shared" si="7"/>
        <v>PARTNERPARTNER L2 BLUE HDI 100 1.52023</v>
      </c>
      <c r="F1844" s="1" t="s">
        <v>1493</v>
      </c>
      <c r="G1844" s="1">
        <v>16990000</v>
      </c>
      <c r="H1844" s="1">
        <v>13700000</v>
      </c>
    </row>
    <row r="1845" spans="1:8" ht="13.5" customHeight="1" x14ac:dyDescent="0.3">
      <c r="A1845" s="1" t="s">
        <v>264</v>
      </c>
      <c r="B1845" s="1" t="s">
        <v>3042</v>
      </c>
      <c r="C1845" s="1" t="s">
        <v>5257</v>
      </c>
      <c r="D1845" s="1">
        <v>2021</v>
      </c>
      <c r="E1845" s="1" t="str">
        <f t="shared" si="7"/>
        <v>RIFTERRIFTER ALLURE BLUEHDI 1.5 AUT2021</v>
      </c>
      <c r="F1845" s="1" t="s">
        <v>1292</v>
      </c>
      <c r="G1845" s="1">
        <v>13590000</v>
      </c>
      <c r="H1845" s="1">
        <v>11500000</v>
      </c>
    </row>
    <row r="1846" spans="1:8" ht="13.5" customHeight="1" x14ac:dyDescent="0.3">
      <c r="A1846" s="1" t="s">
        <v>264</v>
      </c>
      <c r="B1846" s="1" t="s">
        <v>3042</v>
      </c>
      <c r="C1846" s="1" t="s">
        <v>5258</v>
      </c>
      <c r="D1846" s="1">
        <v>2019</v>
      </c>
      <c r="E1846" s="1" t="str">
        <f t="shared" si="7"/>
        <v>RIFTERRIFTER ALLURE BLUEHDI 1.62019</v>
      </c>
      <c r="F1846" s="1" t="s">
        <v>1268</v>
      </c>
      <c r="G1846" s="1">
        <v>12720000</v>
      </c>
      <c r="H1846" s="1">
        <v>11000000</v>
      </c>
    </row>
    <row r="1847" spans="1:8" ht="13.5" customHeight="1" x14ac:dyDescent="0.3">
      <c r="A1847" s="1" t="s">
        <v>264</v>
      </c>
      <c r="B1847" s="1" t="s">
        <v>3042</v>
      </c>
      <c r="C1847" s="1" t="s">
        <v>5259</v>
      </c>
      <c r="D1847" s="1">
        <v>2020</v>
      </c>
      <c r="E1847" s="1" t="str">
        <f t="shared" si="7"/>
        <v>RIFTERRIFTER BLUE HDI 100 1.62020</v>
      </c>
      <c r="F1847" s="1" t="s">
        <v>2015</v>
      </c>
      <c r="G1847" s="1">
        <v>13990000</v>
      </c>
      <c r="H1847" s="1">
        <v>11500000</v>
      </c>
    </row>
    <row r="1848" spans="1:8" ht="13.5" customHeight="1" x14ac:dyDescent="0.3">
      <c r="A1848" s="1" t="s">
        <v>264</v>
      </c>
      <c r="B1848" s="1" t="s">
        <v>3042</v>
      </c>
      <c r="C1848" s="1" t="s">
        <v>5260</v>
      </c>
      <c r="D1848" s="1">
        <v>2021</v>
      </c>
      <c r="E1848" s="1" t="str">
        <f t="shared" si="7"/>
        <v>RIFTERRIFTER PURETECH 130 1.2 AUT2021</v>
      </c>
      <c r="F1848" s="1" t="s">
        <v>863</v>
      </c>
      <c r="G1848" s="1">
        <v>12990000</v>
      </c>
      <c r="H1848" s="1">
        <v>11000000</v>
      </c>
    </row>
    <row r="1849" spans="1:8" ht="13.5" customHeight="1" x14ac:dyDescent="0.3">
      <c r="A1849" s="1" t="s">
        <v>264</v>
      </c>
      <c r="B1849" s="1" t="s">
        <v>3042</v>
      </c>
      <c r="C1849" s="1" t="s">
        <v>5260</v>
      </c>
      <c r="D1849" s="1">
        <v>2024</v>
      </c>
      <c r="E1849" s="1" t="str">
        <f t="shared" si="7"/>
        <v>RIFTERRIFTER PURETECH 130 1.2 AUT2024</v>
      </c>
      <c r="F1849" s="1" t="s">
        <v>1701</v>
      </c>
      <c r="G1849" s="1">
        <v>19900000</v>
      </c>
      <c r="H1849" s="1">
        <v>16980672</v>
      </c>
    </row>
    <row r="1850" spans="1:8" ht="13.5" customHeight="1" x14ac:dyDescent="0.3">
      <c r="A1850" s="1" t="s">
        <v>264</v>
      </c>
      <c r="B1850" s="1" t="s">
        <v>3042</v>
      </c>
      <c r="C1850" s="1" t="s">
        <v>5261</v>
      </c>
      <c r="D1850" s="1">
        <v>2025</v>
      </c>
      <c r="E1850" s="1" t="str">
        <f t="shared" si="7"/>
        <v>RIFTERRITTER ALLURE 1.52025</v>
      </c>
      <c r="F1850" s="1" t="s">
        <v>801</v>
      </c>
      <c r="G1850" s="1">
        <v>19990000</v>
      </c>
      <c r="H1850" s="1">
        <v>22390000</v>
      </c>
    </row>
    <row r="1851" spans="1:8" ht="13.5" customHeight="1" x14ac:dyDescent="0.3">
      <c r="A1851" s="1" t="s">
        <v>264</v>
      </c>
      <c r="B1851" s="1" t="s">
        <v>3681</v>
      </c>
      <c r="C1851" s="1" t="s">
        <v>5262</v>
      </c>
      <c r="D1851" s="1">
        <v>2021</v>
      </c>
      <c r="E1851" s="1" t="str">
        <f t="shared" si="7"/>
        <v>TRAVELLERTRAVELLER L3 BLUE HDI 150 2.02021</v>
      </c>
      <c r="F1851" s="1" t="s">
        <v>611</v>
      </c>
      <c r="G1851" s="1">
        <v>18000000</v>
      </c>
      <c r="H1851" s="1">
        <v>15000000</v>
      </c>
    </row>
    <row r="1852" spans="1:8" ht="13.5" customHeight="1" x14ac:dyDescent="0.3">
      <c r="A1852" s="1" t="s">
        <v>264</v>
      </c>
      <c r="B1852" s="1" t="s">
        <v>3681</v>
      </c>
      <c r="C1852" s="1" t="s">
        <v>5263</v>
      </c>
      <c r="D1852" s="1">
        <v>2023</v>
      </c>
      <c r="E1852" s="1" t="str">
        <f t="shared" si="7"/>
        <v>TRAVELLERTRAVELLER L3 BLUE HDI 180 2.02023</v>
      </c>
      <c r="F1852" s="1" t="s">
        <v>1983</v>
      </c>
      <c r="G1852" s="1">
        <v>22600000</v>
      </c>
      <c r="H1852" s="1">
        <v>17850000</v>
      </c>
    </row>
    <row r="1853" spans="1:8" ht="13.5" customHeight="1" x14ac:dyDescent="0.3">
      <c r="A1853" s="1" t="s">
        <v>5264</v>
      </c>
      <c r="B1853" s="1" t="s">
        <v>5264</v>
      </c>
      <c r="C1853" s="1" t="s">
        <v>5265</v>
      </c>
      <c r="D1853" s="1">
        <v>2018</v>
      </c>
      <c r="E1853" s="1" t="str">
        <f t="shared" si="7"/>
        <v>PORSCHECAYENE 3.02018</v>
      </c>
      <c r="F1853" s="1" t="s">
        <v>2721</v>
      </c>
      <c r="G1853" s="1">
        <v>29990000</v>
      </c>
      <c r="H1853" s="1">
        <v>43000000</v>
      </c>
    </row>
    <row r="1854" spans="1:8" ht="13.5" customHeight="1" x14ac:dyDescent="0.3">
      <c r="A1854" s="1" t="s">
        <v>303</v>
      </c>
      <c r="B1854" s="1" t="s">
        <v>5266</v>
      </c>
      <c r="C1854" s="1" t="s">
        <v>5267</v>
      </c>
      <c r="D1854" s="1">
        <v>2021</v>
      </c>
      <c r="E1854" s="1" t="str">
        <f t="shared" si="7"/>
        <v>RAM 10001000 BIG HORN 1.8 AUT2021</v>
      </c>
      <c r="G1854" s="1">
        <v>13000000</v>
      </c>
      <c r="H1854" s="1">
        <v>0</v>
      </c>
    </row>
    <row r="1855" spans="1:8" ht="13.5" customHeight="1" x14ac:dyDescent="0.3">
      <c r="A1855" s="1" t="s">
        <v>303</v>
      </c>
      <c r="B1855" s="1" t="s">
        <v>5266</v>
      </c>
      <c r="C1855" s="1" t="s">
        <v>5267</v>
      </c>
      <c r="D1855" s="1">
        <v>2021</v>
      </c>
      <c r="E1855" s="1" t="str">
        <f t="shared" si="7"/>
        <v>RAM 10001000 BIG HORN 1.8 AUT2021</v>
      </c>
      <c r="F1855" s="1" t="s">
        <v>1995</v>
      </c>
      <c r="G1855" s="1">
        <v>15590000</v>
      </c>
      <c r="H1855" s="1">
        <v>12898001</v>
      </c>
    </row>
    <row r="1856" spans="1:8" ht="13.5" customHeight="1" x14ac:dyDescent="0.3">
      <c r="A1856" s="1" t="s">
        <v>303</v>
      </c>
      <c r="B1856" s="1" t="s">
        <v>5266</v>
      </c>
      <c r="C1856" s="1" t="s">
        <v>5268</v>
      </c>
      <c r="D1856" s="1">
        <v>2020</v>
      </c>
      <c r="E1856" s="1" t="str">
        <f t="shared" si="7"/>
        <v>RAM 10001000 BIG HORN DCAB 1.8 AUT2020</v>
      </c>
      <c r="F1856" s="1" t="s">
        <v>2127</v>
      </c>
      <c r="G1856" s="1">
        <v>16490000</v>
      </c>
      <c r="H1856" s="1">
        <v>13200000</v>
      </c>
    </row>
    <row r="1857" spans="1:8" ht="13.5" customHeight="1" x14ac:dyDescent="0.3">
      <c r="A1857" s="1" t="s">
        <v>303</v>
      </c>
      <c r="B1857" s="1" t="s">
        <v>5266</v>
      </c>
      <c r="C1857" s="1" t="s">
        <v>5268</v>
      </c>
      <c r="D1857" s="1">
        <v>2021</v>
      </c>
      <c r="E1857" s="1" t="str">
        <f t="shared" si="7"/>
        <v>RAM 10001000 BIG HORN DCAB 1.8 AUT2021</v>
      </c>
      <c r="F1857" s="1" t="s">
        <v>1898</v>
      </c>
      <c r="G1857" s="1">
        <v>13890000</v>
      </c>
      <c r="H1857" s="1">
        <v>11800000</v>
      </c>
    </row>
    <row r="1858" spans="1:8" ht="13.5" customHeight="1" x14ac:dyDescent="0.3">
      <c r="A1858" s="1" t="s">
        <v>303</v>
      </c>
      <c r="B1858" s="1" t="s">
        <v>5266</v>
      </c>
      <c r="C1858" s="1" t="s">
        <v>5268</v>
      </c>
      <c r="D1858" s="1">
        <v>2022</v>
      </c>
      <c r="E1858" s="1" t="str">
        <f t="shared" si="7"/>
        <v>RAM 10001000 BIG HORN DCAB 1.8 AUT2022</v>
      </c>
      <c r="F1858" s="1" t="s">
        <v>2347</v>
      </c>
      <c r="G1858" s="1">
        <v>19290000</v>
      </c>
      <c r="H1858" s="1">
        <v>16250000</v>
      </c>
    </row>
    <row r="1859" spans="1:8" ht="13.5" customHeight="1" x14ac:dyDescent="0.3">
      <c r="A1859" s="1" t="s">
        <v>303</v>
      </c>
      <c r="B1859" s="1" t="s">
        <v>5266</v>
      </c>
      <c r="C1859" s="1" t="s">
        <v>5269</v>
      </c>
      <c r="D1859" s="1">
        <v>2019</v>
      </c>
      <c r="E1859" s="1" t="str">
        <f t="shared" si="7"/>
        <v>RAM 10001000 DCAB 1.8 AUT2019</v>
      </c>
      <c r="F1859" s="1" t="s">
        <v>1305</v>
      </c>
      <c r="G1859" s="1">
        <v>12590000</v>
      </c>
      <c r="H1859" s="1">
        <v>11000000</v>
      </c>
    </row>
    <row r="1860" spans="1:8" ht="13.5" customHeight="1" x14ac:dyDescent="0.3">
      <c r="A1860" s="1" t="s">
        <v>303</v>
      </c>
      <c r="B1860" s="1" t="s">
        <v>5266</v>
      </c>
      <c r="C1860" s="1" t="s">
        <v>5269</v>
      </c>
      <c r="D1860" s="1">
        <v>2021</v>
      </c>
      <c r="E1860" s="1" t="str">
        <f t="shared" si="7"/>
        <v>RAM 10001000 DCAB 1.8 AUT2021</v>
      </c>
      <c r="F1860" s="1" t="s">
        <v>2709</v>
      </c>
      <c r="G1860" s="1">
        <v>16990000</v>
      </c>
      <c r="H1860" s="1">
        <v>18000000</v>
      </c>
    </row>
    <row r="1861" spans="1:8" ht="13.5" customHeight="1" x14ac:dyDescent="0.3">
      <c r="A1861" s="1" t="s">
        <v>303</v>
      </c>
      <c r="B1861" s="1" t="s">
        <v>304</v>
      </c>
      <c r="C1861" s="1" t="s">
        <v>5270</v>
      </c>
      <c r="D1861" s="1">
        <v>2025</v>
      </c>
      <c r="E1861" s="1" t="str">
        <f t="shared" si="7"/>
        <v>RAM 15001500 BIG HORN 4X4 3.6 AT2025</v>
      </c>
      <c r="F1861" s="1" t="s">
        <v>897</v>
      </c>
      <c r="G1861" s="1">
        <v>46990000</v>
      </c>
      <c r="H1861" s="1">
        <v>44000000</v>
      </c>
    </row>
    <row r="1862" spans="1:8" ht="13.5" customHeight="1" x14ac:dyDescent="0.3">
      <c r="A1862" s="1" t="s">
        <v>303</v>
      </c>
      <c r="B1862" s="1" t="s">
        <v>304</v>
      </c>
      <c r="C1862" s="1" t="s">
        <v>5271</v>
      </c>
      <c r="D1862" s="1">
        <v>2021</v>
      </c>
      <c r="E1862" s="1" t="str">
        <f t="shared" si="7"/>
        <v>RAM 15001500 BIG HORN CREW CAB 4X4 3.6 AUT2021</v>
      </c>
      <c r="F1862" s="1" t="s">
        <v>1009</v>
      </c>
      <c r="G1862" s="1">
        <v>27990000</v>
      </c>
      <c r="H1862" s="1">
        <v>25000000</v>
      </c>
    </row>
    <row r="1863" spans="1:8" ht="13.5" customHeight="1" x14ac:dyDescent="0.3">
      <c r="A1863" s="1" t="s">
        <v>303</v>
      </c>
      <c r="B1863" s="1" t="s">
        <v>304</v>
      </c>
      <c r="C1863" s="1" t="s">
        <v>5271</v>
      </c>
      <c r="D1863" s="1">
        <v>2022</v>
      </c>
      <c r="E1863" s="1" t="str">
        <f t="shared" si="7"/>
        <v>RAM 15001500 BIG HORN CREW CAB 4X4 3.6 AUT2022</v>
      </c>
      <c r="F1863" s="1" t="s">
        <v>906</v>
      </c>
      <c r="G1863" s="1">
        <v>32990000</v>
      </c>
      <c r="H1863" s="1">
        <v>28300000</v>
      </c>
    </row>
    <row r="1864" spans="1:8" ht="13.5" customHeight="1" x14ac:dyDescent="0.3">
      <c r="A1864" s="1" t="s">
        <v>303</v>
      </c>
      <c r="B1864" s="1" t="s">
        <v>304</v>
      </c>
      <c r="C1864" s="1" t="s">
        <v>5271</v>
      </c>
      <c r="D1864" s="1">
        <v>2023</v>
      </c>
      <c r="E1864" s="1" t="str">
        <f t="shared" si="7"/>
        <v>RAM 15001500 BIG HORN CREW CAB 4X4 3.6 AUT2023</v>
      </c>
      <c r="F1864" s="1" t="s">
        <v>1041</v>
      </c>
      <c r="G1864" s="1">
        <v>83480000</v>
      </c>
      <c r="H1864" s="1">
        <v>73350000</v>
      </c>
    </row>
    <row r="1865" spans="1:8" ht="13.5" customHeight="1" x14ac:dyDescent="0.3">
      <c r="A1865" s="1" t="s">
        <v>303</v>
      </c>
      <c r="B1865" s="1" t="s">
        <v>304</v>
      </c>
      <c r="C1865" s="1" t="s">
        <v>5272</v>
      </c>
      <c r="D1865" s="1">
        <v>2020</v>
      </c>
      <c r="E1865" s="1" t="str">
        <f t="shared" si="7"/>
        <v>RAM 15001500 CREW CAB LARAMIE 4X4 3.0 AUT2020</v>
      </c>
      <c r="F1865" s="1" t="s">
        <v>2526</v>
      </c>
      <c r="G1865" s="1">
        <v>34000000</v>
      </c>
      <c r="H1865" s="1">
        <v>35000000</v>
      </c>
    </row>
    <row r="1866" spans="1:8" ht="13.5" customHeight="1" x14ac:dyDescent="0.3">
      <c r="A1866" s="1" t="s">
        <v>303</v>
      </c>
      <c r="B1866" s="1" t="s">
        <v>304</v>
      </c>
      <c r="C1866" s="1" t="s">
        <v>5273</v>
      </c>
      <c r="D1866" s="1">
        <v>2020</v>
      </c>
      <c r="E1866" s="1" t="str">
        <f t="shared" si="7"/>
        <v>RAM 15001500 LARAMIE 4X4 3.0 AUT2020</v>
      </c>
      <c r="F1866" s="1" t="s">
        <v>1413</v>
      </c>
      <c r="G1866" s="1">
        <v>34990000</v>
      </c>
      <c r="H1866" s="1">
        <v>30000000</v>
      </c>
    </row>
    <row r="1867" spans="1:8" ht="13.5" customHeight="1" x14ac:dyDescent="0.3">
      <c r="A1867" s="1" t="s">
        <v>303</v>
      </c>
      <c r="B1867" s="1" t="s">
        <v>304</v>
      </c>
      <c r="C1867" s="1" t="s">
        <v>5274</v>
      </c>
      <c r="D1867" s="1">
        <v>2022</v>
      </c>
      <c r="E1867" s="1" t="str">
        <f t="shared" si="7"/>
        <v>RAM 15001500 LARAMIE CREW CAB 4X4 5.7 AUT2022</v>
      </c>
      <c r="F1867" s="1" t="s">
        <v>1689</v>
      </c>
      <c r="G1867" s="1">
        <v>33404120</v>
      </c>
      <c r="H1867" s="1">
        <v>32500000</v>
      </c>
    </row>
    <row r="1868" spans="1:8" ht="13.5" customHeight="1" x14ac:dyDescent="0.3">
      <c r="A1868" s="1" t="s">
        <v>303</v>
      </c>
      <c r="B1868" s="1" t="s">
        <v>304</v>
      </c>
      <c r="C1868" s="1" t="s">
        <v>5275</v>
      </c>
      <c r="D1868" s="1">
        <v>2020</v>
      </c>
      <c r="E1868" s="1" t="str">
        <f t="shared" si="7"/>
        <v>RAM 15001500 QUAD CAB SLT DCAB 4X4 3.6 AUT2020</v>
      </c>
      <c r="F1868" s="1" t="s">
        <v>1470</v>
      </c>
      <c r="G1868" s="1">
        <v>19790000</v>
      </c>
      <c r="H1868" s="1">
        <v>17000000</v>
      </c>
    </row>
    <row r="1869" spans="1:8" ht="13.5" customHeight="1" x14ac:dyDescent="0.3">
      <c r="A1869" s="1" t="s">
        <v>303</v>
      </c>
      <c r="B1869" s="1" t="s">
        <v>304</v>
      </c>
      <c r="C1869" s="1" t="s">
        <v>307</v>
      </c>
      <c r="D1869" s="1">
        <v>2022</v>
      </c>
      <c r="E1869" s="1" t="str">
        <f t="shared" si="7"/>
        <v>RAM 15001500 REBEL CREW DCAB 4X4 5.7 AUT2022</v>
      </c>
      <c r="F1869" s="1" t="s">
        <v>568</v>
      </c>
      <c r="G1869" s="1">
        <v>33290000</v>
      </c>
      <c r="H1869" s="1">
        <v>30000000</v>
      </c>
    </row>
    <row r="1870" spans="1:8" ht="13.5" customHeight="1" x14ac:dyDescent="0.3">
      <c r="A1870" s="1" t="s">
        <v>303</v>
      </c>
      <c r="B1870" s="1" t="s">
        <v>304</v>
      </c>
      <c r="C1870" s="1" t="s">
        <v>307</v>
      </c>
      <c r="D1870" s="1">
        <v>2023</v>
      </c>
      <c r="E1870" s="1" t="str">
        <f t="shared" si="7"/>
        <v>RAM 15001500 REBEL CREW DCAB 4X4 5.7 AUT2023</v>
      </c>
      <c r="F1870" s="1" t="s">
        <v>1073</v>
      </c>
      <c r="G1870" s="1">
        <v>43990000</v>
      </c>
      <c r="H1870" s="1">
        <v>37500000</v>
      </c>
    </row>
    <row r="1871" spans="1:8" ht="13.5" customHeight="1" x14ac:dyDescent="0.3">
      <c r="A1871" s="1" t="s">
        <v>303</v>
      </c>
      <c r="B1871" s="1" t="s">
        <v>304</v>
      </c>
      <c r="C1871" s="1" t="s">
        <v>5276</v>
      </c>
      <c r="D1871" s="1">
        <v>2019</v>
      </c>
      <c r="E1871" s="1" t="str">
        <f t="shared" si="7"/>
        <v>RAM 1500NEW RAM 1500 4X4 5.7 AUT2019</v>
      </c>
      <c r="F1871" s="1" t="s">
        <v>452</v>
      </c>
      <c r="G1871" s="1">
        <v>28990000</v>
      </c>
      <c r="H1871" s="1">
        <v>24500000</v>
      </c>
    </row>
    <row r="1872" spans="1:8" ht="13.5" customHeight="1" x14ac:dyDescent="0.3">
      <c r="A1872" s="1" t="s">
        <v>303</v>
      </c>
      <c r="B1872" s="1" t="s">
        <v>304</v>
      </c>
      <c r="C1872" s="1" t="s">
        <v>5277</v>
      </c>
      <c r="D1872" s="1">
        <v>2017</v>
      </c>
      <c r="E1872" s="1" t="str">
        <f t="shared" si="7"/>
        <v>RAM 1500NEW RAM1500 DCAB SLT 4X4 3.6 AUT2017</v>
      </c>
      <c r="F1872" s="1" t="s">
        <v>976</v>
      </c>
      <c r="G1872" s="1">
        <v>16490000</v>
      </c>
      <c r="H1872" s="1">
        <v>14000000</v>
      </c>
    </row>
    <row r="1873" spans="1:8" ht="13.5" customHeight="1" x14ac:dyDescent="0.3">
      <c r="A1873" s="1" t="s">
        <v>303</v>
      </c>
      <c r="B1873" s="1" t="s">
        <v>304</v>
      </c>
      <c r="C1873" s="1" t="s">
        <v>5278</v>
      </c>
      <c r="D1873" s="1">
        <v>2019</v>
      </c>
      <c r="E1873" s="1" t="str">
        <f t="shared" si="7"/>
        <v>RAM 1500RAM1500 4X4 3.6 AUT2019</v>
      </c>
      <c r="F1873" s="1" t="s">
        <v>829</v>
      </c>
      <c r="G1873" s="1">
        <v>19000000</v>
      </c>
      <c r="H1873" s="1">
        <v>14500000</v>
      </c>
    </row>
    <row r="1874" spans="1:8" ht="13.5" customHeight="1" x14ac:dyDescent="0.3">
      <c r="A1874" s="1" t="s">
        <v>303</v>
      </c>
      <c r="B1874" s="1" t="s">
        <v>5279</v>
      </c>
      <c r="C1874" s="1" t="s">
        <v>5280</v>
      </c>
      <c r="D1874" s="1">
        <v>2019</v>
      </c>
      <c r="E1874" s="1" t="str">
        <f t="shared" si="7"/>
        <v>RAM 700700 ADVENTURE DCAB 1.62019</v>
      </c>
      <c r="F1874" s="1" t="s">
        <v>1565</v>
      </c>
      <c r="G1874" s="1">
        <v>8990000</v>
      </c>
      <c r="H1874" s="1">
        <v>7500000</v>
      </c>
    </row>
    <row r="1875" spans="1:8" ht="13.5" customHeight="1" x14ac:dyDescent="0.3">
      <c r="A1875" s="1" t="s">
        <v>303</v>
      </c>
      <c r="B1875" s="1" t="s">
        <v>5279</v>
      </c>
      <c r="C1875" s="1" t="s">
        <v>5281</v>
      </c>
      <c r="D1875" s="1">
        <v>2021</v>
      </c>
      <c r="E1875" s="1" t="str">
        <f t="shared" si="7"/>
        <v>RAM 700700 BIGHORN CD 1.42021</v>
      </c>
      <c r="F1875" s="1" t="s">
        <v>1965</v>
      </c>
      <c r="G1875" s="1">
        <v>12290000</v>
      </c>
      <c r="H1875" s="1">
        <v>9500000</v>
      </c>
    </row>
    <row r="1876" spans="1:8" ht="13.5" customHeight="1" x14ac:dyDescent="0.3">
      <c r="A1876" s="1" t="s">
        <v>303</v>
      </c>
      <c r="B1876" s="1" t="s">
        <v>5279</v>
      </c>
      <c r="C1876" s="1" t="s">
        <v>5281</v>
      </c>
      <c r="D1876" s="1">
        <v>2022</v>
      </c>
      <c r="E1876" s="1" t="str">
        <f t="shared" si="7"/>
        <v>RAM 700700 BIGHORN CD 1.42022</v>
      </c>
      <c r="F1876" s="1" t="s">
        <v>733</v>
      </c>
      <c r="G1876" s="1">
        <v>11840000</v>
      </c>
      <c r="H1876" s="1">
        <v>10000000</v>
      </c>
    </row>
    <row r="1877" spans="1:8" ht="13.5" customHeight="1" x14ac:dyDescent="0.3">
      <c r="A1877" s="1" t="s">
        <v>303</v>
      </c>
      <c r="B1877" s="1" t="s">
        <v>5279</v>
      </c>
      <c r="C1877" s="1" t="s">
        <v>5281</v>
      </c>
      <c r="D1877" s="1">
        <v>2023</v>
      </c>
      <c r="E1877" s="1" t="str">
        <f t="shared" si="7"/>
        <v>RAM 700700 BIGHORN CD 1.42023</v>
      </c>
      <c r="F1877" s="1" t="s">
        <v>834</v>
      </c>
      <c r="G1877" s="1">
        <v>11690000</v>
      </c>
      <c r="H1877" s="1">
        <v>9500000</v>
      </c>
    </row>
    <row r="1878" spans="1:8" ht="13.5" customHeight="1" x14ac:dyDescent="0.3">
      <c r="A1878" s="1" t="s">
        <v>303</v>
      </c>
      <c r="B1878" s="1" t="s">
        <v>5279</v>
      </c>
      <c r="C1878" s="1" t="s">
        <v>5282</v>
      </c>
      <c r="D1878" s="1">
        <v>2024</v>
      </c>
      <c r="E1878" s="1" t="str">
        <f t="shared" si="7"/>
        <v>RAM 700700 BIGHORN D CAB 4X2 1.42024</v>
      </c>
      <c r="F1878" s="1" t="s">
        <v>512</v>
      </c>
      <c r="G1878" s="1">
        <v>12000000</v>
      </c>
      <c r="H1878" s="1">
        <v>11300000</v>
      </c>
    </row>
    <row r="1879" spans="1:8" ht="13.5" customHeight="1" x14ac:dyDescent="0.3">
      <c r="A1879" s="1" t="s">
        <v>303</v>
      </c>
      <c r="B1879" s="1" t="s">
        <v>5279</v>
      </c>
      <c r="C1879" s="1" t="s">
        <v>5282</v>
      </c>
      <c r="D1879" s="1">
        <v>2024</v>
      </c>
      <c r="E1879" s="1" t="str">
        <f t="shared" si="7"/>
        <v>RAM 700700 BIGHORN D CAB 4X2 1.42024</v>
      </c>
      <c r="F1879" s="1" t="s">
        <v>718</v>
      </c>
      <c r="G1879" s="1">
        <v>12390000</v>
      </c>
      <c r="H1879" s="1">
        <v>10500000</v>
      </c>
    </row>
    <row r="1880" spans="1:8" ht="13.5" customHeight="1" x14ac:dyDescent="0.3">
      <c r="A1880" s="1" t="s">
        <v>303</v>
      </c>
      <c r="B1880" s="1" t="s">
        <v>5279</v>
      </c>
      <c r="C1880" s="1" t="s">
        <v>5283</v>
      </c>
      <c r="D1880" s="1">
        <v>2021</v>
      </c>
      <c r="E1880" s="1" t="str">
        <f t="shared" si="7"/>
        <v>RAM 700700 EXPRESS 1.42021</v>
      </c>
      <c r="F1880" s="1" t="s">
        <v>1833</v>
      </c>
      <c r="G1880" s="1">
        <v>7695620</v>
      </c>
      <c r="H1880" s="1">
        <v>8200000</v>
      </c>
    </row>
    <row r="1881" spans="1:8" ht="13.5" customHeight="1" x14ac:dyDescent="0.3">
      <c r="A1881" s="1" t="s">
        <v>303</v>
      </c>
      <c r="B1881" s="1" t="s">
        <v>5279</v>
      </c>
      <c r="C1881" s="1" t="s">
        <v>5284</v>
      </c>
      <c r="D1881" s="1">
        <v>2021</v>
      </c>
      <c r="E1881" s="1" t="str">
        <f t="shared" si="7"/>
        <v>RAM 700700 EXPRESS CS 1.42021</v>
      </c>
      <c r="F1881" s="1" t="s">
        <v>1551</v>
      </c>
      <c r="G1881" s="1">
        <v>8990000</v>
      </c>
      <c r="H1881" s="1">
        <v>6500000</v>
      </c>
    </row>
    <row r="1882" spans="1:8" ht="13.5" customHeight="1" x14ac:dyDescent="0.3">
      <c r="A1882" s="1" t="s">
        <v>303</v>
      </c>
      <c r="B1882" s="1" t="s">
        <v>5279</v>
      </c>
      <c r="C1882" s="1" t="s">
        <v>5284</v>
      </c>
      <c r="D1882" s="1">
        <v>2022</v>
      </c>
      <c r="E1882" s="1" t="str">
        <f t="shared" si="7"/>
        <v>RAM 700700 EXPRESS CS 1.42022</v>
      </c>
      <c r="F1882" s="1" t="s">
        <v>1870</v>
      </c>
      <c r="G1882" s="1">
        <v>9478788</v>
      </c>
      <c r="H1882" s="1">
        <v>7800000</v>
      </c>
    </row>
    <row r="1883" spans="1:8" ht="13.5" customHeight="1" x14ac:dyDescent="0.3">
      <c r="A1883" s="1" t="s">
        <v>303</v>
      </c>
      <c r="B1883" s="1" t="s">
        <v>5279</v>
      </c>
      <c r="C1883" s="1" t="s">
        <v>5285</v>
      </c>
      <c r="D1883" s="1">
        <v>2024</v>
      </c>
      <c r="E1883" s="1" t="str">
        <f t="shared" si="7"/>
        <v>RAM 700700 LARAMIE 4X2 1.32024</v>
      </c>
      <c r="F1883" s="1" t="s">
        <v>1706</v>
      </c>
      <c r="G1883" s="1">
        <v>15290000</v>
      </c>
      <c r="H1883" s="1">
        <v>13000000</v>
      </c>
    </row>
    <row r="1884" spans="1:8" ht="13.5" customHeight="1" x14ac:dyDescent="0.3">
      <c r="A1884" s="1" t="s">
        <v>303</v>
      </c>
      <c r="B1884" s="1" t="s">
        <v>5279</v>
      </c>
      <c r="C1884" s="1" t="s">
        <v>5286</v>
      </c>
      <c r="D1884" s="1">
        <v>2021</v>
      </c>
      <c r="E1884" s="1" t="str">
        <f t="shared" si="7"/>
        <v>RAM 700700 LARAMIE CD 1.32021</v>
      </c>
      <c r="F1884" s="1" t="s">
        <v>599</v>
      </c>
      <c r="G1884" s="1">
        <v>11635620</v>
      </c>
      <c r="H1884" s="1">
        <v>9250000</v>
      </c>
    </row>
    <row r="1885" spans="1:8" ht="13.5" customHeight="1" x14ac:dyDescent="0.3">
      <c r="A1885" s="1" t="s">
        <v>303</v>
      </c>
      <c r="B1885" s="1" t="s">
        <v>5279</v>
      </c>
      <c r="C1885" s="1" t="s">
        <v>5286</v>
      </c>
      <c r="D1885" s="1">
        <v>2022</v>
      </c>
      <c r="E1885" s="1" t="str">
        <f t="shared" si="7"/>
        <v>RAM 700700 LARAMIE CD 1.32022</v>
      </c>
      <c r="F1885" s="1" t="s">
        <v>818</v>
      </c>
      <c r="G1885" s="1">
        <v>12990000</v>
      </c>
      <c r="H1885" s="1">
        <v>10350000</v>
      </c>
    </row>
    <row r="1886" spans="1:8" ht="13.5" customHeight="1" x14ac:dyDescent="0.3">
      <c r="A1886" s="1" t="s">
        <v>303</v>
      </c>
      <c r="B1886" s="1" t="s">
        <v>5279</v>
      </c>
      <c r="C1886" s="1" t="s">
        <v>5286</v>
      </c>
      <c r="D1886" s="1">
        <v>2022</v>
      </c>
      <c r="E1886" s="1" t="str">
        <f t="shared" si="7"/>
        <v>RAM 700700 LARAMIE CD 1.32022</v>
      </c>
      <c r="F1886" s="1" t="s">
        <v>959</v>
      </c>
      <c r="G1886" s="1">
        <v>12990000</v>
      </c>
      <c r="H1886" s="1">
        <v>11000000</v>
      </c>
    </row>
    <row r="1887" spans="1:8" ht="13.5" customHeight="1" x14ac:dyDescent="0.3">
      <c r="A1887" s="1" t="s">
        <v>303</v>
      </c>
      <c r="B1887" s="1" t="s">
        <v>5279</v>
      </c>
      <c r="C1887" s="1" t="s">
        <v>5287</v>
      </c>
      <c r="D1887" s="1">
        <v>2023</v>
      </c>
      <c r="E1887" s="1" t="str">
        <f t="shared" si="7"/>
        <v>RAM 700700 SLT DCAB 1.42023</v>
      </c>
      <c r="F1887" s="1" t="s">
        <v>1796</v>
      </c>
      <c r="G1887" s="1">
        <v>11490000</v>
      </c>
      <c r="H1887" s="1">
        <v>10000000</v>
      </c>
    </row>
    <row r="1888" spans="1:8" ht="13.5" customHeight="1" x14ac:dyDescent="0.3">
      <c r="A1888" s="1" t="s">
        <v>303</v>
      </c>
      <c r="B1888" s="1" t="s">
        <v>5288</v>
      </c>
      <c r="C1888" s="1" t="s">
        <v>5289</v>
      </c>
      <c r="D1888" s="1">
        <v>2020</v>
      </c>
      <c r="E1888" s="1" t="str">
        <f t="shared" si="7"/>
        <v>RAM V700VAN 700 RAPID 1.42020</v>
      </c>
      <c r="F1888" s="1" t="s">
        <v>2181</v>
      </c>
      <c r="G1888" s="1">
        <v>7900000</v>
      </c>
      <c r="H1888" s="1">
        <v>6000000</v>
      </c>
    </row>
    <row r="1889" spans="1:8" ht="13.5" customHeight="1" x14ac:dyDescent="0.3">
      <c r="A1889" s="1" t="s">
        <v>303</v>
      </c>
      <c r="B1889" s="1" t="s">
        <v>5288</v>
      </c>
      <c r="C1889" s="1" t="s">
        <v>5289</v>
      </c>
      <c r="D1889" s="1">
        <v>2022</v>
      </c>
      <c r="E1889" s="1" t="str">
        <f t="shared" si="7"/>
        <v>RAM V700VAN 700 RAPID 1.42022</v>
      </c>
      <c r="F1889" s="1" t="s">
        <v>2163</v>
      </c>
      <c r="G1889" s="1">
        <v>9490000</v>
      </c>
      <c r="H1889" s="1">
        <v>8915966</v>
      </c>
    </row>
    <row r="1890" spans="1:8" ht="13.5" customHeight="1" x14ac:dyDescent="0.3">
      <c r="A1890" s="1" t="s">
        <v>303</v>
      </c>
      <c r="B1890" s="1" t="s">
        <v>311</v>
      </c>
      <c r="C1890" s="1" t="s">
        <v>312</v>
      </c>
      <c r="D1890" s="1">
        <v>2024</v>
      </c>
      <c r="E1890" s="1" t="str">
        <f t="shared" si="7"/>
        <v>RAMPAGERAMPAGE DS BIGHORN 4X4 2.0 AUT2024</v>
      </c>
      <c r="F1890" s="1" t="s">
        <v>655</v>
      </c>
      <c r="G1890" s="1">
        <v>28290000</v>
      </c>
      <c r="H1890" s="1">
        <v>24300000</v>
      </c>
    </row>
    <row r="1891" spans="1:8" ht="13.5" customHeight="1" x14ac:dyDescent="0.3">
      <c r="A1891" s="1" t="s">
        <v>314</v>
      </c>
      <c r="B1891" s="1" t="s">
        <v>314</v>
      </c>
      <c r="C1891" s="1" t="s">
        <v>5290</v>
      </c>
      <c r="D1891" s="1">
        <v>2021</v>
      </c>
      <c r="E1891" s="1" t="str">
        <f t="shared" si="7"/>
        <v>RENAULTCAPTUR SOHC 1.52021</v>
      </c>
      <c r="F1891" s="1" t="s">
        <v>2065</v>
      </c>
      <c r="G1891" s="1">
        <v>9990000</v>
      </c>
      <c r="H1891" s="1">
        <v>9800000</v>
      </c>
    </row>
    <row r="1892" spans="1:8" ht="13.5" customHeight="1" x14ac:dyDescent="0.3">
      <c r="A1892" s="1" t="s">
        <v>314</v>
      </c>
      <c r="B1892" s="1" t="s">
        <v>314</v>
      </c>
      <c r="C1892" s="1" t="s">
        <v>5291</v>
      </c>
      <c r="D1892" s="1">
        <v>2019</v>
      </c>
      <c r="E1892" s="1" t="str">
        <f t="shared" si="7"/>
        <v>RENAULTCLIO HB EXPRESSION 1.22019</v>
      </c>
      <c r="F1892" s="1" t="s">
        <v>1201</v>
      </c>
      <c r="G1892" s="1">
        <v>6809120</v>
      </c>
      <c r="H1892" s="1">
        <v>5600000</v>
      </c>
    </row>
    <row r="1893" spans="1:8" ht="13.5" customHeight="1" x14ac:dyDescent="0.3">
      <c r="A1893" s="1" t="s">
        <v>314</v>
      </c>
      <c r="B1893" s="1" t="s">
        <v>314</v>
      </c>
      <c r="C1893" s="1" t="s">
        <v>5292</v>
      </c>
      <c r="D1893" s="1">
        <v>2019</v>
      </c>
      <c r="E1893" s="1" t="str">
        <f t="shared" si="7"/>
        <v>RENAULTCLIO IV HB 1.22019</v>
      </c>
      <c r="F1893" s="1" t="s">
        <v>1676</v>
      </c>
      <c r="G1893" s="1">
        <v>7732250</v>
      </c>
      <c r="H1893" s="1">
        <v>6500000</v>
      </c>
    </row>
    <row r="1894" spans="1:8" ht="13.5" customHeight="1" x14ac:dyDescent="0.3">
      <c r="A1894" s="1" t="s">
        <v>314</v>
      </c>
      <c r="B1894" s="1" t="s">
        <v>314</v>
      </c>
      <c r="C1894" s="1" t="s">
        <v>5293</v>
      </c>
      <c r="D1894" s="1">
        <v>2020</v>
      </c>
      <c r="E1894" s="1" t="str">
        <f t="shared" si="7"/>
        <v>RENAULTDUSTER 1.62020</v>
      </c>
      <c r="F1894" s="1" t="s">
        <v>436</v>
      </c>
      <c r="G1894" s="1">
        <v>8790000</v>
      </c>
      <c r="H1894" s="1">
        <v>6800000</v>
      </c>
    </row>
    <row r="1895" spans="1:8" ht="13.5" customHeight="1" x14ac:dyDescent="0.3">
      <c r="A1895" s="1" t="s">
        <v>314</v>
      </c>
      <c r="B1895" s="1" t="s">
        <v>314</v>
      </c>
      <c r="C1895" s="1" t="s">
        <v>5293</v>
      </c>
      <c r="D1895" s="1">
        <v>2021</v>
      </c>
      <c r="E1895" s="1" t="str">
        <f t="shared" si="7"/>
        <v>RENAULTDUSTER 1.62021</v>
      </c>
      <c r="F1895" s="1" t="s">
        <v>1987</v>
      </c>
      <c r="G1895" s="1">
        <v>10990000</v>
      </c>
      <c r="H1895" s="1">
        <v>9000000</v>
      </c>
    </row>
    <row r="1896" spans="1:8" ht="13.5" customHeight="1" x14ac:dyDescent="0.3">
      <c r="A1896" s="1" t="s">
        <v>314</v>
      </c>
      <c r="B1896" s="1" t="s">
        <v>314</v>
      </c>
      <c r="C1896" s="1" t="s">
        <v>5294</v>
      </c>
      <c r="D1896" s="1">
        <v>2016</v>
      </c>
      <c r="E1896" s="1" t="str">
        <f t="shared" si="7"/>
        <v>RENAULTDUSTER DYNAMIQUE 1.62016</v>
      </c>
      <c r="F1896" s="1" t="s">
        <v>2194</v>
      </c>
      <c r="G1896" s="1">
        <v>6990000</v>
      </c>
      <c r="H1896" s="1">
        <v>5500000</v>
      </c>
    </row>
    <row r="1897" spans="1:8" ht="13.5" customHeight="1" x14ac:dyDescent="0.3">
      <c r="A1897" s="1" t="s">
        <v>314</v>
      </c>
      <c r="B1897" s="1" t="s">
        <v>314</v>
      </c>
      <c r="C1897" s="1" t="s">
        <v>5295</v>
      </c>
      <c r="D1897" s="1">
        <v>2018</v>
      </c>
      <c r="E1897" s="1" t="str">
        <f t="shared" si="7"/>
        <v>RENAULTDUSTER LIFE 1.62018</v>
      </c>
      <c r="F1897" s="1" t="s">
        <v>1547</v>
      </c>
      <c r="G1897" s="1">
        <v>7390000</v>
      </c>
      <c r="H1897" s="1">
        <v>5800000</v>
      </c>
    </row>
    <row r="1898" spans="1:8" ht="13.5" customHeight="1" x14ac:dyDescent="0.3">
      <c r="A1898" s="1" t="s">
        <v>314</v>
      </c>
      <c r="B1898" s="1" t="s">
        <v>314</v>
      </c>
      <c r="C1898" s="1" t="s">
        <v>5295</v>
      </c>
      <c r="D1898" s="1">
        <v>2021</v>
      </c>
      <c r="E1898" s="1" t="str">
        <f t="shared" si="7"/>
        <v>RENAULTDUSTER LIFE 1.62021</v>
      </c>
      <c r="F1898" s="1" t="s">
        <v>2074</v>
      </c>
      <c r="G1898" s="1">
        <v>10090000</v>
      </c>
      <c r="H1898" s="1">
        <v>8200000</v>
      </c>
    </row>
    <row r="1899" spans="1:8" ht="13.5" customHeight="1" x14ac:dyDescent="0.3">
      <c r="A1899" s="1" t="s">
        <v>314</v>
      </c>
      <c r="B1899" s="1" t="s">
        <v>314</v>
      </c>
      <c r="C1899" s="1" t="s">
        <v>315</v>
      </c>
      <c r="D1899" s="1">
        <v>2018</v>
      </c>
      <c r="E1899" s="1" t="str">
        <f t="shared" si="7"/>
        <v>RENAULTDUSTER ZEN 1.62018</v>
      </c>
      <c r="F1899" s="1" t="s">
        <v>2055</v>
      </c>
      <c r="G1899" s="1">
        <v>7490000</v>
      </c>
      <c r="H1899" s="1">
        <v>5700000</v>
      </c>
    </row>
    <row r="1900" spans="1:8" ht="13.5" customHeight="1" x14ac:dyDescent="0.3">
      <c r="A1900" s="1" t="s">
        <v>314</v>
      </c>
      <c r="B1900" s="1" t="s">
        <v>314</v>
      </c>
      <c r="C1900" s="1" t="s">
        <v>315</v>
      </c>
      <c r="D1900" s="1">
        <v>2018</v>
      </c>
      <c r="E1900" s="1" t="str">
        <f t="shared" si="7"/>
        <v>RENAULTDUSTER ZEN 1.62018</v>
      </c>
      <c r="F1900" s="1" t="s">
        <v>1273</v>
      </c>
      <c r="G1900" s="1">
        <v>6790000</v>
      </c>
      <c r="H1900" s="1">
        <v>5500000</v>
      </c>
    </row>
    <row r="1901" spans="1:8" ht="13.5" customHeight="1" x14ac:dyDescent="0.3">
      <c r="A1901" s="1" t="s">
        <v>314</v>
      </c>
      <c r="B1901" s="1" t="s">
        <v>314</v>
      </c>
      <c r="C1901" s="1" t="s">
        <v>315</v>
      </c>
      <c r="D1901" s="1">
        <v>2019</v>
      </c>
      <c r="E1901" s="1" t="str">
        <f t="shared" si="7"/>
        <v>RENAULTDUSTER ZEN 1.62019</v>
      </c>
      <c r="F1901" s="1" t="s">
        <v>1591</v>
      </c>
      <c r="G1901" s="1">
        <v>7850000</v>
      </c>
      <c r="H1901" s="1">
        <v>5800000</v>
      </c>
    </row>
    <row r="1902" spans="1:8" ht="13.5" customHeight="1" x14ac:dyDescent="0.3">
      <c r="A1902" s="1" t="s">
        <v>314</v>
      </c>
      <c r="B1902" s="1" t="s">
        <v>314</v>
      </c>
      <c r="C1902" s="1" t="s">
        <v>315</v>
      </c>
      <c r="D1902" s="1">
        <v>2019</v>
      </c>
      <c r="E1902" s="1" t="str">
        <f t="shared" si="7"/>
        <v>RENAULTDUSTER ZEN 1.62019</v>
      </c>
      <c r="F1902" s="1" t="s">
        <v>2330</v>
      </c>
      <c r="G1902" s="1">
        <v>7990000</v>
      </c>
      <c r="H1902" s="1">
        <v>6500000</v>
      </c>
    </row>
    <row r="1903" spans="1:8" ht="13.5" customHeight="1" x14ac:dyDescent="0.3">
      <c r="A1903" s="1" t="s">
        <v>314</v>
      </c>
      <c r="B1903" s="1" t="s">
        <v>314</v>
      </c>
      <c r="C1903" s="1" t="s">
        <v>315</v>
      </c>
      <c r="D1903" s="1">
        <v>2019</v>
      </c>
      <c r="E1903" s="1" t="str">
        <f t="shared" si="7"/>
        <v>RENAULTDUSTER ZEN 1.62019</v>
      </c>
      <c r="F1903" s="1" t="s">
        <v>1888</v>
      </c>
      <c r="G1903" s="1">
        <v>7300000</v>
      </c>
      <c r="H1903" s="1">
        <v>5840000</v>
      </c>
    </row>
    <row r="1904" spans="1:8" ht="13.5" customHeight="1" x14ac:dyDescent="0.3">
      <c r="A1904" s="1" t="s">
        <v>314</v>
      </c>
      <c r="B1904" s="1" t="s">
        <v>314</v>
      </c>
      <c r="C1904" s="1" t="s">
        <v>315</v>
      </c>
      <c r="D1904" s="1">
        <v>2020</v>
      </c>
      <c r="E1904" s="1" t="str">
        <f t="shared" si="7"/>
        <v>RENAULTDUSTER ZEN 1.62020</v>
      </c>
      <c r="F1904" s="1" t="s">
        <v>2304</v>
      </c>
      <c r="G1904" s="1">
        <v>9790000</v>
      </c>
      <c r="H1904" s="1">
        <v>8300000</v>
      </c>
    </row>
    <row r="1905" spans="1:8" ht="13.5" customHeight="1" x14ac:dyDescent="0.3">
      <c r="A1905" s="1" t="s">
        <v>314</v>
      </c>
      <c r="B1905" s="1" t="s">
        <v>314</v>
      </c>
      <c r="C1905" s="1" t="s">
        <v>5296</v>
      </c>
      <c r="D1905" s="1">
        <v>2018</v>
      </c>
      <c r="E1905" s="1" t="str">
        <f t="shared" si="7"/>
        <v>RENAULTDUSTER ZEN 2.02018</v>
      </c>
      <c r="F1905" s="1" t="s">
        <v>934</v>
      </c>
      <c r="G1905" s="1">
        <v>6810000</v>
      </c>
      <c r="H1905" s="1">
        <v>5700000</v>
      </c>
    </row>
    <row r="1906" spans="1:8" ht="13.5" customHeight="1" x14ac:dyDescent="0.3">
      <c r="A1906" s="1" t="s">
        <v>314</v>
      </c>
      <c r="B1906" s="1" t="s">
        <v>314</v>
      </c>
      <c r="C1906" s="1" t="s">
        <v>5297</v>
      </c>
      <c r="D1906" s="1">
        <v>2023</v>
      </c>
      <c r="E1906" s="1" t="str">
        <f t="shared" si="7"/>
        <v>RENAULTKWID HB 1.02023</v>
      </c>
      <c r="F1906" s="1" t="s">
        <v>521</v>
      </c>
      <c r="G1906" s="1">
        <v>6790000</v>
      </c>
      <c r="H1906" s="1">
        <v>4550000</v>
      </c>
    </row>
    <row r="1907" spans="1:8" ht="13.5" customHeight="1" x14ac:dyDescent="0.3">
      <c r="A1907" s="1" t="s">
        <v>314</v>
      </c>
      <c r="B1907" s="1" t="s">
        <v>314</v>
      </c>
      <c r="C1907" s="1" t="s">
        <v>5298</v>
      </c>
      <c r="D1907" s="1">
        <v>2018</v>
      </c>
      <c r="E1907" s="1" t="str">
        <f t="shared" si="7"/>
        <v>RENAULTOROCH 2.02018</v>
      </c>
      <c r="F1907" s="1" t="s">
        <v>662</v>
      </c>
      <c r="G1907" s="1">
        <v>7800000</v>
      </c>
      <c r="H1907" s="1">
        <v>6450000</v>
      </c>
    </row>
    <row r="1908" spans="1:8" ht="13.5" customHeight="1" x14ac:dyDescent="0.3">
      <c r="A1908" s="1" t="s">
        <v>314</v>
      </c>
      <c r="B1908" s="1" t="s">
        <v>314</v>
      </c>
      <c r="C1908" s="1" t="s">
        <v>5299</v>
      </c>
      <c r="D1908" s="1">
        <v>2020</v>
      </c>
      <c r="E1908" s="1" t="str">
        <f t="shared" si="7"/>
        <v>RENAULTOROCH ZEN 1.62020</v>
      </c>
      <c r="F1908" s="1" t="s">
        <v>631</v>
      </c>
      <c r="G1908" s="1">
        <v>10150000</v>
      </c>
      <c r="H1908" s="1">
        <v>8300000</v>
      </c>
    </row>
    <row r="1909" spans="1:8" ht="13.5" customHeight="1" x14ac:dyDescent="0.3">
      <c r="A1909" s="1" t="s">
        <v>314</v>
      </c>
      <c r="B1909" s="1" t="s">
        <v>314</v>
      </c>
      <c r="C1909" s="1" t="s">
        <v>5300</v>
      </c>
      <c r="D1909" s="1">
        <v>2019</v>
      </c>
      <c r="E1909" s="1" t="str">
        <f t="shared" si="7"/>
        <v>RENAULTSYMBOL 1.62019</v>
      </c>
      <c r="F1909" s="1" t="s">
        <v>1968</v>
      </c>
      <c r="G1909" s="1">
        <v>7290000</v>
      </c>
      <c r="H1909" s="1">
        <v>4900000</v>
      </c>
    </row>
    <row r="1910" spans="1:8" ht="13.5" customHeight="1" x14ac:dyDescent="0.3">
      <c r="A1910" s="1" t="s">
        <v>314</v>
      </c>
      <c r="B1910" s="1" t="s">
        <v>4830</v>
      </c>
      <c r="C1910" s="1" t="s">
        <v>5301</v>
      </c>
      <c r="D1910" s="1">
        <v>2022</v>
      </c>
      <c r="E1910" s="1" t="str">
        <f t="shared" si="7"/>
        <v>TODOSDUSTER 4X2 1.62022</v>
      </c>
      <c r="F1910" s="1" t="s">
        <v>1294</v>
      </c>
      <c r="G1910" s="1">
        <v>10190000</v>
      </c>
      <c r="H1910" s="1">
        <v>7800000</v>
      </c>
    </row>
    <row r="1911" spans="1:8" ht="13.5" customHeight="1" x14ac:dyDescent="0.3">
      <c r="A1911" s="1" t="s">
        <v>314</v>
      </c>
      <c r="B1911" s="1" t="s">
        <v>4830</v>
      </c>
      <c r="C1911" s="1" t="s">
        <v>5302</v>
      </c>
      <c r="D1911" s="1">
        <v>2022</v>
      </c>
      <c r="E1911" s="1" t="str">
        <f t="shared" si="7"/>
        <v>TODOSKOLEOS 2.5 AUT2022</v>
      </c>
      <c r="F1911" s="1" t="s">
        <v>1469</v>
      </c>
      <c r="G1911" s="1">
        <v>16290000</v>
      </c>
      <c r="H1911" s="1">
        <v>15500000</v>
      </c>
    </row>
    <row r="1912" spans="1:8" ht="13.5" customHeight="1" x14ac:dyDescent="0.3">
      <c r="A1912" s="1" t="s">
        <v>314</v>
      </c>
      <c r="B1912" s="1" t="s">
        <v>4830</v>
      </c>
      <c r="C1912" s="1" t="s">
        <v>5303</v>
      </c>
      <c r="D1912" s="1">
        <v>2022</v>
      </c>
      <c r="E1912" s="1" t="str">
        <f t="shared" si="7"/>
        <v>TODOSKOLEOS 4X4 2.5 AUT2022</v>
      </c>
      <c r="F1912" s="1" t="s">
        <v>1130</v>
      </c>
      <c r="G1912" s="1">
        <v>17490000</v>
      </c>
      <c r="H1912" s="1">
        <v>13500000</v>
      </c>
    </row>
    <row r="1913" spans="1:8" ht="13.5" customHeight="1" x14ac:dyDescent="0.3">
      <c r="A1913" s="1" t="s">
        <v>314</v>
      </c>
      <c r="B1913" s="1" t="s">
        <v>4830</v>
      </c>
      <c r="C1913" s="1" t="s">
        <v>5304</v>
      </c>
      <c r="D1913" s="1">
        <v>2019</v>
      </c>
      <c r="E1913" s="1" t="str">
        <f t="shared" si="7"/>
        <v>TODOSSYMBOL SOHC 1.62019</v>
      </c>
      <c r="F1913" s="1" t="s">
        <v>1106</v>
      </c>
      <c r="G1913" s="1">
        <v>5990000</v>
      </c>
      <c r="H1913" s="1">
        <v>4700000</v>
      </c>
    </row>
    <row r="1914" spans="1:8" ht="13.5" customHeight="1" x14ac:dyDescent="0.3">
      <c r="A1914" s="1" t="s">
        <v>3720</v>
      </c>
      <c r="B1914" s="1" t="s">
        <v>3871</v>
      </c>
      <c r="C1914" s="1" t="s">
        <v>5305</v>
      </c>
      <c r="D1914" s="1">
        <v>2021</v>
      </c>
      <c r="E1914" s="1" t="str">
        <f t="shared" si="7"/>
        <v>ATECAATECA 4X4 1.4 AUT2021</v>
      </c>
      <c r="F1914" s="1" t="s">
        <v>396</v>
      </c>
      <c r="G1914" s="1">
        <v>11990000</v>
      </c>
      <c r="H1914" s="1">
        <v>10000000</v>
      </c>
    </row>
    <row r="1915" spans="1:8" ht="13.5" customHeight="1" x14ac:dyDescent="0.3">
      <c r="A1915" s="1" t="s">
        <v>317</v>
      </c>
      <c r="B1915" s="1" t="s">
        <v>5306</v>
      </c>
      <c r="C1915" s="1" t="s">
        <v>5307</v>
      </c>
      <c r="D1915" s="1">
        <v>2021</v>
      </c>
      <c r="E1915" s="1" t="str">
        <f t="shared" si="7"/>
        <v>ACTYONACTYON SPORT 2.22021</v>
      </c>
      <c r="F1915" s="1" t="s">
        <v>2753</v>
      </c>
      <c r="G1915" s="1">
        <v>12990000</v>
      </c>
      <c r="H1915" s="1">
        <v>16700000</v>
      </c>
    </row>
    <row r="1916" spans="1:8" ht="13.5" customHeight="1" x14ac:dyDescent="0.3">
      <c r="A1916" s="1" t="s">
        <v>317</v>
      </c>
      <c r="B1916" s="1" t="s">
        <v>318</v>
      </c>
      <c r="C1916" s="1" t="s">
        <v>5308</v>
      </c>
      <c r="D1916" s="1">
        <v>2021</v>
      </c>
      <c r="E1916" s="1" t="str">
        <f t="shared" si="7"/>
        <v>KORANDOKORANDO 1.52021</v>
      </c>
      <c r="F1916" s="1" t="s">
        <v>1340</v>
      </c>
      <c r="G1916" s="1">
        <v>11088638</v>
      </c>
      <c r="H1916" s="1">
        <v>10500000</v>
      </c>
    </row>
    <row r="1917" spans="1:8" ht="13.5" customHeight="1" x14ac:dyDescent="0.3">
      <c r="A1917" s="1" t="s">
        <v>317</v>
      </c>
      <c r="B1917" s="1" t="s">
        <v>318</v>
      </c>
      <c r="C1917" s="1" t="s">
        <v>5308</v>
      </c>
      <c r="D1917" s="1">
        <v>2021</v>
      </c>
      <c r="E1917" s="1" t="str">
        <f t="shared" si="7"/>
        <v>KORANDOKORANDO 1.52021</v>
      </c>
      <c r="F1917" s="1" t="s">
        <v>1699</v>
      </c>
      <c r="G1917" s="1">
        <v>12990000</v>
      </c>
      <c r="H1917" s="1">
        <v>10500000</v>
      </c>
    </row>
    <row r="1918" spans="1:8" ht="13.5" customHeight="1" x14ac:dyDescent="0.3">
      <c r="A1918" s="1" t="s">
        <v>317</v>
      </c>
      <c r="B1918" s="1" t="s">
        <v>318</v>
      </c>
      <c r="C1918" s="1" t="s">
        <v>5308</v>
      </c>
      <c r="D1918" s="1">
        <v>2021</v>
      </c>
      <c r="E1918" s="1" t="str">
        <f t="shared" si="7"/>
        <v>KORANDOKORANDO 1.52021</v>
      </c>
      <c r="F1918" s="1" t="s">
        <v>490</v>
      </c>
      <c r="G1918" s="1">
        <v>10990000</v>
      </c>
      <c r="H1918" s="1">
        <v>9200000</v>
      </c>
    </row>
    <row r="1919" spans="1:8" ht="13.5" customHeight="1" x14ac:dyDescent="0.3">
      <c r="A1919" s="1" t="s">
        <v>317</v>
      </c>
      <c r="B1919" s="1" t="s">
        <v>318</v>
      </c>
      <c r="C1919" s="1" t="s">
        <v>5309</v>
      </c>
      <c r="D1919" s="1">
        <v>2016</v>
      </c>
      <c r="E1919" s="1" t="str">
        <f t="shared" si="7"/>
        <v>KORANDOKORANDO 2.22016</v>
      </c>
      <c r="F1919" s="1" t="s">
        <v>1361</v>
      </c>
      <c r="G1919" s="1">
        <v>7890000</v>
      </c>
      <c r="H1919" s="1">
        <v>6500000</v>
      </c>
    </row>
    <row r="1920" spans="1:8" ht="13.5" customHeight="1" x14ac:dyDescent="0.3">
      <c r="A1920" s="1" t="s">
        <v>317</v>
      </c>
      <c r="B1920" s="1" t="s">
        <v>318</v>
      </c>
      <c r="C1920" s="1" t="s">
        <v>5309</v>
      </c>
      <c r="D1920" s="1">
        <v>2018</v>
      </c>
      <c r="E1920" s="1" t="str">
        <f t="shared" si="7"/>
        <v>KORANDOKORANDO 2.22018</v>
      </c>
      <c r="F1920" s="1" t="s">
        <v>1134</v>
      </c>
      <c r="G1920" s="1">
        <v>8990000</v>
      </c>
      <c r="H1920" s="1">
        <v>7200000</v>
      </c>
    </row>
    <row r="1921" spans="1:8" ht="13.5" customHeight="1" x14ac:dyDescent="0.3">
      <c r="A1921" s="1" t="s">
        <v>317</v>
      </c>
      <c r="B1921" s="1" t="s">
        <v>318</v>
      </c>
      <c r="C1921" s="1" t="s">
        <v>5310</v>
      </c>
      <c r="D1921" s="1">
        <v>2019</v>
      </c>
      <c r="E1921" s="1" t="str">
        <f t="shared" si="7"/>
        <v>KORANDOKORANDO 2.2 AUT2019</v>
      </c>
      <c r="F1921" s="1" t="s">
        <v>2062</v>
      </c>
      <c r="G1921" s="1">
        <v>9990000</v>
      </c>
      <c r="H1921" s="1">
        <v>8170588</v>
      </c>
    </row>
    <row r="1922" spans="1:8" ht="13.5" customHeight="1" x14ac:dyDescent="0.3">
      <c r="A1922" s="1" t="s">
        <v>317</v>
      </c>
      <c r="B1922" s="1" t="s">
        <v>318</v>
      </c>
      <c r="C1922" s="1" t="s">
        <v>319</v>
      </c>
      <c r="D1922" s="1">
        <v>2021</v>
      </c>
      <c r="E1922" s="1" t="str">
        <f t="shared" si="7"/>
        <v>KORANDONEW KORANDO 1.62021</v>
      </c>
      <c r="F1922" s="1" t="s">
        <v>320</v>
      </c>
      <c r="G1922" s="1">
        <v>13990000</v>
      </c>
      <c r="H1922" s="1">
        <v>12000000</v>
      </c>
    </row>
    <row r="1923" spans="1:8" ht="13.5" customHeight="1" x14ac:dyDescent="0.3">
      <c r="A1923" s="1" t="s">
        <v>317</v>
      </c>
      <c r="B1923" s="1" t="s">
        <v>318</v>
      </c>
      <c r="C1923" s="1" t="s">
        <v>5311</v>
      </c>
      <c r="D1923" s="1">
        <v>2022</v>
      </c>
      <c r="E1923" s="1" t="str">
        <f t="shared" si="7"/>
        <v>KORANDONEW KORANDO GLX 1.52022</v>
      </c>
      <c r="G1923" s="1">
        <v>14490000</v>
      </c>
      <c r="H1923" s="1">
        <v>0</v>
      </c>
    </row>
    <row r="1924" spans="1:8" ht="13.5" customHeight="1" x14ac:dyDescent="0.3">
      <c r="A1924" s="1" t="s">
        <v>317</v>
      </c>
      <c r="B1924" s="1" t="s">
        <v>318</v>
      </c>
      <c r="C1924" s="1" t="s">
        <v>5311</v>
      </c>
      <c r="D1924" s="1">
        <v>2022</v>
      </c>
      <c r="E1924" s="1" t="str">
        <f t="shared" si="7"/>
        <v>KORANDONEW KORANDO GLX 1.52022</v>
      </c>
      <c r="F1924" s="1" t="s">
        <v>1049</v>
      </c>
      <c r="G1924" s="1">
        <v>14490000</v>
      </c>
      <c r="H1924" s="1">
        <v>11300000</v>
      </c>
    </row>
    <row r="1925" spans="1:8" ht="13.5" customHeight="1" x14ac:dyDescent="0.3">
      <c r="A1925" s="1" t="s">
        <v>317</v>
      </c>
      <c r="B1925" s="1" t="s">
        <v>318</v>
      </c>
      <c r="C1925" s="1" t="s">
        <v>5311</v>
      </c>
      <c r="D1925" s="1">
        <v>2022</v>
      </c>
      <c r="E1925" s="1" t="str">
        <f t="shared" si="7"/>
        <v>KORANDONEW KORANDO GLX 1.52022</v>
      </c>
      <c r="F1925" s="1" t="s">
        <v>468</v>
      </c>
      <c r="G1925" s="1">
        <v>13990000</v>
      </c>
      <c r="H1925" s="1">
        <v>11300000</v>
      </c>
    </row>
    <row r="1926" spans="1:8" ht="13.5" customHeight="1" x14ac:dyDescent="0.3">
      <c r="A1926" s="1" t="s">
        <v>317</v>
      </c>
      <c r="B1926" s="1" t="s">
        <v>318</v>
      </c>
      <c r="C1926" s="1" t="s">
        <v>5312</v>
      </c>
      <c r="D1926" s="1">
        <v>2022</v>
      </c>
      <c r="E1926" s="1" t="str">
        <f t="shared" si="7"/>
        <v>KORANDONEW KORANDO GLX 1.5 AUT2022</v>
      </c>
      <c r="F1926" s="1" t="s">
        <v>2007</v>
      </c>
      <c r="G1926" s="1">
        <v>14990000</v>
      </c>
      <c r="H1926" s="1">
        <v>15500000</v>
      </c>
    </row>
    <row r="1927" spans="1:8" ht="13.5" customHeight="1" x14ac:dyDescent="0.3">
      <c r="A1927" s="1" t="s">
        <v>317</v>
      </c>
      <c r="B1927" s="1" t="s">
        <v>318</v>
      </c>
      <c r="C1927" s="1" t="s">
        <v>5313</v>
      </c>
      <c r="D1927" s="1">
        <v>2021</v>
      </c>
      <c r="E1927" s="1" t="str">
        <f t="shared" si="7"/>
        <v>KORANDONEW KORANDO GLX FULL 1.6 AUT2021</v>
      </c>
      <c r="F1927" s="1" t="s">
        <v>1499</v>
      </c>
      <c r="G1927" s="1">
        <v>15550000</v>
      </c>
      <c r="H1927" s="1">
        <v>13250000</v>
      </c>
    </row>
    <row r="1928" spans="1:8" ht="13.5" customHeight="1" x14ac:dyDescent="0.3">
      <c r="A1928" s="1" t="s">
        <v>317</v>
      </c>
      <c r="B1928" s="1" t="s">
        <v>318</v>
      </c>
      <c r="C1928" s="1" t="s">
        <v>5314</v>
      </c>
      <c r="D1928" s="1">
        <v>2022</v>
      </c>
      <c r="E1928" s="1" t="str">
        <f t="shared" si="7"/>
        <v>KORANDONEW KORANDO LIMITED 1.5 AUT2022</v>
      </c>
      <c r="F1928" s="1" t="s">
        <v>1832</v>
      </c>
      <c r="G1928" s="1">
        <v>15990000</v>
      </c>
      <c r="H1928" s="1">
        <v>14500000</v>
      </c>
    </row>
    <row r="1929" spans="1:8" ht="13.5" customHeight="1" x14ac:dyDescent="0.3">
      <c r="A1929" s="1" t="s">
        <v>317</v>
      </c>
      <c r="B1929" s="1" t="s">
        <v>5315</v>
      </c>
      <c r="C1929" s="1" t="s">
        <v>5316</v>
      </c>
      <c r="D1929" s="1">
        <v>2021</v>
      </c>
      <c r="E1929" s="1" t="str">
        <f t="shared" si="7"/>
        <v>MUSSO GRAND EURO 6BMUSSO DCAB 4X4 2.2 AUT2021</v>
      </c>
      <c r="F1929" s="1" t="s">
        <v>1472</v>
      </c>
      <c r="G1929" s="1">
        <v>18924620</v>
      </c>
      <c r="H1929" s="1">
        <v>16500000</v>
      </c>
    </row>
    <row r="1930" spans="1:8" ht="13.5" customHeight="1" x14ac:dyDescent="0.3">
      <c r="A1930" s="1" t="s">
        <v>317</v>
      </c>
      <c r="B1930" s="1" t="s">
        <v>5315</v>
      </c>
      <c r="C1930" s="1" t="s">
        <v>5316</v>
      </c>
      <c r="D1930" s="1">
        <v>2021</v>
      </c>
      <c r="E1930" s="1" t="str">
        <f t="shared" si="7"/>
        <v>MUSSO GRAND EURO 6BMUSSO DCAB 4X4 2.2 AUT2021</v>
      </c>
      <c r="F1930" s="1" t="s">
        <v>1474</v>
      </c>
      <c r="G1930" s="1">
        <v>19000000</v>
      </c>
      <c r="H1930" s="1">
        <v>16500000</v>
      </c>
    </row>
    <row r="1931" spans="1:8" ht="13.5" customHeight="1" x14ac:dyDescent="0.3">
      <c r="A1931" s="1" t="s">
        <v>317</v>
      </c>
      <c r="B1931" s="1" t="s">
        <v>5315</v>
      </c>
      <c r="C1931" s="1" t="s">
        <v>5316</v>
      </c>
      <c r="D1931" s="1">
        <v>2022</v>
      </c>
      <c r="E1931" s="1" t="str">
        <f t="shared" si="7"/>
        <v>MUSSO GRAND EURO 6BMUSSO DCAB 4X4 2.2 AUT2022</v>
      </c>
      <c r="F1931" s="1" t="s">
        <v>1615</v>
      </c>
      <c r="G1931" s="1">
        <v>17652515</v>
      </c>
      <c r="H1931" s="1">
        <v>16000000</v>
      </c>
    </row>
    <row r="1932" spans="1:8" ht="13.5" customHeight="1" x14ac:dyDescent="0.3">
      <c r="A1932" s="1" t="s">
        <v>317</v>
      </c>
      <c r="B1932" s="1" t="s">
        <v>5315</v>
      </c>
      <c r="C1932" s="1" t="s">
        <v>5317</v>
      </c>
      <c r="D1932" s="1">
        <v>2021</v>
      </c>
      <c r="E1932" s="1" t="str">
        <f t="shared" si="7"/>
        <v>MUSSO GRAND EURO 6BMUSSO GRAND 2.22021</v>
      </c>
      <c r="F1932" s="1" t="s">
        <v>1752</v>
      </c>
      <c r="G1932" s="1">
        <v>13790000</v>
      </c>
      <c r="H1932" s="1">
        <v>12000000</v>
      </c>
    </row>
    <row r="1933" spans="1:8" ht="13.5" customHeight="1" x14ac:dyDescent="0.3">
      <c r="A1933" s="1" t="s">
        <v>317</v>
      </c>
      <c r="B1933" s="1" t="s">
        <v>5315</v>
      </c>
      <c r="C1933" s="1" t="s">
        <v>5317</v>
      </c>
      <c r="D1933" s="1">
        <v>2021</v>
      </c>
      <c r="E1933" s="1" t="str">
        <f t="shared" si="7"/>
        <v>MUSSO GRAND EURO 6BMUSSO GRAND 2.22021</v>
      </c>
      <c r="F1933" s="1" t="s">
        <v>2210</v>
      </c>
      <c r="G1933" s="1">
        <v>16290000</v>
      </c>
      <c r="H1933" s="1">
        <v>14000000</v>
      </c>
    </row>
    <row r="1934" spans="1:8" ht="13.5" customHeight="1" x14ac:dyDescent="0.3">
      <c r="A1934" s="1" t="s">
        <v>317</v>
      </c>
      <c r="B1934" s="1" t="s">
        <v>5315</v>
      </c>
      <c r="C1934" s="1" t="s">
        <v>5317</v>
      </c>
      <c r="D1934" s="1">
        <v>2021</v>
      </c>
      <c r="E1934" s="1" t="str">
        <f t="shared" si="7"/>
        <v>MUSSO GRAND EURO 6BMUSSO GRAND 2.22021</v>
      </c>
      <c r="F1934" s="1" t="s">
        <v>2482</v>
      </c>
      <c r="G1934" s="1">
        <v>19620000</v>
      </c>
      <c r="H1934" s="1">
        <v>16700000</v>
      </c>
    </row>
    <row r="1935" spans="1:8" ht="13.5" customHeight="1" x14ac:dyDescent="0.3">
      <c r="A1935" s="1" t="s">
        <v>317</v>
      </c>
      <c r="B1935" s="1" t="s">
        <v>5315</v>
      </c>
      <c r="C1935" s="1" t="s">
        <v>5317</v>
      </c>
      <c r="D1935" s="1">
        <v>2021</v>
      </c>
      <c r="E1935" s="1" t="str">
        <f t="shared" si="7"/>
        <v>MUSSO GRAND EURO 6BMUSSO GRAND 2.22021</v>
      </c>
      <c r="F1935" s="1" t="s">
        <v>1792</v>
      </c>
      <c r="G1935" s="1">
        <v>13690000</v>
      </c>
      <c r="H1935" s="1">
        <v>11800000</v>
      </c>
    </row>
    <row r="1936" spans="1:8" ht="13.5" customHeight="1" x14ac:dyDescent="0.3">
      <c r="A1936" s="1" t="s">
        <v>317</v>
      </c>
      <c r="B1936" s="1" t="s">
        <v>5315</v>
      </c>
      <c r="C1936" s="1" t="s">
        <v>5317</v>
      </c>
      <c r="D1936" s="1">
        <v>2021</v>
      </c>
      <c r="E1936" s="1" t="str">
        <f t="shared" si="7"/>
        <v>MUSSO GRAND EURO 6BMUSSO GRAND 2.22021</v>
      </c>
      <c r="F1936" s="1" t="s">
        <v>2348</v>
      </c>
      <c r="G1936" s="1">
        <v>16990000</v>
      </c>
      <c r="H1936" s="1">
        <v>16000000</v>
      </c>
    </row>
    <row r="1937" spans="1:8" ht="13.5" customHeight="1" x14ac:dyDescent="0.3">
      <c r="A1937" s="1" t="s">
        <v>317</v>
      </c>
      <c r="B1937" s="1" t="s">
        <v>5315</v>
      </c>
      <c r="C1937" s="1" t="s">
        <v>5317</v>
      </c>
      <c r="D1937" s="1">
        <v>2021</v>
      </c>
      <c r="E1937" s="1" t="str">
        <f t="shared" si="7"/>
        <v>MUSSO GRAND EURO 6BMUSSO GRAND 2.22021</v>
      </c>
      <c r="F1937" s="1" t="s">
        <v>1415</v>
      </c>
      <c r="G1937" s="1">
        <v>15060650</v>
      </c>
      <c r="H1937" s="1">
        <v>13000000</v>
      </c>
    </row>
    <row r="1938" spans="1:8" ht="13.5" customHeight="1" x14ac:dyDescent="0.3">
      <c r="A1938" s="1" t="s">
        <v>317</v>
      </c>
      <c r="B1938" s="1" t="s">
        <v>5315</v>
      </c>
      <c r="C1938" s="1" t="s">
        <v>5317</v>
      </c>
      <c r="D1938" s="1">
        <v>2021</v>
      </c>
      <c r="E1938" s="1" t="str">
        <f t="shared" si="7"/>
        <v>MUSSO GRAND EURO 6BMUSSO GRAND 2.22021</v>
      </c>
      <c r="F1938" s="1" t="s">
        <v>2083</v>
      </c>
      <c r="G1938" s="1">
        <v>17690000</v>
      </c>
      <c r="H1938" s="1">
        <v>14500000</v>
      </c>
    </row>
    <row r="1939" spans="1:8" ht="13.5" customHeight="1" x14ac:dyDescent="0.3">
      <c r="A1939" s="1" t="s">
        <v>317</v>
      </c>
      <c r="B1939" s="1" t="s">
        <v>5315</v>
      </c>
      <c r="C1939" s="1" t="s">
        <v>5317</v>
      </c>
      <c r="D1939" s="1">
        <v>2022</v>
      </c>
      <c r="E1939" s="1" t="str">
        <f t="shared" si="7"/>
        <v>MUSSO GRAND EURO 6BMUSSO GRAND 2.22022</v>
      </c>
      <c r="F1939" s="1" t="s">
        <v>2294</v>
      </c>
      <c r="G1939" s="1">
        <v>17100000</v>
      </c>
      <c r="H1939" s="1">
        <v>16500000</v>
      </c>
    </row>
    <row r="1940" spans="1:8" ht="13.5" customHeight="1" x14ac:dyDescent="0.3">
      <c r="A1940" s="1" t="s">
        <v>317</v>
      </c>
      <c r="B1940" s="1" t="s">
        <v>5315</v>
      </c>
      <c r="C1940" s="1" t="s">
        <v>5317</v>
      </c>
      <c r="D1940" s="1">
        <v>2023</v>
      </c>
      <c r="E1940" s="1" t="str">
        <f t="shared" si="7"/>
        <v>MUSSO GRAND EURO 6BMUSSO GRAND 2.22023</v>
      </c>
      <c r="F1940" s="1" t="s">
        <v>985</v>
      </c>
      <c r="G1940" s="1">
        <v>19490000</v>
      </c>
      <c r="H1940" s="1">
        <v>18600000</v>
      </c>
    </row>
    <row r="1941" spans="1:8" ht="13.5" customHeight="1" x14ac:dyDescent="0.3">
      <c r="A1941" s="1" t="s">
        <v>317</v>
      </c>
      <c r="B1941" s="1" t="s">
        <v>5315</v>
      </c>
      <c r="C1941" s="1" t="s">
        <v>5317</v>
      </c>
      <c r="D1941" s="1">
        <v>2024</v>
      </c>
      <c r="E1941" s="1" t="str">
        <f t="shared" si="7"/>
        <v>MUSSO GRAND EURO 6BMUSSO GRAND 2.22024</v>
      </c>
      <c r="F1941" s="1" t="s">
        <v>1317</v>
      </c>
      <c r="G1941" s="1">
        <v>18500000</v>
      </c>
      <c r="H1941" s="1">
        <v>16500000</v>
      </c>
    </row>
    <row r="1942" spans="1:8" ht="13.5" customHeight="1" x14ac:dyDescent="0.3">
      <c r="A1942" s="1" t="s">
        <v>317</v>
      </c>
      <c r="B1942" s="1" t="s">
        <v>5315</v>
      </c>
      <c r="C1942" s="1" t="s">
        <v>5318</v>
      </c>
      <c r="D1942" s="1">
        <v>2021</v>
      </c>
      <c r="E1942" s="1" t="str">
        <f t="shared" si="7"/>
        <v>MUSSO GRAND EURO 6BMUSSO GRAND 4X4 2.22021</v>
      </c>
      <c r="F1942" s="1" t="s">
        <v>1476</v>
      </c>
      <c r="G1942" s="1">
        <v>15990000</v>
      </c>
      <c r="H1942" s="1">
        <v>13300000</v>
      </c>
    </row>
    <row r="1943" spans="1:8" ht="13.5" customHeight="1" x14ac:dyDescent="0.3">
      <c r="A1943" s="1" t="s">
        <v>317</v>
      </c>
      <c r="B1943" s="1" t="s">
        <v>5315</v>
      </c>
      <c r="C1943" s="1" t="s">
        <v>5318</v>
      </c>
      <c r="D1943" s="1">
        <v>2024</v>
      </c>
      <c r="E1943" s="1" t="str">
        <f t="shared" si="7"/>
        <v>MUSSO GRAND EURO 6BMUSSO GRAND 4X4 2.22024</v>
      </c>
      <c r="F1943" s="1" t="s">
        <v>1538</v>
      </c>
      <c r="G1943" s="1">
        <v>21990000</v>
      </c>
      <c r="H1943" s="1">
        <v>20700000</v>
      </c>
    </row>
    <row r="1944" spans="1:8" ht="13.5" customHeight="1" x14ac:dyDescent="0.3">
      <c r="A1944" s="1" t="s">
        <v>317</v>
      </c>
      <c r="B1944" s="1" t="s">
        <v>5319</v>
      </c>
      <c r="C1944" s="1" t="s">
        <v>5320</v>
      </c>
      <c r="D1944" s="1">
        <v>2020</v>
      </c>
      <c r="E1944" s="1" t="str">
        <f t="shared" si="7"/>
        <v>NEW MUSSO E6GRAND MUSSO 4X4 2.22020</v>
      </c>
      <c r="F1944" s="1" t="s">
        <v>2066</v>
      </c>
      <c r="G1944" s="1">
        <v>15690000</v>
      </c>
      <c r="H1944" s="1">
        <v>12500000</v>
      </c>
    </row>
    <row r="1945" spans="1:8" ht="13.5" customHeight="1" x14ac:dyDescent="0.3">
      <c r="A1945" s="1" t="s">
        <v>317</v>
      </c>
      <c r="B1945" s="1" t="s">
        <v>5319</v>
      </c>
      <c r="C1945" s="1" t="s">
        <v>5321</v>
      </c>
      <c r="D1945" s="1">
        <v>2021</v>
      </c>
      <c r="E1945" s="1" t="str">
        <f t="shared" si="7"/>
        <v>NEW MUSSO E6MUSSO DCAB 4X4 2.22021</v>
      </c>
      <c r="F1945" s="1" t="s">
        <v>1854</v>
      </c>
      <c r="G1945" s="1">
        <v>14790000</v>
      </c>
      <c r="H1945" s="1">
        <v>12500000</v>
      </c>
    </row>
    <row r="1946" spans="1:8" ht="13.5" customHeight="1" x14ac:dyDescent="0.3">
      <c r="A1946" s="1" t="s">
        <v>317</v>
      </c>
      <c r="B1946" s="1" t="s">
        <v>5319</v>
      </c>
      <c r="C1946" s="1" t="s">
        <v>5321</v>
      </c>
      <c r="D1946" s="1">
        <v>2023</v>
      </c>
      <c r="E1946" s="1" t="str">
        <f t="shared" si="7"/>
        <v>NEW MUSSO E6MUSSO DCAB 4X4 2.22023</v>
      </c>
      <c r="F1946" s="1" t="s">
        <v>804</v>
      </c>
      <c r="G1946" s="1">
        <v>20490000</v>
      </c>
      <c r="H1946" s="1">
        <v>17500000</v>
      </c>
    </row>
    <row r="1947" spans="1:8" ht="13.5" customHeight="1" x14ac:dyDescent="0.3">
      <c r="A1947" s="1" t="s">
        <v>317</v>
      </c>
      <c r="B1947" s="1" t="s">
        <v>3573</v>
      </c>
      <c r="C1947" s="1" t="s">
        <v>5322</v>
      </c>
      <c r="D1947" s="1">
        <v>2023</v>
      </c>
      <c r="E1947" s="1" t="str">
        <f t="shared" si="7"/>
        <v>NEW REXTONNEW REXTON 2.0 AT2023</v>
      </c>
      <c r="F1947" s="1" t="s">
        <v>750</v>
      </c>
      <c r="G1947" s="1">
        <v>21585000</v>
      </c>
      <c r="H1947" s="1">
        <v>17800000</v>
      </c>
    </row>
    <row r="1948" spans="1:8" ht="13.5" customHeight="1" x14ac:dyDescent="0.3">
      <c r="A1948" s="1" t="s">
        <v>317</v>
      </c>
      <c r="B1948" s="1" t="s">
        <v>3573</v>
      </c>
      <c r="C1948" s="1" t="s">
        <v>5323</v>
      </c>
      <c r="D1948" s="1">
        <v>2023</v>
      </c>
      <c r="E1948" s="1" t="str">
        <f t="shared" si="7"/>
        <v>NEW REXTONNEW REXTON LX 4X4 2.0 AUT2023</v>
      </c>
      <c r="F1948" s="1" t="s">
        <v>940</v>
      </c>
      <c r="G1948" s="1">
        <v>21580000</v>
      </c>
      <c r="H1948" s="1">
        <v>18000000</v>
      </c>
    </row>
    <row r="1949" spans="1:8" ht="13.5" customHeight="1" x14ac:dyDescent="0.3">
      <c r="A1949" s="1" t="s">
        <v>317</v>
      </c>
      <c r="B1949" s="1" t="s">
        <v>5324</v>
      </c>
      <c r="C1949" s="1" t="s">
        <v>5325</v>
      </c>
      <c r="D1949" s="1">
        <v>2024</v>
      </c>
      <c r="E1949" s="1" t="str">
        <f t="shared" si="7"/>
        <v>NEW REXTON E6 SAREXTON 2.2 AUT2024</v>
      </c>
      <c r="F1949" s="1" t="s">
        <v>384</v>
      </c>
      <c r="G1949" s="1">
        <v>24790000</v>
      </c>
      <c r="H1949" s="1">
        <v>21000000</v>
      </c>
    </row>
    <row r="1950" spans="1:8" ht="13.5" customHeight="1" x14ac:dyDescent="0.3">
      <c r="A1950" s="1" t="s">
        <v>317</v>
      </c>
      <c r="B1950" s="1" t="s">
        <v>321</v>
      </c>
      <c r="C1950" s="1" t="s">
        <v>5326</v>
      </c>
      <c r="D1950" s="1">
        <v>2019</v>
      </c>
      <c r="E1950" s="1" t="str">
        <f t="shared" si="7"/>
        <v>REXTONNEW REXTON 2.02019</v>
      </c>
      <c r="F1950" s="1" t="s">
        <v>1507</v>
      </c>
      <c r="G1950" s="1">
        <v>16190000</v>
      </c>
      <c r="H1950" s="1">
        <v>13800000</v>
      </c>
    </row>
    <row r="1951" spans="1:8" ht="13.5" customHeight="1" x14ac:dyDescent="0.3">
      <c r="A1951" s="1" t="s">
        <v>317</v>
      </c>
      <c r="B1951" s="1" t="s">
        <v>321</v>
      </c>
      <c r="C1951" s="1" t="s">
        <v>5327</v>
      </c>
      <c r="D1951" s="1">
        <v>2020</v>
      </c>
      <c r="E1951" s="1" t="str">
        <f t="shared" si="7"/>
        <v>REXTONNEW REXTON 2.0 AUT2020</v>
      </c>
      <c r="F1951" s="1" t="s">
        <v>2261</v>
      </c>
      <c r="G1951" s="1">
        <v>16990000</v>
      </c>
      <c r="H1951" s="1">
        <v>16000000</v>
      </c>
    </row>
    <row r="1952" spans="1:8" ht="13.5" customHeight="1" x14ac:dyDescent="0.3">
      <c r="A1952" s="1" t="s">
        <v>317</v>
      </c>
      <c r="B1952" s="1" t="s">
        <v>321</v>
      </c>
      <c r="C1952" s="1" t="s">
        <v>5328</v>
      </c>
      <c r="D1952" s="1">
        <v>2018</v>
      </c>
      <c r="E1952" s="1" t="str">
        <f t="shared" si="7"/>
        <v>REXTONNEW REXTON 2.22018</v>
      </c>
      <c r="F1952" s="1" t="s">
        <v>2391</v>
      </c>
      <c r="G1952" s="1">
        <v>15490000</v>
      </c>
      <c r="H1952" s="1">
        <v>14600000</v>
      </c>
    </row>
    <row r="1953" spans="1:8" ht="13.5" customHeight="1" x14ac:dyDescent="0.3">
      <c r="A1953" s="1" t="s">
        <v>317</v>
      </c>
      <c r="B1953" s="1" t="s">
        <v>321</v>
      </c>
      <c r="C1953" s="1" t="s">
        <v>5328</v>
      </c>
      <c r="D1953" s="1">
        <v>2018</v>
      </c>
      <c r="E1953" s="1" t="str">
        <f t="shared" si="7"/>
        <v>REXTONNEW REXTON 2.22018</v>
      </c>
      <c r="F1953" s="1" t="s">
        <v>2220</v>
      </c>
      <c r="G1953" s="1">
        <v>14990000</v>
      </c>
      <c r="H1953" s="1">
        <v>13000000</v>
      </c>
    </row>
    <row r="1954" spans="1:8" ht="13.5" customHeight="1" x14ac:dyDescent="0.3">
      <c r="A1954" s="1" t="s">
        <v>317</v>
      </c>
      <c r="B1954" s="1" t="s">
        <v>321</v>
      </c>
      <c r="C1954" s="1" t="s">
        <v>5328</v>
      </c>
      <c r="D1954" s="1">
        <v>2020</v>
      </c>
      <c r="E1954" s="1" t="str">
        <f t="shared" si="7"/>
        <v>REXTONNEW REXTON 2.22020</v>
      </c>
      <c r="F1954" s="1" t="s">
        <v>2021</v>
      </c>
      <c r="G1954" s="1">
        <v>18990000</v>
      </c>
      <c r="H1954" s="1">
        <v>16000000</v>
      </c>
    </row>
    <row r="1955" spans="1:8" ht="13.5" customHeight="1" x14ac:dyDescent="0.3">
      <c r="A1955" s="1" t="s">
        <v>317</v>
      </c>
      <c r="B1955" s="1" t="s">
        <v>321</v>
      </c>
      <c r="C1955" s="1" t="s">
        <v>5329</v>
      </c>
      <c r="D1955" s="1">
        <v>2018</v>
      </c>
      <c r="E1955" s="1" t="str">
        <f t="shared" si="7"/>
        <v>REXTONNEW REXTON 2.2 AUT2018</v>
      </c>
      <c r="F1955" s="1" t="s">
        <v>2144</v>
      </c>
      <c r="G1955" s="1">
        <v>13990000</v>
      </c>
      <c r="H1955" s="1">
        <v>11500000</v>
      </c>
    </row>
    <row r="1956" spans="1:8" ht="13.5" customHeight="1" x14ac:dyDescent="0.3">
      <c r="A1956" s="1" t="s">
        <v>317</v>
      </c>
      <c r="B1956" s="1" t="s">
        <v>321</v>
      </c>
      <c r="C1956" s="1" t="s">
        <v>5329</v>
      </c>
      <c r="D1956" s="1">
        <v>2020</v>
      </c>
      <c r="E1956" s="1" t="str">
        <f t="shared" si="7"/>
        <v>REXTONNEW REXTON 2.2 AUT2020</v>
      </c>
      <c r="F1956" s="1" t="s">
        <v>1362</v>
      </c>
      <c r="G1956" s="1">
        <v>16290000</v>
      </c>
      <c r="H1956" s="1">
        <v>14850000</v>
      </c>
    </row>
    <row r="1957" spans="1:8" ht="13.5" customHeight="1" x14ac:dyDescent="0.3">
      <c r="A1957" s="1" t="s">
        <v>317</v>
      </c>
      <c r="B1957" s="1" t="s">
        <v>321</v>
      </c>
      <c r="C1957" s="1" t="s">
        <v>5330</v>
      </c>
      <c r="D1957" s="1">
        <v>2019</v>
      </c>
      <c r="E1957" s="1" t="str">
        <f t="shared" si="7"/>
        <v>REXTONNEW REXTON 4X4 2.2 AUT2019</v>
      </c>
      <c r="F1957" s="1" t="s">
        <v>2325</v>
      </c>
      <c r="G1957" s="1">
        <v>17590000</v>
      </c>
      <c r="H1957" s="1">
        <v>15000000</v>
      </c>
    </row>
    <row r="1958" spans="1:8" ht="13.5" customHeight="1" x14ac:dyDescent="0.3">
      <c r="A1958" s="1" t="s">
        <v>317</v>
      </c>
      <c r="B1958" s="1" t="s">
        <v>321</v>
      </c>
      <c r="C1958" s="1" t="s">
        <v>5330</v>
      </c>
      <c r="D1958" s="1">
        <v>2021</v>
      </c>
      <c r="E1958" s="1" t="str">
        <f t="shared" si="7"/>
        <v>REXTONNEW REXTON 4X4 2.2 AUT2021</v>
      </c>
      <c r="F1958" s="1" t="s">
        <v>1656</v>
      </c>
      <c r="G1958" s="1">
        <v>45390000</v>
      </c>
      <c r="H1958" s="1">
        <v>38500000</v>
      </c>
    </row>
    <row r="1959" spans="1:8" ht="13.5" customHeight="1" x14ac:dyDescent="0.3">
      <c r="A1959" s="1" t="s">
        <v>317</v>
      </c>
      <c r="B1959" s="1" t="s">
        <v>321</v>
      </c>
      <c r="C1959" s="1" t="s">
        <v>5331</v>
      </c>
      <c r="D1959" s="1">
        <v>2023</v>
      </c>
      <c r="E1959" s="1" t="str">
        <f t="shared" si="7"/>
        <v>REXTONNEW REXTON GLX TD 2.2 AUT2023</v>
      </c>
      <c r="F1959" s="1" t="s">
        <v>839</v>
      </c>
      <c r="G1959" s="1">
        <v>22500000</v>
      </c>
      <c r="H1959" s="1">
        <v>19500000</v>
      </c>
    </row>
    <row r="1960" spans="1:8" ht="13.5" customHeight="1" x14ac:dyDescent="0.3">
      <c r="A1960" s="1" t="s">
        <v>317</v>
      </c>
      <c r="B1960" s="1" t="s">
        <v>321</v>
      </c>
      <c r="C1960" s="1" t="s">
        <v>5332</v>
      </c>
      <c r="D1960" s="1">
        <v>2023</v>
      </c>
      <c r="E1960" s="1" t="str">
        <f t="shared" si="7"/>
        <v>REXTONNEW REXTON OTTO 2.02023</v>
      </c>
      <c r="F1960" s="1" t="s">
        <v>1449</v>
      </c>
      <c r="G1960" s="1">
        <v>21090000</v>
      </c>
      <c r="H1960" s="1">
        <v>18000000</v>
      </c>
    </row>
    <row r="1961" spans="1:8" ht="13.5" customHeight="1" x14ac:dyDescent="0.3">
      <c r="A1961" s="1" t="s">
        <v>317</v>
      </c>
      <c r="B1961" s="1" t="s">
        <v>5333</v>
      </c>
      <c r="C1961" s="1" t="s">
        <v>5334</v>
      </c>
      <c r="D1961" s="1">
        <v>2016</v>
      </c>
      <c r="E1961" s="1" t="str">
        <f t="shared" si="7"/>
        <v>TIVOLITIVOLI  1.62016</v>
      </c>
      <c r="F1961" s="1" t="s">
        <v>2075</v>
      </c>
      <c r="G1961" s="1">
        <v>8490000</v>
      </c>
      <c r="H1961" s="1">
        <v>5974790</v>
      </c>
    </row>
    <row r="1962" spans="1:8" ht="13.5" customHeight="1" x14ac:dyDescent="0.3">
      <c r="A1962" s="1" t="s">
        <v>317</v>
      </c>
      <c r="B1962" s="1" t="s">
        <v>5333</v>
      </c>
      <c r="C1962" s="1" t="s">
        <v>5335</v>
      </c>
      <c r="D1962" s="1">
        <v>2019</v>
      </c>
      <c r="E1962" s="1" t="str">
        <f t="shared" si="7"/>
        <v>TIVOLITIVOLI 1.6 AUT2019</v>
      </c>
      <c r="F1962" s="1" t="s">
        <v>2192</v>
      </c>
      <c r="G1962" s="1">
        <v>11490000</v>
      </c>
      <c r="H1962" s="1">
        <v>9000000</v>
      </c>
    </row>
    <row r="1963" spans="1:8" ht="13.5" customHeight="1" x14ac:dyDescent="0.3">
      <c r="A1963" s="1" t="s">
        <v>317</v>
      </c>
      <c r="B1963" s="1" t="s">
        <v>5333</v>
      </c>
      <c r="C1963" s="1" t="s">
        <v>5336</v>
      </c>
      <c r="D1963" s="1">
        <v>2022</v>
      </c>
      <c r="E1963" s="1" t="str">
        <f t="shared" si="7"/>
        <v>TIVOLITIVOLI GLX 1.62022</v>
      </c>
      <c r="F1963" s="1" t="s">
        <v>1580</v>
      </c>
      <c r="G1963" s="1">
        <v>11100000</v>
      </c>
      <c r="H1963" s="1">
        <v>9500000</v>
      </c>
    </row>
    <row r="1964" spans="1:8" ht="13.5" customHeight="1" x14ac:dyDescent="0.3">
      <c r="A1964" s="1" t="s">
        <v>317</v>
      </c>
      <c r="B1964" s="1" t="s">
        <v>324</v>
      </c>
      <c r="C1964" s="1" t="s">
        <v>5337</v>
      </c>
      <c r="D1964" s="1">
        <v>2024</v>
      </c>
      <c r="E1964" s="1" t="str">
        <f t="shared" si="7"/>
        <v>TORRESTORRES GLX 1.5 AUT2024</v>
      </c>
      <c r="F1964" s="1" t="s">
        <v>964</v>
      </c>
      <c r="G1964" s="1">
        <v>21190000</v>
      </c>
      <c r="H1964" s="1">
        <v>19000000</v>
      </c>
    </row>
    <row r="1965" spans="1:8" ht="13.5" customHeight="1" x14ac:dyDescent="0.3">
      <c r="A1965" s="1" t="s">
        <v>317</v>
      </c>
      <c r="B1965" s="1" t="s">
        <v>324</v>
      </c>
      <c r="C1965" s="1" t="s">
        <v>5338</v>
      </c>
      <c r="D1965" s="1">
        <v>2024</v>
      </c>
      <c r="E1965" s="1" t="str">
        <f t="shared" si="7"/>
        <v>TORRESTORRES GLX 4X4 1.5 AUT2024</v>
      </c>
      <c r="F1965" s="1" t="s">
        <v>874</v>
      </c>
      <c r="G1965" s="1">
        <v>21990000</v>
      </c>
      <c r="H1965" s="1">
        <v>19000000</v>
      </c>
    </row>
    <row r="1966" spans="1:8" ht="13.5" customHeight="1" x14ac:dyDescent="0.3">
      <c r="A1966" s="1" t="s">
        <v>2957</v>
      </c>
      <c r="B1966" s="1" t="s">
        <v>3810</v>
      </c>
      <c r="C1966" s="1" t="s">
        <v>5339</v>
      </c>
      <c r="D1966" s="1">
        <v>2022</v>
      </c>
      <c r="E1966" s="1" t="str">
        <f t="shared" si="7"/>
        <v>EVOLTISEVOLTIS LIMITED 4X4 2.4 AUT2022</v>
      </c>
      <c r="F1966" s="1" t="s">
        <v>1674</v>
      </c>
      <c r="G1966" s="1">
        <v>26990000</v>
      </c>
      <c r="H1966" s="1">
        <v>25500000</v>
      </c>
    </row>
    <row r="1967" spans="1:8" ht="13.5" customHeight="1" x14ac:dyDescent="0.3">
      <c r="A1967" s="1" t="s">
        <v>2957</v>
      </c>
      <c r="B1967" s="1" t="s">
        <v>3810</v>
      </c>
      <c r="C1967" s="1" t="s">
        <v>5340</v>
      </c>
      <c r="D1967" s="1">
        <v>2023</v>
      </c>
      <c r="E1967" s="1" t="str">
        <f t="shared" si="7"/>
        <v>EVOLTISEVOLTIS TOURING 4X4 2.4 AUT2023</v>
      </c>
      <c r="F1967" s="1" t="s">
        <v>1452</v>
      </c>
      <c r="G1967" s="1">
        <v>32000000</v>
      </c>
      <c r="H1967" s="1">
        <v>31000000</v>
      </c>
    </row>
    <row r="1968" spans="1:8" ht="13.5" customHeight="1" x14ac:dyDescent="0.3">
      <c r="A1968" s="1" t="s">
        <v>2957</v>
      </c>
      <c r="B1968" s="1" t="s">
        <v>3268</v>
      </c>
      <c r="C1968" s="1" t="s">
        <v>5341</v>
      </c>
      <c r="D1968" s="1">
        <v>2020</v>
      </c>
      <c r="E1968" s="1" t="str">
        <f t="shared" si="7"/>
        <v>FORESTERALL NEW FORESTER XS AWD CVT 2.0I2020</v>
      </c>
      <c r="F1968" s="1" t="s">
        <v>588</v>
      </c>
      <c r="G1968" s="1">
        <v>16990000</v>
      </c>
      <c r="H1968" s="1">
        <v>14200000</v>
      </c>
    </row>
    <row r="1969" spans="1:8" ht="13.5" customHeight="1" x14ac:dyDescent="0.3">
      <c r="A1969" s="1" t="s">
        <v>2957</v>
      </c>
      <c r="B1969" s="1" t="s">
        <v>3268</v>
      </c>
      <c r="C1969" s="1" t="s">
        <v>5342</v>
      </c>
      <c r="D1969" s="1">
        <v>2022</v>
      </c>
      <c r="E1969" s="1" t="str">
        <f t="shared" si="7"/>
        <v>FORESTERFORESTER 4X4 2.0 AT2022</v>
      </c>
      <c r="F1969" s="1" t="s">
        <v>2168</v>
      </c>
      <c r="G1969" s="1">
        <v>19517000</v>
      </c>
      <c r="H1969" s="1">
        <v>20000000</v>
      </c>
    </row>
    <row r="1970" spans="1:8" ht="13.5" customHeight="1" x14ac:dyDescent="0.3">
      <c r="A1970" s="1" t="s">
        <v>2957</v>
      </c>
      <c r="B1970" s="1" t="s">
        <v>3268</v>
      </c>
      <c r="C1970" s="1" t="s">
        <v>5342</v>
      </c>
      <c r="D1970" s="1">
        <v>2022</v>
      </c>
      <c r="E1970" s="1" t="str">
        <f t="shared" si="7"/>
        <v>FORESTERFORESTER 4X4 2.0 AT2022</v>
      </c>
      <c r="F1970" s="1" t="s">
        <v>5343</v>
      </c>
      <c r="G1970" s="1">
        <v>17990000</v>
      </c>
      <c r="H1970" s="1">
        <v>15500000</v>
      </c>
    </row>
    <row r="1971" spans="1:8" ht="13.5" customHeight="1" x14ac:dyDescent="0.3">
      <c r="A1971" s="1" t="s">
        <v>2957</v>
      </c>
      <c r="B1971" s="1" t="s">
        <v>3268</v>
      </c>
      <c r="C1971" s="1" t="s">
        <v>5342</v>
      </c>
      <c r="D1971" s="1">
        <v>2023</v>
      </c>
      <c r="E1971" s="1" t="str">
        <f t="shared" si="7"/>
        <v>FORESTERFORESTER 4X4 2.0 AT2023</v>
      </c>
      <c r="F1971" s="1" t="s">
        <v>398</v>
      </c>
      <c r="G1971" s="1">
        <v>22690000</v>
      </c>
      <c r="H1971" s="1">
        <v>19700000</v>
      </c>
    </row>
    <row r="1972" spans="1:8" ht="13.5" customHeight="1" x14ac:dyDescent="0.3">
      <c r="A1972" s="1" t="s">
        <v>2957</v>
      </c>
      <c r="B1972" s="1" t="s">
        <v>3268</v>
      </c>
      <c r="C1972" s="1" t="s">
        <v>5344</v>
      </c>
      <c r="D1972" s="1">
        <v>2016</v>
      </c>
      <c r="E1972" s="1" t="str">
        <f t="shared" si="7"/>
        <v>FORESTERFORESTER 4X4 2.0I AUT2016</v>
      </c>
      <c r="F1972" s="1" t="s">
        <v>2231</v>
      </c>
      <c r="G1972" s="1">
        <v>11490000</v>
      </c>
      <c r="H1972" s="1">
        <v>9500000</v>
      </c>
    </row>
    <row r="1973" spans="1:8" ht="13.5" customHeight="1" x14ac:dyDescent="0.3">
      <c r="A1973" s="1" t="s">
        <v>2957</v>
      </c>
      <c r="B1973" s="1" t="s">
        <v>3268</v>
      </c>
      <c r="C1973" s="1" t="s">
        <v>5345</v>
      </c>
      <c r="D1973" s="1">
        <v>2017</v>
      </c>
      <c r="E1973" s="1" t="str">
        <f t="shared" si="7"/>
        <v>FORESTERFORESTER AWD 2.02017</v>
      </c>
      <c r="F1973" s="1" t="s">
        <v>2287</v>
      </c>
      <c r="G1973" s="1">
        <v>11690000</v>
      </c>
      <c r="H1973" s="1">
        <v>9750000</v>
      </c>
    </row>
    <row r="1974" spans="1:8" ht="13.5" customHeight="1" x14ac:dyDescent="0.3">
      <c r="A1974" s="1" t="s">
        <v>2957</v>
      </c>
      <c r="B1974" s="1" t="s">
        <v>3268</v>
      </c>
      <c r="C1974" s="1" t="s">
        <v>5346</v>
      </c>
      <c r="D1974" s="1">
        <v>2018</v>
      </c>
      <c r="E1974" s="1" t="str">
        <f t="shared" si="7"/>
        <v>FORESTERFORESTER AWD 2.0 AUT2018</v>
      </c>
      <c r="F1974" s="1" t="s">
        <v>1453</v>
      </c>
      <c r="G1974" s="1">
        <v>12990000</v>
      </c>
      <c r="H1974" s="1">
        <v>11000000</v>
      </c>
    </row>
    <row r="1975" spans="1:8" ht="13.5" customHeight="1" x14ac:dyDescent="0.3">
      <c r="A1975" s="1" t="s">
        <v>2957</v>
      </c>
      <c r="B1975" s="1" t="s">
        <v>3268</v>
      </c>
      <c r="C1975" s="1" t="s">
        <v>5347</v>
      </c>
      <c r="D1975" s="1">
        <v>2018</v>
      </c>
      <c r="E1975" s="1" t="str">
        <f t="shared" si="7"/>
        <v>FORESTERFORESTER AWD 2.0I2018</v>
      </c>
      <c r="F1975" s="1" t="s">
        <v>1391</v>
      </c>
      <c r="G1975" s="1">
        <v>22480000</v>
      </c>
      <c r="H1975" s="1">
        <v>19070588</v>
      </c>
    </row>
    <row r="1976" spans="1:8" ht="13.5" customHeight="1" x14ac:dyDescent="0.3">
      <c r="A1976" s="1" t="s">
        <v>2957</v>
      </c>
      <c r="B1976" s="1" t="s">
        <v>3268</v>
      </c>
      <c r="C1976" s="1" t="s">
        <v>5347</v>
      </c>
      <c r="D1976" s="1">
        <v>2019</v>
      </c>
      <c r="E1976" s="1" t="str">
        <f t="shared" si="7"/>
        <v>FORESTERFORESTER AWD 2.0I2019</v>
      </c>
      <c r="F1976" s="1" t="s">
        <v>2256</v>
      </c>
      <c r="G1976" s="1">
        <v>16990000</v>
      </c>
      <c r="H1976" s="1">
        <v>14500000</v>
      </c>
    </row>
    <row r="1977" spans="1:8" ht="13.5" customHeight="1" x14ac:dyDescent="0.3">
      <c r="A1977" s="1" t="s">
        <v>2957</v>
      </c>
      <c r="B1977" s="1" t="s">
        <v>3268</v>
      </c>
      <c r="C1977" s="1" t="s">
        <v>5348</v>
      </c>
      <c r="D1977" s="1">
        <v>2021</v>
      </c>
      <c r="E1977" s="1" t="str">
        <f t="shared" si="7"/>
        <v>FORESTERFORESTER CVT 4X4 2.0 AUT2021</v>
      </c>
      <c r="F1977" s="1" t="s">
        <v>1382</v>
      </c>
      <c r="G1977" s="1">
        <v>17590000</v>
      </c>
      <c r="H1977" s="1">
        <v>15000000</v>
      </c>
    </row>
    <row r="1978" spans="1:8" ht="13.5" customHeight="1" x14ac:dyDescent="0.3">
      <c r="A1978" s="1" t="s">
        <v>2957</v>
      </c>
      <c r="B1978" s="1" t="s">
        <v>3268</v>
      </c>
      <c r="C1978" s="1" t="s">
        <v>5348</v>
      </c>
      <c r="D1978" s="1">
        <v>2021</v>
      </c>
      <c r="E1978" s="1" t="str">
        <f t="shared" si="7"/>
        <v>FORESTERFORESTER CVT 4X4 2.0 AUT2021</v>
      </c>
      <c r="F1978" s="1" t="s">
        <v>633</v>
      </c>
      <c r="G1978" s="1">
        <v>17190000</v>
      </c>
      <c r="H1978" s="1">
        <v>14700000</v>
      </c>
    </row>
    <row r="1979" spans="1:8" ht="13.5" customHeight="1" x14ac:dyDescent="0.3">
      <c r="A1979" s="1" t="s">
        <v>2957</v>
      </c>
      <c r="B1979" s="1" t="s">
        <v>3268</v>
      </c>
      <c r="C1979" s="1" t="s">
        <v>5349</v>
      </c>
      <c r="D1979" s="1">
        <v>2021</v>
      </c>
      <c r="E1979" s="1" t="str">
        <f t="shared" si="7"/>
        <v>FORESTERFORESTER CVT 4X4 2.5 AUT2021</v>
      </c>
      <c r="F1979" s="1" t="s">
        <v>1999</v>
      </c>
      <c r="G1979" s="1">
        <v>22990000</v>
      </c>
      <c r="H1979" s="1">
        <v>19000000</v>
      </c>
    </row>
    <row r="1980" spans="1:8" ht="13.5" customHeight="1" x14ac:dyDescent="0.3">
      <c r="A1980" s="1" t="s">
        <v>2957</v>
      </c>
      <c r="B1980" s="1" t="s">
        <v>3268</v>
      </c>
      <c r="C1980" s="1" t="s">
        <v>5350</v>
      </c>
      <c r="D1980" s="1">
        <v>2020</v>
      </c>
      <c r="E1980" s="1" t="str">
        <f t="shared" si="7"/>
        <v>FORESTERFORESTER XS 2.0 AUT2020</v>
      </c>
      <c r="F1980" s="1" t="s">
        <v>1446</v>
      </c>
      <c r="G1980" s="1">
        <v>18340000</v>
      </c>
      <c r="H1980" s="1">
        <v>16000000</v>
      </c>
    </row>
    <row r="1981" spans="1:8" ht="13.5" customHeight="1" x14ac:dyDescent="0.3">
      <c r="A1981" s="1" t="s">
        <v>2957</v>
      </c>
      <c r="B1981" s="1" t="s">
        <v>3268</v>
      </c>
      <c r="C1981" s="1" t="s">
        <v>5351</v>
      </c>
      <c r="D1981" s="1">
        <v>2016</v>
      </c>
      <c r="E1981" s="1" t="str">
        <f t="shared" si="7"/>
        <v>FORESTERFORESTER XS 4X4 2.0I AUT2016</v>
      </c>
      <c r="F1981" s="1" t="s">
        <v>1400</v>
      </c>
      <c r="G1981" s="1">
        <v>9468620</v>
      </c>
      <c r="H1981" s="1">
        <v>8000000</v>
      </c>
    </row>
    <row r="1982" spans="1:8" ht="13.5" customHeight="1" x14ac:dyDescent="0.3">
      <c r="A1982" s="1" t="s">
        <v>2957</v>
      </c>
      <c r="B1982" s="1" t="s">
        <v>3268</v>
      </c>
      <c r="C1982" s="1" t="s">
        <v>5351</v>
      </c>
      <c r="D1982" s="1">
        <v>2018</v>
      </c>
      <c r="E1982" s="1" t="str">
        <f t="shared" si="7"/>
        <v>FORESTERFORESTER XS 4X4 2.0I AUT2018</v>
      </c>
      <c r="F1982" s="1" t="s">
        <v>372</v>
      </c>
      <c r="G1982" s="1">
        <v>14990000</v>
      </c>
      <c r="H1982" s="1">
        <v>12000000</v>
      </c>
    </row>
    <row r="1983" spans="1:8" ht="13.5" customHeight="1" x14ac:dyDescent="0.3">
      <c r="A1983" s="1" t="s">
        <v>2957</v>
      </c>
      <c r="B1983" s="1" t="s">
        <v>3268</v>
      </c>
      <c r="C1983" s="1" t="s">
        <v>5352</v>
      </c>
      <c r="D1983" s="1">
        <v>2020</v>
      </c>
      <c r="E1983" s="1" t="str">
        <f t="shared" si="7"/>
        <v>FORESTERNEW FORESTER AWD CVT 2.0I2020</v>
      </c>
      <c r="F1983" s="1" t="s">
        <v>2212</v>
      </c>
      <c r="G1983" s="1">
        <v>16890000</v>
      </c>
      <c r="H1983" s="1">
        <v>14000000</v>
      </c>
    </row>
    <row r="1984" spans="1:8" ht="13.5" customHeight="1" x14ac:dyDescent="0.3">
      <c r="A1984" s="1" t="s">
        <v>2957</v>
      </c>
      <c r="B1984" s="1" t="s">
        <v>3268</v>
      </c>
      <c r="C1984" s="1" t="s">
        <v>5352</v>
      </c>
      <c r="D1984" s="1">
        <v>2021</v>
      </c>
      <c r="E1984" s="1" t="str">
        <f t="shared" si="7"/>
        <v>FORESTERNEW FORESTER AWD CVT 2.0I2021</v>
      </c>
      <c r="F1984" s="1" t="s">
        <v>1871</v>
      </c>
      <c r="G1984" s="1">
        <v>15990000</v>
      </c>
      <c r="H1984" s="1">
        <v>14300000</v>
      </c>
    </row>
    <row r="1985" spans="1:8" ht="13.5" customHeight="1" x14ac:dyDescent="0.3">
      <c r="A1985" s="1" t="s">
        <v>2957</v>
      </c>
      <c r="B1985" s="1" t="s">
        <v>5353</v>
      </c>
      <c r="C1985" s="1" t="s">
        <v>5354</v>
      </c>
      <c r="D1985" s="1">
        <v>2019</v>
      </c>
      <c r="E1985" s="1" t="str">
        <f t="shared" si="7"/>
        <v>IMPREZAIMPREZA 4X4 CVT 2.0 AT2019</v>
      </c>
      <c r="F1985" s="1" t="s">
        <v>2392</v>
      </c>
      <c r="G1985" s="1">
        <v>12990000</v>
      </c>
      <c r="H1985" s="1">
        <v>10700000</v>
      </c>
    </row>
    <row r="1986" spans="1:8" ht="13.5" customHeight="1" x14ac:dyDescent="0.3">
      <c r="A1986" s="1" t="s">
        <v>2957</v>
      </c>
      <c r="B1986" s="1" t="s">
        <v>5353</v>
      </c>
      <c r="C1986" s="1" t="s">
        <v>5355</v>
      </c>
      <c r="D1986" s="1">
        <v>2020</v>
      </c>
      <c r="E1986" s="1" t="str">
        <f t="shared" si="7"/>
        <v>IMPREZANEW IMPREZA 4X4 1.6 AUT2020</v>
      </c>
      <c r="F1986" s="1" t="s">
        <v>2799</v>
      </c>
      <c r="G1986" s="1">
        <v>13990000</v>
      </c>
      <c r="H1986" s="1">
        <v>15700000</v>
      </c>
    </row>
    <row r="1987" spans="1:8" ht="13.5" customHeight="1" x14ac:dyDescent="0.3">
      <c r="A1987" s="1" t="s">
        <v>2957</v>
      </c>
      <c r="B1987" s="1" t="s">
        <v>5353</v>
      </c>
      <c r="C1987" s="1" t="s">
        <v>5356</v>
      </c>
      <c r="D1987" s="1">
        <v>2020</v>
      </c>
      <c r="E1987" s="1" t="str">
        <f t="shared" si="7"/>
        <v>IMPREZANEW IMPREZA SPORT 4X4 1.6 AUT2020</v>
      </c>
      <c r="F1987" s="1" t="s">
        <v>5357</v>
      </c>
      <c r="G1987" s="1">
        <v>15990000</v>
      </c>
      <c r="H1987" s="1">
        <v>15000000</v>
      </c>
    </row>
    <row r="1988" spans="1:8" ht="13.5" customHeight="1" x14ac:dyDescent="0.3">
      <c r="A1988" s="1" t="s">
        <v>2957</v>
      </c>
      <c r="B1988" s="1" t="s">
        <v>3063</v>
      </c>
      <c r="C1988" s="1" t="s">
        <v>5358</v>
      </c>
      <c r="D1988" s="1">
        <v>2020</v>
      </c>
      <c r="E1988" s="1" t="str">
        <f t="shared" si="7"/>
        <v>OUTBACKALL NEW OUTBACK 4X4 2.5I AUT2020</v>
      </c>
      <c r="F1988" s="1" t="s">
        <v>1329</v>
      </c>
      <c r="G1988" s="1">
        <v>20990000</v>
      </c>
      <c r="H1988" s="1">
        <v>19000000</v>
      </c>
    </row>
    <row r="1989" spans="1:8" ht="13.5" customHeight="1" x14ac:dyDescent="0.3">
      <c r="A1989" s="1" t="s">
        <v>2957</v>
      </c>
      <c r="B1989" s="1" t="s">
        <v>3063</v>
      </c>
      <c r="C1989" s="1" t="s">
        <v>5358</v>
      </c>
      <c r="D1989" s="1">
        <v>2020</v>
      </c>
      <c r="E1989" s="1" t="str">
        <f t="shared" si="7"/>
        <v>OUTBACKALL NEW OUTBACK 4X4 2.5I AUT2020</v>
      </c>
      <c r="F1989" s="1" t="s">
        <v>651</v>
      </c>
      <c r="G1989" s="1">
        <v>16990000</v>
      </c>
      <c r="H1989" s="1">
        <v>14300000</v>
      </c>
    </row>
    <row r="1990" spans="1:8" ht="13.5" customHeight="1" x14ac:dyDescent="0.3">
      <c r="A1990" s="1" t="s">
        <v>2957</v>
      </c>
      <c r="B1990" s="1" t="s">
        <v>3063</v>
      </c>
      <c r="C1990" s="1" t="s">
        <v>5359</v>
      </c>
      <c r="D1990" s="1">
        <v>2018</v>
      </c>
      <c r="E1990" s="1" t="str">
        <f t="shared" si="7"/>
        <v>OUTBACKALL NEW OUTBACK LTD 4X4 2.5I AUT2018</v>
      </c>
      <c r="F1990" s="1" t="s">
        <v>2080</v>
      </c>
      <c r="G1990" s="1">
        <v>15190000</v>
      </c>
      <c r="H1990" s="1">
        <v>14000000</v>
      </c>
    </row>
    <row r="1991" spans="1:8" ht="13.5" customHeight="1" x14ac:dyDescent="0.3">
      <c r="A1991" s="1" t="s">
        <v>2957</v>
      </c>
      <c r="B1991" s="1" t="s">
        <v>3063</v>
      </c>
      <c r="C1991" s="1" t="s">
        <v>5359</v>
      </c>
      <c r="D1991" s="1">
        <v>2018</v>
      </c>
      <c r="E1991" s="1" t="str">
        <f t="shared" si="7"/>
        <v>OUTBACKALL NEW OUTBACK LTD 4X4 2.5I AUT2018</v>
      </c>
      <c r="F1991" s="1" t="s">
        <v>1877</v>
      </c>
      <c r="G1991" s="1">
        <v>13990000</v>
      </c>
      <c r="H1991" s="1">
        <v>13100000</v>
      </c>
    </row>
    <row r="1992" spans="1:8" ht="13.5" customHeight="1" x14ac:dyDescent="0.3">
      <c r="A1992" s="1" t="s">
        <v>2957</v>
      </c>
      <c r="B1992" s="1" t="s">
        <v>3063</v>
      </c>
      <c r="C1992" s="1" t="s">
        <v>5360</v>
      </c>
      <c r="D1992" s="1">
        <v>2010</v>
      </c>
      <c r="E1992" s="1" t="str">
        <f t="shared" si="7"/>
        <v>OUTBACKNEW OUTBACK 3.6R AWD AUT2010</v>
      </c>
      <c r="F1992" s="1" t="s">
        <v>2458</v>
      </c>
      <c r="G1992" s="1">
        <v>8990000</v>
      </c>
      <c r="H1992" s="1">
        <v>9000000</v>
      </c>
    </row>
    <row r="1993" spans="1:8" ht="13.5" customHeight="1" x14ac:dyDescent="0.3">
      <c r="A1993" s="1" t="s">
        <v>2957</v>
      </c>
      <c r="B1993" s="1" t="s">
        <v>3063</v>
      </c>
      <c r="C1993" s="1" t="s">
        <v>5361</v>
      </c>
      <c r="D1993" s="1">
        <v>2022</v>
      </c>
      <c r="E1993" s="1" t="str">
        <f t="shared" si="7"/>
        <v>OUTBACKOUTBACK 4X4 2.5 AT2022</v>
      </c>
      <c r="F1993" s="1" t="s">
        <v>1219</v>
      </c>
      <c r="G1993" s="1">
        <v>20990000</v>
      </c>
      <c r="H1993" s="1">
        <v>18200000</v>
      </c>
    </row>
    <row r="1994" spans="1:8" ht="13.5" customHeight="1" x14ac:dyDescent="0.3">
      <c r="A1994" s="1" t="s">
        <v>2957</v>
      </c>
      <c r="B1994" s="1" t="s">
        <v>3063</v>
      </c>
      <c r="C1994" s="1" t="s">
        <v>5361</v>
      </c>
      <c r="D1994" s="1">
        <v>2022</v>
      </c>
      <c r="E1994" s="1" t="str">
        <f t="shared" si="7"/>
        <v>OUTBACKOUTBACK 4X4 2.5 AT2022</v>
      </c>
      <c r="F1994" s="1" t="s">
        <v>1246</v>
      </c>
      <c r="G1994" s="1">
        <v>22490000</v>
      </c>
      <c r="H1994" s="1">
        <v>19000000</v>
      </c>
    </row>
    <row r="1995" spans="1:8" ht="13.5" customHeight="1" x14ac:dyDescent="0.3">
      <c r="A1995" s="1" t="s">
        <v>2957</v>
      </c>
      <c r="B1995" s="1" t="s">
        <v>3063</v>
      </c>
      <c r="C1995" s="1" t="s">
        <v>5361</v>
      </c>
      <c r="D1995" s="1">
        <v>2023</v>
      </c>
      <c r="E1995" s="1" t="str">
        <f t="shared" si="7"/>
        <v>OUTBACKOUTBACK 4X4 2.5 AT2023</v>
      </c>
      <c r="F1995" s="1" t="s">
        <v>1113</v>
      </c>
      <c r="G1995" s="1">
        <v>24990000</v>
      </c>
      <c r="H1995" s="1">
        <v>24500000</v>
      </c>
    </row>
    <row r="1996" spans="1:8" ht="13.5" customHeight="1" x14ac:dyDescent="0.3">
      <c r="A1996" s="1" t="s">
        <v>2957</v>
      </c>
      <c r="B1996" s="1" t="s">
        <v>3063</v>
      </c>
      <c r="C1996" s="1" t="s">
        <v>5362</v>
      </c>
      <c r="D1996" s="1">
        <v>2021</v>
      </c>
      <c r="E1996" s="1" t="str">
        <f t="shared" si="7"/>
        <v>OUTBACKOUTBACK 4X4 CVT 2.5 AT2021</v>
      </c>
      <c r="F1996" s="1" t="s">
        <v>1688</v>
      </c>
      <c r="G1996" s="1">
        <v>25190000</v>
      </c>
      <c r="H1996" s="1">
        <v>21250000</v>
      </c>
    </row>
    <row r="1997" spans="1:8" ht="13.5" customHeight="1" x14ac:dyDescent="0.3">
      <c r="A1997" s="1" t="s">
        <v>2957</v>
      </c>
      <c r="B1997" s="1" t="s">
        <v>5363</v>
      </c>
      <c r="C1997" s="1" t="s">
        <v>5364</v>
      </c>
      <c r="D1997" s="1">
        <v>2019</v>
      </c>
      <c r="E1997" s="1" t="str">
        <f t="shared" si="7"/>
        <v>OUTBACK (exclusivo servicio)OUTBACK AWD 2.5I AUT2019</v>
      </c>
      <c r="F1997" s="1" t="s">
        <v>2315</v>
      </c>
      <c r="G1997" s="1">
        <v>19990000</v>
      </c>
      <c r="H1997" s="1">
        <v>16500000</v>
      </c>
    </row>
    <row r="1998" spans="1:8" ht="13.5" customHeight="1" x14ac:dyDescent="0.3">
      <c r="A1998" s="1" t="s">
        <v>2957</v>
      </c>
      <c r="B1998" s="1" t="s">
        <v>2958</v>
      </c>
      <c r="C1998" s="1" t="s">
        <v>5365</v>
      </c>
      <c r="D1998" s="1">
        <v>2018</v>
      </c>
      <c r="E1998" s="1" t="str">
        <f t="shared" si="7"/>
        <v>XVNEW XV 4X4 1.6I AUT2018</v>
      </c>
      <c r="F1998" s="1" t="s">
        <v>2557</v>
      </c>
      <c r="G1998" s="1">
        <v>16790000</v>
      </c>
      <c r="H1998" s="1">
        <v>15000000</v>
      </c>
    </row>
    <row r="1999" spans="1:8" ht="13.5" customHeight="1" x14ac:dyDescent="0.3">
      <c r="A1999" s="1" t="s">
        <v>2957</v>
      </c>
      <c r="B1999" s="1" t="s">
        <v>2958</v>
      </c>
      <c r="C1999" s="1" t="s">
        <v>5366</v>
      </c>
      <c r="D1999" s="1">
        <v>2016</v>
      </c>
      <c r="E1999" s="1" t="str">
        <f t="shared" si="7"/>
        <v>XVNEW XV 4x4 2.0I2016</v>
      </c>
      <c r="F1999" s="1" t="s">
        <v>2340</v>
      </c>
      <c r="G1999" s="1">
        <v>12690000</v>
      </c>
      <c r="H1999" s="1">
        <v>10700000</v>
      </c>
    </row>
    <row r="2000" spans="1:8" ht="13.5" customHeight="1" x14ac:dyDescent="0.3">
      <c r="A2000" s="1" t="s">
        <v>2957</v>
      </c>
      <c r="B2000" s="1" t="s">
        <v>2958</v>
      </c>
      <c r="C2000" s="1" t="s">
        <v>5367</v>
      </c>
      <c r="D2000" s="1">
        <v>2018</v>
      </c>
      <c r="E2000" s="1" t="str">
        <f t="shared" si="7"/>
        <v>XVNEW XV 4X4 2.0I AUT2018</v>
      </c>
      <c r="F2000" s="1" t="s">
        <v>1593</v>
      </c>
      <c r="G2000" s="1">
        <v>14290000</v>
      </c>
      <c r="H2000" s="1">
        <v>12500000</v>
      </c>
    </row>
    <row r="2001" spans="1:8" ht="13.5" customHeight="1" x14ac:dyDescent="0.3">
      <c r="A2001" s="1" t="s">
        <v>2957</v>
      </c>
      <c r="B2001" s="1" t="s">
        <v>2958</v>
      </c>
      <c r="C2001" s="1" t="s">
        <v>5367</v>
      </c>
      <c r="D2001" s="1">
        <v>2019</v>
      </c>
      <c r="E2001" s="1" t="str">
        <f t="shared" si="7"/>
        <v>XVNEW XV 4X4 2.0I AUT2019</v>
      </c>
      <c r="F2001" s="1" t="s">
        <v>1648</v>
      </c>
      <c r="G2001" s="1">
        <v>15192470</v>
      </c>
      <c r="H2001" s="1">
        <v>13000000</v>
      </c>
    </row>
    <row r="2002" spans="1:8" ht="13.5" customHeight="1" x14ac:dyDescent="0.3">
      <c r="A2002" s="1" t="s">
        <v>2957</v>
      </c>
      <c r="B2002" s="1" t="s">
        <v>2958</v>
      </c>
      <c r="C2002" s="1" t="s">
        <v>5367</v>
      </c>
      <c r="D2002" s="1">
        <v>2020</v>
      </c>
      <c r="E2002" s="1" t="str">
        <f t="shared" si="7"/>
        <v>XVNEW XV 4X4 2.0I AUT2020</v>
      </c>
      <c r="F2002" s="1" t="s">
        <v>1843</v>
      </c>
      <c r="G2002" s="1">
        <v>16890000</v>
      </c>
      <c r="H2002" s="1">
        <v>14300000</v>
      </c>
    </row>
    <row r="2003" spans="1:8" ht="13.5" customHeight="1" x14ac:dyDescent="0.3">
      <c r="A2003" s="1" t="s">
        <v>2957</v>
      </c>
      <c r="B2003" s="1" t="s">
        <v>2958</v>
      </c>
      <c r="C2003" s="1" t="s">
        <v>5368</v>
      </c>
      <c r="D2003" s="1">
        <v>2018</v>
      </c>
      <c r="E2003" s="1" t="str">
        <f t="shared" si="7"/>
        <v>XVNEW XV AWD 1.6I AUT2018</v>
      </c>
      <c r="F2003" s="1" t="s">
        <v>1132</v>
      </c>
      <c r="G2003" s="1">
        <v>11990000</v>
      </c>
      <c r="H2003" s="1">
        <v>10000000</v>
      </c>
    </row>
    <row r="2004" spans="1:8" ht="13.5" customHeight="1" x14ac:dyDescent="0.3">
      <c r="A2004" s="1" t="s">
        <v>2957</v>
      </c>
      <c r="B2004" s="1" t="s">
        <v>2958</v>
      </c>
      <c r="C2004" s="1" t="s">
        <v>5369</v>
      </c>
      <c r="D2004" s="1">
        <v>2020</v>
      </c>
      <c r="E2004" s="1" t="str">
        <f t="shared" si="7"/>
        <v>XVNEW XV AWD 2.0I AUT2020</v>
      </c>
      <c r="F2004" s="1" t="s">
        <v>1475</v>
      </c>
      <c r="G2004" s="1">
        <v>15890000</v>
      </c>
      <c r="H2004" s="1">
        <v>13500000</v>
      </c>
    </row>
    <row r="2005" spans="1:8" ht="13.5" customHeight="1" x14ac:dyDescent="0.3">
      <c r="A2005" s="1" t="s">
        <v>2957</v>
      </c>
      <c r="B2005" s="1" t="s">
        <v>2958</v>
      </c>
      <c r="C2005" s="1" t="s">
        <v>5370</v>
      </c>
      <c r="D2005" s="1">
        <v>2019</v>
      </c>
      <c r="E2005" s="1" t="str">
        <f t="shared" si="7"/>
        <v>XVNEW XV AWD CVT 2.0I2019</v>
      </c>
      <c r="F2005" s="1" t="s">
        <v>1072</v>
      </c>
      <c r="G2005" s="1">
        <v>12990000</v>
      </c>
      <c r="H2005" s="1">
        <v>11200000</v>
      </c>
    </row>
    <row r="2006" spans="1:8" ht="13.5" customHeight="1" x14ac:dyDescent="0.3">
      <c r="A2006" s="1" t="s">
        <v>2957</v>
      </c>
      <c r="B2006" s="1" t="s">
        <v>2958</v>
      </c>
      <c r="C2006" s="1" t="s">
        <v>5371</v>
      </c>
      <c r="D2006" s="1">
        <v>2015</v>
      </c>
      <c r="E2006" s="1" t="str">
        <f t="shared" si="7"/>
        <v>XVXV AWD 1.6I2015</v>
      </c>
      <c r="F2006" s="1" t="s">
        <v>1301</v>
      </c>
      <c r="G2006" s="1">
        <v>8658150</v>
      </c>
      <c r="H2006" s="1">
        <v>6600000</v>
      </c>
    </row>
    <row r="2007" spans="1:8" ht="13.5" customHeight="1" x14ac:dyDescent="0.3">
      <c r="A2007" s="1" t="s">
        <v>2957</v>
      </c>
      <c r="B2007" s="1" t="s">
        <v>2958</v>
      </c>
      <c r="C2007" s="1" t="s">
        <v>5372</v>
      </c>
      <c r="D2007" s="1">
        <v>2018</v>
      </c>
      <c r="E2007" s="1" t="str">
        <f t="shared" si="7"/>
        <v>XVXV AWD CVT 2.02018</v>
      </c>
      <c r="F2007" s="1" t="s">
        <v>726</v>
      </c>
      <c r="G2007" s="1">
        <v>13590000</v>
      </c>
      <c r="H2007" s="1">
        <v>11500000</v>
      </c>
    </row>
    <row r="2008" spans="1:8" ht="13.5" customHeight="1" x14ac:dyDescent="0.3">
      <c r="A2008" s="1" t="s">
        <v>2957</v>
      </c>
      <c r="B2008" s="1" t="s">
        <v>2958</v>
      </c>
      <c r="C2008" s="1" t="s">
        <v>5373</v>
      </c>
      <c r="D2008" s="1">
        <v>2021</v>
      </c>
      <c r="E2008" s="1" t="str">
        <f t="shared" si="7"/>
        <v>XVXV CVT 2.0 AUT2021</v>
      </c>
      <c r="F2008" s="1" t="s">
        <v>515</v>
      </c>
      <c r="G2008" s="1">
        <v>16990000</v>
      </c>
      <c r="H2008" s="1">
        <v>14000000</v>
      </c>
    </row>
    <row r="2009" spans="1:8" ht="13.5" customHeight="1" x14ac:dyDescent="0.3">
      <c r="A2009" s="1" t="s">
        <v>2957</v>
      </c>
      <c r="B2009" s="1" t="s">
        <v>2958</v>
      </c>
      <c r="C2009" s="1" t="s">
        <v>5373</v>
      </c>
      <c r="D2009" s="1">
        <v>2021</v>
      </c>
      <c r="E2009" s="1" t="str">
        <f t="shared" si="7"/>
        <v>XVXV CVT 2.0 AUT2021</v>
      </c>
      <c r="F2009" s="1" t="s">
        <v>1949</v>
      </c>
      <c r="G2009" s="1">
        <v>21000000</v>
      </c>
      <c r="H2009" s="1">
        <v>18000000</v>
      </c>
    </row>
    <row r="2010" spans="1:8" ht="13.5" customHeight="1" x14ac:dyDescent="0.3">
      <c r="A2010" s="1" t="s">
        <v>2957</v>
      </c>
      <c r="B2010" s="1" t="s">
        <v>2958</v>
      </c>
      <c r="C2010" s="1" t="s">
        <v>5373</v>
      </c>
      <c r="D2010" s="1">
        <v>2021</v>
      </c>
      <c r="E2010" s="1" t="str">
        <f t="shared" si="7"/>
        <v>XVXV CVT 2.0 AUT2021</v>
      </c>
      <c r="F2010" s="1" t="s">
        <v>781</v>
      </c>
      <c r="G2010" s="1">
        <v>15674120</v>
      </c>
      <c r="H2010" s="1">
        <v>13400000</v>
      </c>
    </row>
    <row r="2011" spans="1:8" ht="13.5" customHeight="1" x14ac:dyDescent="0.3">
      <c r="A2011" s="1" t="s">
        <v>2957</v>
      </c>
      <c r="B2011" s="1" t="s">
        <v>2958</v>
      </c>
      <c r="C2011" s="1" t="s">
        <v>5373</v>
      </c>
      <c r="D2011" s="1">
        <v>2021</v>
      </c>
      <c r="E2011" s="1" t="str">
        <f t="shared" si="7"/>
        <v>XVXV CVT 2.0 AUT2021</v>
      </c>
      <c r="F2011" s="1" t="s">
        <v>1241</v>
      </c>
      <c r="G2011" s="1">
        <v>18790000</v>
      </c>
      <c r="H2011" s="1">
        <v>16000000</v>
      </c>
    </row>
    <row r="2012" spans="1:8" ht="13.5" customHeight="1" x14ac:dyDescent="0.3">
      <c r="A2012" s="1" t="s">
        <v>2957</v>
      </c>
      <c r="B2012" s="1" t="s">
        <v>2958</v>
      </c>
      <c r="C2012" s="1" t="s">
        <v>5373</v>
      </c>
      <c r="D2012" s="1">
        <v>2022</v>
      </c>
      <c r="E2012" s="1" t="str">
        <f t="shared" si="7"/>
        <v>XVXV CVT 2.0 AUT2022</v>
      </c>
      <c r="F2012" s="1" t="s">
        <v>1545</v>
      </c>
      <c r="G2012" s="1">
        <v>18190000</v>
      </c>
      <c r="H2012" s="1">
        <v>15500000</v>
      </c>
    </row>
    <row r="2013" spans="1:8" ht="13.5" customHeight="1" x14ac:dyDescent="0.3">
      <c r="A2013" s="1" t="s">
        <v>2957</v>
      </c>
      <c r="B2013" s="1" t="s">
        <v>2958</v>
      </c>
      <c r="C2013" s="1" t="s">
        <v>5373</v>
      </c>
      <c r="D2013" s="1">
        <v>2022</v>
      </c>
      <c r="E2013" s="1" t="str">
        <f t="shared" si="7"/>
        <v>XVXV CVT 2.0 AUT2022</v>
      </c>
      <c r="F2013" s="1" t="s">
        <v>687</v>
      </c>
      <c r="G2013" s="1">
        <v>37980000</v>
      </c>
      <c r="H2013" s="1">
        <v>33000000</v>
      </c>
    </row>
    <row r="2014" spans="1:8" ht="13.5" customHeight="1" x14ac:dyDescent="0.3">
      <c r="A2014" s="1" t="s">
        <v>2957</v>
      </c>
      <c r="B2014" s="1" t="s">
        <v>2958</v>
      </c>
      <c r="C2014" s="1" t="s">
        <v>5373</v>
      </c>
      <c r="D2014" s="1">
        <v>2023</v>
      </c>
      <c r="E2014" s="1" t="str">
        <f t="shared" si="7"/>
        <v>XVXV CVT 2.0 AUT2023</v>
      </c>
      <c r="F2014" s="1" t="s">
        <v>530</v>
      </c>
      <c r="G2014" s="1">
        <v>17990000</v>
      </c>
      <c r="H2014" s="1">
        <v>16000000</v>
      </c>
    </row>
    <row r="2015" spans="1:8" ht="13.5" customHeight="1" x14ac:dyDescent="0.3">
      <c r="A2015" s="1" t="s">
        <v>2957</v>
      </c>
      <c r="B2015" s="1" t="s">
        <v>2958</v>
      </c>
      <c r="C2015" s="1" t="s">
        <v>5373</v>
      </c>
      <c r="D2015" s="1">
        <v>2023</v>
      </c>
      <c r="E2015" s="1" t="str">
        <f t="shared" si="7"/>
        <v>XVXV CVT 2.0 AUT2023</v>
      </c>
      <c r="F2015" s="1" t="s">
        <v>529</v>
      </c>
      <c r="G2015" s="1">
        <v>18890000</v>
      </c>
      <c r="H2015" s="1">
        <v>16150000</v>
      </c>
    </row>
    <row r="2016" spans="1:8" ht="13.5" customHeight="1" x14ac:dyDescent="0.3">
      <c r="A2016" s="1" t="s">
        <v>2957</v>
      </c>
      <c r="B2016" s="1" t="s">
        <v>2958</v>
      </c>
      <c r="C2016" s="1" t="s">
        <v>5374</v>
      </c>
      <c r="D2016" s="1">
        <v>2017</v>
      </c>
      <c r="E2016" s="1" t="str">
        <f t="shared" si="7"/>
        <v>XVXV DYNAMIC AWD 2.0I AUT2017</v>
      </c>
      <c r="F2016" s="1" t="s">
        <v>5375</v>
      </c>
      <c r="G2016" s="1">
        <v>12990000</v>
      </c>
      <c r="H2016" s="1">
        <v>17092020</v>
      </c>
    </row>
    <row r="2017" spans="1:8" ht="13.5" customHeight="1" x14ac:dyDescent="0.3">
      <c r="A2017" s="1" t="s">
        <v>327</v>
      </c>
      <c r="B2017" s="1" t="s">
        <v>3147</v>
      </c>
      <c r="C2017" s="1" t="s">
        <v>5376</v>
      </c>
      <c r="D2017" s="1">
        <v>2024</v>
      </c>
      <c r="E2017" s="1" t="str">
        <f t="shared" si="7"/>
        <v>ALTOALTO 4X2 1.02024</v>
      </c>
      <c r="F2017" s="1" t="s">
        <v>383</v>
      </c>
      <c r="G2017" s="1">
        <v>7390000</v>
      </c>
      <c r="H2017" s="1">
        <v>6200000</v>
      </c>
    </row>
    <row r="2018" spans="1:8" ht="13.5" customHeight="1" x14ac:dyDescent="0.3">
      <c r="A2018" s="1" t="s">
        <v>327</v>
      </c>
      <c r="B2018" s="1" t="s">
        <v>3147</v>
      </c>
      <c r="C2018" s="1" t="s">
        <v>5377</v>
      </c>
      <c r="D2018" s="1">
        <v>2020</v>
      </c>
      <c r="E2018" s="1" t="str">
        <f t="shared" si="7"/>
        <v>ALTOALTO 8002020</v>
      </c>
      <c r="F2018" s="1" t="s">
        <v>1016</v>
      </c>
      <c r="G2018" s="1">
        <v>4790000</v>
      </c>
      <c r="H2018" s="1">
        <v>3350000</v>
      </c>
    </row>
    <row r="2019" spans="1:8" ht="13.5" customHeight="1" x14ac:dyDescent="0.3">
      <c r="A2019" s="1" t="s">
        <v>327</v>
      </c>
      <c r="B2019" s="1" t="s">
        <v>3147</v>
      </c>
      <c r="C2019" s="1" t="s">
        <v>5378</v>
      </c>
      <c r="D2019" s="1">
        <v>2017</v>
      </c>
      <c r="E2019" s="1" t="str">
        <f t="shared" si="7"/>
        <v>ALTOALTO DLX HB 800CC2017</v>
      </c>
      <c r="F2019" s="1" t="s">
        <v>1961</v>
      </c>
      <c r="G2019" s="1">
        <v>4890000</v>
      </c>
      <c r="H2019" s="1">
        <v>3500000</v>
      </c>
    </row>
    <row r="2020" spans="1:8" ht="13.5" customHeight="1" x14ac:dyDescent="0.3">
      <c r="A2020" s="1" t="s">
        <v>327</v>
      </c>
      <c r="B2020" s="1" t="s">
        <v>3147</v>
      </c>
      <c r="C2020" s="1" t="s">
        <v>5378</v>
      </c>
      <c r="D2020" s="1">
        <v>2018</v>
      </c>
      <c r="E2020" s="1" t="str">
        <f t="shared" si="7"/>
        <v>ALTOALTO DLX HB 800CC2018</v>
      </c>
      <c r="F2020" s="1" t="s">
        <v>1140</v>
      </c>
      <c r="G2020" s="1">
        <v>3990000</v>
      </c>
      <c r="H2020" s="1">
        <v>3000000</v>
      </c>
    </row>
    <row r="2021" spans="1:8" ht="13.5" customHeight="1" x14ac:dyDescent="0.3">
      <c r="A2021" s="1" t="s">
        <v>327</v>
      </c>
      <c r="B2021" s="1" t="s">
        <v>3147</v>
      </c>
      <c r="C2021" s="1" t="s">
        <v>5379</v>
      </c>
      <c r="D2021" s="1">
        <v>2022</v>
      </c>
      <c r="E2021" s="1" t="str">
        <f t="shared" si="7"/>
        <v>ALTOALTO GL 800 CC2022</v>
      </c>
      <c r="F2021" s="1" t="s">
        <v>470</v>
      </c>
      <c r="G2021" s="1">
        <v>5250000</v>
      </c>
      <c r="H2021" s="1">
        <v>4450000</v>
      </c>
    </row>
    <row r="2022" spans="1:8" ht="13.5" customHeight="1" x14ac:dyDescent="0.3">
      <c r="A2022" s="1" t="s">
        <v>327</v>
      </c>
      <c r="B2022" s="1" t="s">
        <v>3147</v>
      </c>
      <c r="C2022" s="1" t="s">
        <v>5380</v>
      </c>
      <c r="D2022" s="1">
        <v>2017</v>
      </c>
      <c r="E2022" s="1" t="str">
        <f t="shared" si="7"/>
        <v>ALTOALTO GL HB 800CC2017</v>
      </c>
      <c r="F2022" s="1" t="s">
        <v>1914</v>
      </c>
      <c r="G2022" s="1">
        <v>4490000</v>
      </c>
      <c r="H2022" s="1">
        <v>3599159</v>
      </c>
    </row>
    <row r="2023" spans="1:8" ht="13.5" customHeight="1" x14ac:dyDescent="0.3">
      <c r="A2023" s="1" t="s">
        <v>327</v>
      </c>
      <c r="B2023" s="1" t="s">
        <v>3147</v>
      </c>
      <c r="C2023" s="1" t="s">
        <v>5380</v>
      </c>
      <c r="D2023" s="1">
        <v>2019</v>
      </c>
      <c r="E2023" s="1" t="str">
        <f t="shared" si="7"/>
        <v>ALTOALTO GL HB 800CC2019</v>
      </c>
      <c r="F2023" s="1" t="s">
        <v>912</v>
      </c>
      <c r="G2023" s="1">
        <v>4390000</v>
      </c>
      <c r="H2023" s="1">
        <v>3000000</v>
      </c>
    </row>
    <row r="2024" spans="1:8" ht="13.5" customHeight="1" x14ac:dyDescent="0.3">
      <c r="A2024" s="1" t="s">
        <v>327</v>
      </c>
      <c r="B2024" s="1" t="s">
        <v>3147</v>
      </c>
      <c r="C2024" s="1" t="s">
        <v>5381</v>
      </c>
      <c r="D2024" s="1">
        <v>2020</v>
      </c>
      <c r="E2024" s="1" t="str">
        <f t="shared" si="7"/>
        <v>ALTOALTO GLX HB 800 CC2020</v>
      </c>
      <c r="F2024" s="1" t="s">
        <v>1943</v>
      </c>
      <c r="G2024" s="1">
        <v>9700000</v>
      </c>
      <c r="H2024" s="1">
        <v>7804162</v>
      </c>
    </row>
    <row r="2025" spans="1:8" ht="13.5" customHeight="1" x14ac:dyDescent="0.3">
      <c r="A2025" s="1" t="s">
        <v>327</v>
      </c>
      <c r="B2025" s="1" t="s">
        <v>3065</v>
      </c>
      <c r="C2025" s="1" t="s">
        <v>5382</v>
      </c>
      <c r="D2025" s="1">
        <v>2025</v>
      </c>
      <c r="E2025" s="1" t="str">
        <f t="shared" si="7"/>
        <v>BALENOBALENO 4X2 1.5 AUT2025</v>
      </c>
      <c r="F2025" s="1" t="s">
        <v>941</v>
      </c>
      <c r="G2025" s="1">
        <v>13490000</v>
      </c>
      <c r="H2025" s="1">
        <v>12300000</v>
      </c>
    </row>
    <row r="2026" spans="1:8" ht="13.5" customHeight="1" x14ac:dyDescent="0.3">
      <c r="A2026" s="1" t="s">
        <v>327</v>
      </c>
      <c r="B2026" s="1" t="s">
        <v>3065</v>
      </c>
      <c r="C2026" s="1" t="s">
        <v>5383</v>
      </c>
      <c r="D2026" s="1">
        <v>2022</v>
      </c>
      <c r="E2026" s="1" t="str">
        <f t="shared" si="7"/>
        <v>BALENOBALENO GLS 1.4 AUT2022</v>
      </c>
      <c r="F2026" s="1" t="s">
        <v>1242</v>
      </c>
      <c r="G2026" s="1">
        <v>9990000</v>
      </c>
      <c r="H2026" s="1">
        <v>8500000</v>
      </c>
    </row>
    <row r="2027" spans="1:8" ht="13.5" customHeight="1" x14ac:dyDescent="0.3">
      <c r="A2027" s="1" t="s">
        <v>327</v>
      </c>
      <c r="B2027" s="1" t="s">
        <v>3065</v>
      </c>
      <c r="C2027" s="1" t="s">
        <v>5384</v>
      </c>
      <c r="D2027" s="1">
        <v>2017</v>
      </c>
      <c r="E2027" s="1" t="str">
        <f t="shared" si="7"/>
        <v>BALENOBALENO GLS HB 1.42017</v>
      </c>
      <c r="F2027" s="1" t="s">
        <v>1443</v>
      </c>
      <c r="G2027" s="1">
        <v>7490000</v>
      </c>
      <c r="H2027" s="1">
        <v>5600000</v>
      </c>
    </row>
    <row r="2028" spans="1:8" ht="13.5" customHeight="1" x14ac:dyDescent="0.3">
      <c r="A2028" s="1" t="s">
        <v>327</v>
      </c>
      <c r="B2028" s="1" t="s">
        <v>3065</v>
      </c>
      <c r="C2028" s="1" t="s">
        <v>5384</v>
      </c>
      <c r="D2028" s="1">
        <v>2019</v>
      </c>
      <c r="E2028" s="1" t="str">
        <f t="shared" si="7"/>
        <v>BALENOBALENO GLS HB 1.42019</v>
      </c>
      <c r="F2028" s="1" t="s">
        <v>2171</v>
      </c>
      <c r="G2028" s="1">
        <v>8990000</v>
      </c>
      <c r="H2028" s="1">
        <v>7000000</v>
      </c>
    </row>
    <row r="2029" spans="1:8" ht="13.5" customHeight="1" x14ac:dyDescent="0.3">
      <c r="A2029" s="1" t="s">
        <v>327</v>
      </c>
      <c r="B2029" s="1" t="s">
        <v>3065</v>
      </c>
      <c r="C2029" s="1" t="s">
        <v>5384</v>
      </c>
      <c r="D2029" s="1">
        <v>2022</v>
      </c>
      <c r="E2029" s="1" t="str">
        <f t="shared" si="7"/>
        <v>BALENOBALENO GLS HB 1.42022</v>
      </c>
      <c r="F2029" s="1" t="s">
        <v>2342</v>
      </c>
      <c r="G2029" s="1">
        <v>9790000</v>
      </c>
      <c r="H2029" s="1">
        <v>8500000</v>
      </c>
    </row>
    <row r="2030" spans="1:8" ht="13.5" customHeight="1" x14ac:dyDescent="0.3">
      <c r="A2030" s="1" t="s">
        <v>327</v>
      </c>
      <c r="B2030" s="1" t="s">
        <v>3065</v>
      </c>
      <c r="C2030" s="1" t="s">
        <v>5385</v>
      </c>
      <c r="D2030" s="1">
        <v>2021</v>
      </c>
      <c r="E2030" s="1" t="str">
        <f t="shared" si="7"/>
        <v>BALENOBALENO GLS HB 1.4 AUT2021</v>
      </c>
      <c r="F2030" s="1" t="s">
        <v>1955</v>
      </c>
      <c r="G2030" s="1">
        <v>8790000</v>
      </c>
      <c r="H2030" s="1">
        <v>8160504</v>
      </c>
    </row>
    <row r="2031" spans="1:8" ht="13.5" customHeight="1" x14ac:dyDescent="0.3">
      <c r="A2031" s="1" t="s">
        <v>327</v>
      </c>
      <c r="B2031" s="1" t="s">
        <v>3065</v>
      </c>
      <c r="C2031" s="1" t="s">
        <v>5386</v>
      </c>
      <c r="D2031" s="1">
        <v>2018</v>
      </c>
      <c r="E2031" s="1" t="str">
        <f t="shared" si="7"/>
        <v>BALENOBALENO GLX HB 1.42018</v>
      </c>
      <c r="F2031" s="1" t="s">
        <v>2266</v>
      </c>
      <c r="G2031" s="1">
        <v>7690000</v>
      </c>
      <c r="H2031" s="1">
        <v>6200000</v>
      </c>
    </row>
    <row r="2032" spans="1:8" ht="13.5" customHeight="1" x14ac:dyDescent="0.3">
      <c r="A2032" s="1" t="s">
        <v>327</v>
      </c>
      <c r="B2032" s="1" t="s">
        <v>3065</v>
      </c>
      <c r="C2032" s="1" t="s">
        <v>5386</v>
      </c>
      <c r="D2032" s="1">
        <v>2020</v>
      </c>
      <c r="E2032" s="1" t="str">
        <f t="shared" si="7"/>
        <v>BALENOBALENO GLX HB 1.42020</v>
      </c>
      <c r="F2032" s="1" t="s">
        <v>2056</v>
      </c>
      <c r="G2032" s="1">
        <v>9000000</v>
      </c>
      <c r="H2032" s="1">
        <v>7200000</v>
      </c>
    </row>
    <row r="2033" spans="1:8" ht="13.5" customHeight="1" x14ac:dyDescent="0.3">
      <c r="A2033" s="1" t="s">
        <v>327</v>
      </c>
      <c r="B2033" s="1" t="s">
        <v>3065</v>
      </c>
      <c r="C2033" s="1" t="s">
        <v>5386</v>
      </c>
      <c r="D2033" s="1">
        <v>2020</v>
      </c>
      <c r="E2033" s="1" t="str">
        <f t="shared" si="7"/>
        <v>BALENOBALENO GLX HB 1.42020</v>
      </c>
      <c r="F2033" s="1" t="s">
        <v>847</v>
      </c>
      <c r="G2033" s="1">
        <v>8990000</v>
      </c>
      <c r="H2033" s="1">
        <v>7300000</v>
      </c>
    </row>
    <row r="2034" spans="1:8" ht="13.5" customHeight="1" x14ac:dyDescent="0.3">
      <c r="A2034" s="1" t="s">
        <v>327</v>
      </c>
      <c r="B2034" s="1" t="s">
        <v>3065</v>
      </c>
      <c r="C2034" s="1" t="s">
        <v>5387</v>
      </c>
      <c r="D2034" s="1">
        <v>2022</v>
      </c>
      <c r="E2034" s="1" t="str">
        <f t="shared" si="7"/>
        <v>BALENOBALENO HB 1.42022</v>
      </c>
      <c r="F2034" s="1" t="s">
        <v>939</v>
      </c>
      <c r="G2034" s="1">
        <v>8690000</v>
      </c>
      <c r="H2034" s="1">
        <v>6600000</v>
      </c>
    </row>
    <row r="2035" spans="1:8" ht="13.5" customHeight="1" x14ac:dyDescent="0.3">
      <c r="A2035" s="1" t="s">
        <v>327</v>
      </c>
      <c r="B2035" s="1" t="s">
        <v>3065</v>
      </c>
      <c r="C2035" s="1" t="s">
        <v>5388</v>
      </c>
      <c r="D2035" s="1">
        <v>2023</v>
      </c>
      <c r="E2035" s="1" t="str">
        <f t="shared" si="7"/>
        <v>BALENONEW BALENO GLX 1.52023</v>
      </c>
      <c r="F2035" s="1" t="s">
        <v>854</v>
      </c>
      <c r="G2035" s="1">
        <v>12190000</v>
      </c>
      <c r="H2035" s="1">
        <v>10200000</v>
      </c>
    </row>
    <row r="2036" spans="1:8" ht="13.5" customHeight="1" x14ac:dyDescent="0.3">
      <c r="A2036" s="1" t="s">
        <v>327</v>
      </c>
      <c r="B2036" s="1" t="s">
        <v>3065</v>
      </c>
      <c r="C2036" s="1" t="s">
        <v>5389</v>
      </c>
      <c r="D2036" s="1">
        <v>2024</v>
      </c>
      <c r="E2036" s="1" t="str">
        <f t="shared" si="7"/>
        <v>BALENONEW BALENO GLX HB 1.52024</v>
      </c>
      <c r="F2036" s="1" t="s">
        <v>1371</v>
      </c>
      <c r="G2036" s="1">
        <v>12719120</v>
      </c>
      <c r="H2036" s="1">
        <v>10800000</v>
      </c>
    </row>
    <row r="2037" spans="1:8" ht="13.5" customHeight="1" x14ac:dyDescent="0.3">
      <c r="A2037" s="1" t="s">
        <v>327</v>
      </c>
      <c r="B2037" s="1" t="s">
        <v>3554</v>
      </c>
      <c r="C2037" s="1" t="s">
        <v>5390</v>
      </c>
      <c r="D2037" s="1">
        <v>2018</v>
      </c>
      <c r="E2037" s="1" t="str">
        <f t="shared" si="7"/>
        <v>CELERIOCELERIO GA HB 1.02018</v>
      </c>
      <c r="F2037" s="1" t="s">
        <v>907</v>
      </c>
      <c r="G2037" s="1">
        <v>5990000</v>
      </c>
      <c r="H2037" s="1">
        <v>4800000</v>
      </c>
    </row>
    <row r="2038" spans="1:8" ht="13.5" customHeight="1" x14ac:dyDescent="0.3">
      <c r="A2038" s="1" t="s">
        <v>327</v>
      </c>
      <c r="B2038" s="1" t="s">
        <v>3554</v>
      </c>
      <c r="C2038" s="1" t="s">
        <v>5390</v>
      </c>
      <c r="D2038" s="1">
        <v>2019</v>
      </c>
      <c r="E2038" s="1" t="str">
        <f t="shared" si="7"/>
        <v>CELERIOCELERIO GA HB 1.02019</v>
      </c>
      <c r="F2038" s="1" t="s">
        <v>1890</v>
      </c>
      <c r="G2038" s="1">
        <v>6390000</v>
      </c>
      <c r="H2038" s="1">
        <v>4400000</v>
      </c>
    </row>
    <row r="2039" spans="1:8" ht="13.5" customHeight="1" x14ac:dyDescent="0.3">
      <c r="A2039" s="1" t="s">
        <v>327</v>
      </c>
      <c r="B2039" s="1" t="s">
        <v>3554</v>
      </c>
      <c r="C2039" s="1" t="s">
        <v>5391</v>
      </c>
      <c r="D2039" s="1">
        <v>2016</v>
      </c>
      <c r="E2039" s="1" t="str">
        <f t="shared" si="7"/>
        <v>CELERIOCELERIO GLX HB 1.02016</v>
      </c>
      <c r="F2039" s="1" t="s">
        <v>2324</v>
      </c>
      <c r="G2039" s="1">
        <v>7500000</v>
      </c>
      <c r="H2039" s="1">
        <v>6000000</v>
      </c>
    </row>
    <row r="2040" spans="1:8" ht="13.5" customHeight="1" x14ac:dyDescent="0.3">
      <c r="A2040" s="1" t="s">
        <v>327</v>
      </c>
      <c r="B2040" s="1" t="s">
        <v>3554</v>
      </c>
      <c r="C2040" s="1" t="s">
        <v>5392</v>
      </c>
      <c r="D2040" s="1">
        <v>2022</v>
      </c>
      <c r="E2040" s="1" t="str">
        <f t="shared" si="7"/>
        <v>CELERIOCELERIO HB MT 1.02022</v>
      </c>
      <c r="F2040" s="1" t="s">
        <v>1455</v>
      </c>
      <c r="G2040" s="1">
        <v>6990000</v>
      </c>
      <c r="H2040" s="1">
        <v>5800000</v>
      </c>
    </row>
    <row r="2041" spans="1:8" ht="13.5" customHeight="1" x14ac:dyDescent="0.3">
      <c r="A2041" s="1" t="s">
        <v>327</v>
      </c>
      <c r="B2041" s="1" t="s">
        <v>3554</v>
      </c>
      <c r="C2041" s="1" t="s">
        <v>5392</v>
      </c>
      <c r="D2041" s="1">
        <v>2022</v>
      </c>
      <c r="E2041" s="1" t="str">
        <f t="shared" si="7"/>
        <v>CELERIOCELERIO HB MT 1.02022</v>
      </c>
      <c r="F2041" s="1" t="s">
        <v>740</v>
      </c>
      <c r="G2041" s="1">
        <v>7490000</v>
      </c>
      <c r="H2041" s="1">
        <v>6000000</v>
      </c>
    </row>
    <row r="2042" spans="1:8" ht="13.5" customHeight="1" x14ac:dyDescent="0.3">
      <c r="A2042" s="1" t="s">
        <v>327</v>
      </c>
      <c r="B2042" s="1" t="s">
        <v>3983</v>
      </c>
      <c r="C2042" s="1" t="s">
        <v>5393</v>
      </c>
      <c r="D2042" s="1">
        <v>2018</v>
      </c>
      <c r="E2042" s="1" t="str">
        <f t="shared" si="7"/>
        <v>DZIREDZIRE GL 1.22018</v>
      </c>
      <c r="F2042" s="1" t="s">
        <v>1797</v>
      </c>
      <c r="G2042" s="1">
        <v>6490000</v>
      </c>
      <c r="H2042" s="1">
        <v>5115966</v>
      </c>
    </row>
    <row r="2043" spans="1:8" ht="13.5" customHeight="1" x14ac:dyDescent="0.3">
      <c r="A2043" s="1" t="s">
        <v>327</v>
      </c>
      <c r="B2043" s="1" t="s">
        <v>3983</v>
      </c>
      <c r="C2043" s="1" t="s">
        <v>5393</v>
      </c>
      <c r="D2043" s="1">
        <v>2022</v>
      </c>
      <c r="E2043" s="1" t="str">
        <f t="shared" ref="E2043:E2183" si="8">CONCATENATE(B2043,C2043,D2043)</f>
        <v>DZIREDZIRE GL 1.22022</v>
      </c>
      <c r="F2043" s="1" t="s">
        <v>1725</v>
      </c>
      <c r="G2043" s="1">
        <v>8190000</v>
      </c>
      <c r="H2043" s="1">
        <v>6500000</v>
      </c>
    </row>
    <row r="2044" spans="1:8" ht="13.5" customHeight="1" x14ac:dyDescent="0.3">
      <c r="A2044" s="1" t="s">
        <v>327</v>
      </c>
      <c r="B2044" s="1" t="s">
        <v>3983</v>
      </c>
      <c r="C2044" s="1" t="s">
        <v>5394</v>
      </c>
      <c r="D2044" s="1">
        <v>2023</v>
      </c>
      <c r="E2044" s="1" t="str">
        <f t="shared" si="8"/>
        <v>DZIREDZIRE SEDAN 1.22023</v>
      </c>
      <c r="F2044" s="1" t="s">
        <v>1408</v>
      </c>
      <c r="G2044" s="1">
        <v>8490000</v>
      </c>
      <c r="H2044" s="1">
        <v>7000000</v>
      </c>
    </row>
    <row r="2045" spans="1:8" ht="13.5" customHeight="1" x14ac:dyDescent="0.3">
      <c r="A2045" s="1" t="s">
        <v>327</v>
      </c>
      <c r="B2045" s="1" t="s">
        <v>5395</v>
      </c>
      <c r="C2045" s="1" t="s">
        <v>5396</v>
      </c>
      <c r="D2045" s="1">
        <v>2016</v>
      </c>
      <c r="E2045" s="1" t="str">
        <f t="shared" si="8"/>
        <v>ERTIGAERTIGA GLS 1.42016</v>
      </c>
      <c r="F2045" s="1" t="s">
        <v>900</v>
      </c>
      <c r="G2045" s="1">
        <v>7098060</v>
      </c>
      <c r="H2045" s="1">
        <v>5900000</v>
      </c>
    </row>
    <row r="2046" spans="1:8" ht="13.5" customHeight="1" x14ac:dyDescent="0.3">
      <c r="A2046" s="1" t="s">
        <v>327</v>
      </c>
      <c r="B2046" s="1" t="s">
        <v>328</v>
      </c>
      <c r="C2046" s="1" t="s">
        <v>5397</v>
      </c>
      <c r="D2046" s="1">
        <v>2019</v>
      </c>
      <c r="E2046" s="1" t="str">
        <f t="shared" si="8"/>
        <v>GRAND NOMADEGRAND NOMADE GLX  2.42019</v>
      </c>
      <c r="F2046" s="1" t="s">
        <v>2841</v>
      </c>
      <c r="G2046" s="1">
        <v>12890000</v>
      </c>
      <c r="H2046" s="1">
        <v>13800000</v>
      </c>
    </row>
    <row r="2047" spans="1:8" ht="13.5" customHeight="1" x14ac:dyDescent="0.3">
      <c r="A2047" s="1" t="s">
        <v>327</v>
      </c>
      <c r="B2047" s="1" t="s">
        <v>328</v>
      </c>
      <c r="C2047" s="1" t="s">
        <v>5398</v>
      </c>
      <c r="D2047" s="1">
        <v>2017</v>
      </c>
      <c r="E2047" s="1" t="str">
        <f t="shared" si="8"/>
        <v>GRAND NOMADEGRAND NOMADE GLX 4X4 2.42017</v>
      </c>
      <c r="F2047" s="1" t="s">
        <v>1935</v>
      </c>
      <c r="G2047" s="1">
        <v>10490000</v>
      </c>
      <c r="H2047" s="1">
        <v>7700000</v>
      </c>
    </row>
    <row r="2048" spans="1:8" ht="13.5" customHeight="1" x14ac:dyDescent="0.3">
      <c r="A2048" s="1" t="s">
        <v>327</v>
      </c>
      <c r="B2048" s="1" t="s">
        <v>5399</v>
      </c>
      <c r="C2048" s="1" t="s">
        <v>5400</v>
      </c>
      <c r="D2048" s="1">
        <v>2017</v>
      </c>
      <c r="E2048" s="1" t="str">
        <f t="shared" si="8"/>
        <v>IGNISIGNIS GL HB 1.22017</v>
      </c>
      <c r="F2048" s="1" t="s">
        <v>2308</v>
      </c>
      <c r="G2048" s="1">
        <v>5900000</v>
      </c>
      <c r="H2048" s="1">
        <v>5100000</v>
      </c>
    </row>
    <row r="2049" spans="1:8" ht="13.5" customHeight="1" x14ac:dyDescent="0.3">
      <c r="A2049" s="1" t="s">
        <v>327</v>
      </c>
      <c r="B2049" s="1" t="s">
        <v>5399</v>
      </c>
      <c r="C2049" s="1" t="s">
        <v>5400</v>
      </c>
      <c r="D2049" s="1">
        <v>2020</v>
      </c>
      <c r="E2049" s="1" t="str">
        <f t="shared" si="8"/>
        <v>IGNISIGNIS GL HB 1.22020</v>
      </c>
      <c r="F2049" s="1" t="s">
        <v>632</v>
      </c>
      <c r="G2049" s="1">
        <v>7104620</v>
      </c>
      <c r="H2049" s="1">
        <v>5850000</v>
      </c>
    </row>
    <row r="2050" spans="1:8" ht="13.5" customHeight="1" x14ac:dyDescent="0.3">
      <c r="A2050" s="1" t="s">
        <v>327</v>
      </c>
      <c r="B2050" s="1" t="s">
        <v>331</v>
      </c>
      <c r="C2050" s="1" t="s">
        <v>332</v>
      </c>
      <c r="D2050" s="1">
        <v>2022</v>
      </c>
      <c r="E2050" s="1" t="str">
        <f t="shared" si="8"/>
        <v>JIMNYJIMNY 4X4 OTTO 1.52022</v>
      </c>
      <c r="F2050" s="1" t="s">
        <v>360</v>
      </c>
      <c r="G2050" s="1">
        <v>13490000</v>
      </c>
      <c r="H2050" s="1">
        <v>10800000</v>
      </c>
    </row>
    <row r="2051" spans="1:8" ht="13.5" customHeight="1" x14ac:dyDescent="0.3">
      <c r="A2051" s="1" t="s">
        <v>327</v>
      </c>
      <c r="B2051" s="1" t="s">
        <v>331</v>
      </c>
      <c r="C2051" s="1" t="s">
        <v>332</v>
      </c>
      <c r="D2051" s="1">
        <v>2022</v>
      </c>
      <c r="E2051" s="1" t="str">
        <f t="shared" si="8"/>
        <v>JIMNYJIMNY 4X4 OTTO 1.52022</v>
      </c>
      <c r="F2051" s="1" t="s">
        <v>1026</v>
      </c>
      <c r="G2051" s="1">
        <v>12358310</v>
      </c>
      <c r="H2051" s="1">
        <v>10000000</v>
      </c>
    </row>
    <row r="2052" spans="1:8" ht="13.5" customHeight="1" x14ac:dyDescent="0.3">
      <c r="A2052" s="1" t="s">
        <v>327</v>
      </c>
      <c r="B2052" s="1" t="s">
        <v>331</v>
      </c>
      <c r="C2052" s="1" t="s">
        <v>332</v>
      </c>
      <c r="D2052" s="1">
        <v>2023</v>
      </c>
      <c r="E2052" s="1" t="str">
        <f t="shared" si="8"/>
        <v>JIMNYJIMNY 4X4 OTTO 1.52023</v>
      </c>
      <c r="F2052" s="1" t="s">
        <v>1029</v>
      </c>
      <c r="G2052" s="1">
        <v>12790000</v>
      </c>
      <c r="H2052" s="1">
        <v>10800000</v>
      </c>
    </row>
    <row r="2053" spans="1:8" ht="13.5" customHeight="1" x14ac:dyDescent="0.3">
      <c r="A2053" s="1" t="s">
        <v>327</v>
      </c>
      <c r="B2053" s="1" t="s">
        <v>331</v>
      </c>
      <c r="C2053" s="1" t="s">
        <v>5401</v>
      </c>
      <c r="D2053" s="1">
        <v>2020</v>
      </c>
      <c r="E2053" s="1" t="str">
        <f t="shared" si="8"/>
        <v>JIMNYJIMNY GLX 4X4 1.52020</v>
      </c>
      <c r="F2053" s="1" t="s">
        <v>397</v>
      </c>
      <c r="G2053" s="1">
        <v>12000000</v>
      </c>
      <c r="H2053" s="1">
        <v>10100000</v>
      </c>
    </row>
    <row r="2054" spans="1:8" ht="13.5" customHeight="1" x14ac:dyDescent="0.3">
      <c r="A2054" s="1" t="s">
        <v>327</v>
      </c>
      <c r="B2054" s="1" t="s">
        <v>5402</v>
      </c>
      <c r="C2054" s="1" t="s">
        <v>5403</v>
      </c>
      <c r="D2054" s="1">
        <v>2018</v>
      </c>
      <c r="E2054" s="1" t="str">
        <f t="shared" si="8"/>
        <v>S CROSSS CROSS GL 1.62018</v>
      </c>
      <c r="F2054" s="1" t="s">
        <v>672</v>
      </c>
      <c r="G2054" s="1">
        <v>8690000</v>
      </c>
      <c r="H2054" s="1">
        <v>6900000</v>
      </c>
    </row>
    <row r="2055" spans="1:8" ht="13.5" customHeight="1" x14ac:dyDescent="0.3">
      <c r="A2055" s="1" t="s">
        <v>327</v>
      </c>
      <c r="B2055" s="1" t="s">
        <v>5402</v>
      </c>
      <c r="C2055" s="1" t="s">
        <v>5404</v>
      </c>
      <c r="D2055" s="1">
        <v>2023</v>
      </c>
      <c r="E2055" s="1" t="str">
        <f t="shared" si="8"/>
        <v>S CROSSS CROSS GLX 1.4 AUT2023</v>
      </c>
      <c r="F2055" s="1" t="s">
        <v>1165</v>
      </c>
      <c r="G2055" s="1">
        <v>16000000</v>
      </c>
      <c r="H2055" s="1">
        <v>13800000</v>
      </c>
    </row>
    <row r="2056" spans="1:8" ht="13.5" customHeight="1" x14ac:dyDescent="0.3">
      <c r="A2056" s="1" t="s">
        <v>327</v>
      </c>
      <c r="B2056" s="1" t="s">
        <v>5405</v>
      </c>
      <c r="C2056" s="1" t="s">
        <v>5406</v>
      </c>
      <c r="D2056" s="1">
        <v>2022</v>
      </c>
      <c r="E2056" s="1" t="str">
        <f t="shared" si="8"/>
        <v>SPRESSOS PRESSO HB 1.02022</v>
      </c>
      <c r="F2056" s="1" t="s">
        <v>890</v>
      </c>
      <c r="G2056" s="1">
        <v>6190000</v>
      </c>
      <c r="H2056" s="1">
        <v>4900000</v>
      </c>
    </row>
    <row r="2057" spans="1:8" ht="13.5" customHeight="1" x14ac:dyDescent="0.3">
      <c r="A2057" s="1" t="s">
        <v>327</v>
      </c>
      <c r="B2057" s="1" t="s">
        <v>5405</v>
      </c>
      <c r="C2057" s="1" t="s">
        <v>5407</v>
      </c>
      <c r="D2057" s="1">
        <v>2023</v>
      </c>
      <c r="E2057" s="1" t="str">
        <f t="shared" si="8"/>
        <v>SPRESSOSPRESSO 1.02023</v>
      </c>
      <c r="F2057" s="1" t="s">
        <v>1139</v>
      </c>
      <c r="G2057" s="1">
        <v>7180650</v>
      </c>
      <c r="H2057" s="1">
        <v>6000000</v>
      </c>
    </row>
    <row r="2058" spans="1:8" ht="13.5" customHeight="1" x14ac:dyDescent="0.3">
      <c r="A2058" s="1" t="s">
        <v>327</v>
      </c>
      <c r="B2058" s="1" t="s">
        <v>5405</v>
      </c>
      <c r="C2058" s="1" t="s">
        <v>5408</v>
      </c>
      <c r="D2058" s="1">
        <v>2022</v>
      </c>
      <c r="E2058" s="1" t="str">
        <f t="shared" si="8"/>
        <v>SPRESSOSPRESSO GLX 1.02022</v>
      </c>
      <c r="F2058" s="1" t="s">
        <v>1569</v>
      </c>
      <c r="G2058" s="1">
        <v>5990000</v>
      </c>
      <c r="H2058" s="1">
        <v>4430000</v>
      </c>
    </row>
    <row r="2059" spans="1:8" ht="13.5" customHeight="1" x14ac:dyDescent="0.3">
      <c r="A2059" s="1" t="s">
        <v>327</v>
      </c>
      <c r="B2059" s="1" t="s">
        <v>5405</v>
      </c>
      <c r="C2059" s="1" t="s">
        <v>5408</v>
      </c>
      <c r="D2059" s="1">
        <v>2022</v>
      </c>
      <c r="E2059" s="1" t="str">
        <f t="shared" si="8"/>
        <v>SPRESSOSPRESSO GLX 1.02022</v>
      </c>
      <c r="F2059" s="1" t="s">
        <v>681</v>
      </c>
      <c r="G2059" s="1">
        <v>6190000</v>
      </c>
      <c r="H2059" s="1">
        <v>5000000</v>
      </c>
    </row>
    <row r="2060" spans="1:8" ht="13.5" customHeight="1" x14ac:dyDescent="0.3">
      <c r="A2060" s="1" t="s">
        <v>327</v>
      </c>
      <c r="B2060" s="1" t="s">
        <v>3544</v>
      </c>
      <c r="C2060" s="1" t="s">
        <v>5409</v>
      </c>
      <c r="D2060" s="1">
        <v>2023</v>
      </c>
      <c r="E2060" s="1" t="str">
        <f t="shared" si="8"/>
        <v>SWIFTSWIFT 2WD 1.2 AUT2023</v>
      </c>
      <c r="F2060" s="1" t="s">
        <v>1791</v>
      </c>
      <c r="G2060" s="1">
        <v>9890000</v>
      </c>
      <c r="H2060" s="1">
        <v>8500000</v>
      </c>
    </row>
    <row r="2061" spans="1:8" ht="13.5" customHeight="1" x14ac:dyDescent="0.3">
      <c r="A2061" s="1" t="s">
        <v>327</v>
      </c>
      <c r="B2061" s="1" t="s">
        <v>3544</v>
      </c>
      <c r="C2061" s="1" t="s">
        <v>5409</v>
      </c>
      <c r="D2061" s="1">
        <v>2024</v>
      </c>
      <c r="E2061" s="1" t="str">
        <f t="shared" si="8"/>
        <v>SWIFTSWIFT 2WD 1.2 AUT2024</v>
      </c>
      <c r="F2061" s="1" t="s">
        <v>1302</v>
      </c>
      <c r="G2061" s="1">
        <v>11990000</v>
      </c>
      <c r="H2061" s="1">
        <v>11300000</v>
      </c>
    </row>
    <row r="2062" spans="1:8" ht="13.5" customHeight="1" x14ac:dyDescent="0.3">
      <c r="A2062" s="1" t="s">
        <v>327</v>
      </c>
      <c r="B2062" s="1" t="s">
        <v>3544</v>
      </c>
      <c r="C2062" s="1" t="s">
        <v>5410</v>
      </c>
      <c r="D2062" s="1">
        <v>2024</v>
      </c>
      <c r="E2062" s="1" t="str">
        <f t="shared" si="8"/>
        <v>SWIFTSWIFT 4X2 1.22024</v>
      </c>
      <c r="F2062" s="1" t="s">
        <v>1061</v>
      </c>
      <c r="G2062" s="1">
        <v>9490000</v>
      </c>
      <c r="H2062" s="1">
        <v>8000000</v>
      </c>
    </row>
    <row r="2063" spans="1:8" ht="13.5" customHeight="1" x14ac:dyDescent="0.3">
      <c r="A2063" s="1" t="s">
        <v>327</v>
      </c>
      <c r="B2063" s="1" t="s">
        <v>3544</v>
      </c>
      <c r="C2063" s="1" t="s">
        <v>5411</v>
      </c>
      <c r="D2063" s="1">
        <v>2018</v>
      </c>
      <c r="E2063" s="1" t="str">
        <f t="shared" si="8"/>
        <v>SWIFTSWIFT GA 1.22018</v>
      </c>
      <c r="F2063" s="1" t="s">
        <v>751</v>
      </c>
      <c r="G2063" s="1">
        <v>7490000</v>
      </c>
      <c r="H2063" s="1">
        <v>6000000</v>
      </c>
    </row>
    <row r="2064" spans="1:8" ht="13.5" customHeight="1" x14ac:dyDescent="0.3">
      <c r="A2064" s="1" t="s">
        <v>327</v>
      </c>
      <c r="B2064" s="1" t="s">
        <v>3544</v>
      </c>
      <c r="C2064" s="1" t="s">
        <v>5412</v>
      </c>
      <c r="D2064" s="1">
        <v>2022</v>
      </c>
      <c r="E2064" s="1" t="str">
        <f t="shared" si="8"/>
        <v>SWIFTSWIFT GL 1.22022</v>
      </c>
      <c r="F2064" s="1" t="s">
        <v>2077</v>
      </c>
      <c r="G2064" s="1">
        <v>11090000</v>
      </c>
      <c r="H2064" s="1">
        <v>9500000</v>
      </c>
    </row>
    <row r="2065" spans="1:8" ht="13.5" customHeight="1" x14ac:dyDescent="0.3">
      <c r="A2065" s="1" t="s">
        <v>327</v>
      </c>
      <c r="B2065" s="1" t="s">
        <v>3544</v>
      </c>
      <c r="C2065" s="1" t="s">
        <v>5413</v>
      </c>
      <c r="D2065" s="1">
        <v>2019</v>
      </c>
      <c r="E2065" s="1" t="str">
        <f t="shared" si="8"/>
        <v>SWIFTSWIFT GL SPORT 1.22019</v>
      </c>
      <c r="F2065" s="1" t="s">
        <v>816</v>
      </c>
      <c r="G2065" s="1">
        <v>8990000</v>
      </c>
      <c r="H2065" s="1">
        <v>7240000</v>
      </c>
    </row>
    <row r="2066" spans="1:8" ht="13.5" customHeight="1" x14ac:dyDescent="0.3">
      <c r="A2066" s="1" t="s">
        <v>327</v>
      </c>
      <c r="B2066" s="1" t="s">
        <v>3544</v>
      </c>
      <c r="C2066" s="1" t="s">
        <v>5414</v>
      </c>
      <c r="D2066" s="1">
        <v>2015</v>
      </c>
      <c r="E2066" s="1" t="str">
        <f t="shared" si="8"/>
        <v>SWIFTSWIFT GLA SPORT 1.22015</v>
      </c>
      <c r="F2066" s="1" t="s">
        <v>2279</v>
      </c>
      <c r="G2066" s="1">
        <v>7290000</v>
      </c>
      <c r="H2066" s="1">
        <v>6000000</v>
      </c>
    </row>
    <row r="2067" spans="1:8" ht="13.5" customHeight="1" x14ac:dyDescent="0.3">
      <c r="A2067" s="1" t="s">
        <v>327</v>
      </c>
      <c r="B2067" s="1" t="s">
        <v>3544</v>
      </c>
      <c r="C2067" s="1" t="s">
        <v>5415</v>
      </c>
      <c r="D2067" s="1">
        <v>2022</v>
      </c>
      <c r="E2067" s="1" t="str">
        <f t="shared" si="8"/>
        <v>SWIFTSWIFT HB 1.2 AT2022</v>
      </c>
      <c r="F2067" s="1" t="s">
        <v>1272</v>
      </c>
      <c r="G2067" s="1">
        <v>11890000</v>
      </c>
      <c r="H2067" s="1">
        <v>10000000</v>
      </c>
    </row>
    <row r="2068" spans="1:8" ht="13.5" customHeight="1" x14ac:dyDescent="0.3">
      <c r="A2068" s="1" t="s">
        <v>327</v>
      </c>
      <c r="B2068" s="1" t="s">
        <v>5416</v>
      </c>
      <c r="C2068" s="1" t="s">
        <v>5417</v>
      </c>
      <c r="D2068" s="1">
        <v>2022</v>
      </c>
      <c r="E2068" s="1" t="str">
        <f t="shared" si="8"/>
        <v>SX4SX4 S CROSS 4X4 1.62022</v>
      </c>
      <c r="F2068" s="1" t="s">
        <v>1588</v>
      </c>
      <c r="G2068" s="1">
        <v>14990000</v>
      </c>
      <c r="H2068" s="1">
        <v>12000000</v>
      </c>
    </row>
    <row r="2069" spans="1:8" ht="13.5" customHeight="1" x14ac:dyDescent="0.3">
      <c r="A2069" s="1" t="s">
        <v>327</v>
      </c>
      <c r="B2069" s="1" t="s">
        <v>3711</v>
      </c>
      <c r="C2069" s="1" t="s">
        <v>5418</v>
      </c>
      <c r="D2069" s="1">
        <v>2014</v>
      </c>
      <c r="E2069" s="1" t="str">
        <f t="shared" si="8"/>
        <v>VITARAGRAND VITARA 1.62014</v>
      </c>
      <c r="F2069" s="1" t="s">
        <v>2723</v>
      </c>
      <c r="G2069" s="1">
        <v>7990000</v>
      </c>
      <c r="H2069" s="1">
        <v>8800000</v>
      </c>
    </row>
    <row r="2070" spans="1:8" ht="13.5" customHeight="1" x14ac:dyDescent="0.3">
      <c r="A2070" s="1" t="s">
        <v>327</v>
      </c>
      <c r="B2070" s="1" t="s">
        <v>3711</v>
      </c>
      <c r="C2070" s="1" t="s">
        <v>5419</v>
      </c>
      <c r="D2070" s="1">
        <v>2024</v>
      </c>
      <c r="E2070" s="1" t="str">
        <f t="shared" si="8"/>
        <v>VITARAGRAND VITARA 2WD 1.5 AT2024</v>
      </c>
      <c r="F2070" s="1" t="s">
        <v>1494</v>
      </c>
      <c r="G2070" s="1">
        <v>17690000</v>
      </c>
      <c r="H2070" s="1">
        <v>15000000</v>
      </c>
    </row>
    <row r="2071" spans="1:8" ht="13.5" customHeight="1" x14ac:dyDescent="0.3">
      <c r="A2071" s="1" t="s">
        <v>327</v>
      </c>
      <c r="B2071" s="1" t="s">
        <v>3711</v>
      </c>
      <c r="C2071" s="1" t="s">
        <v>5420</v>
      </c>
      <c r="D2071" s="1">
        <v>2015</v>
      </c>
      <c r="E2071" s="1" t="str">
        <f t="shared" si="8"/>
        <v>VITARAGRAND VITARA GLX 4X4 1.62015</v>
      </c>
      <c r="F2071" s="1" t="s">
        <v>2389</v>
      </c>
      <c r="G2071" s="1">
        <v>8990000</v>
      </c>
      <c r="H2071" s="1">
        <v>7000000</v>
      </c>
    </row>
    <row r="2072" spans="1:8" ht="13.5" customHeight="1" x14ac:dyDescent="0.3">
      <c r="A2072" s="1" t="s">
        <v>327</v>
      </c>
      <c r="B2072" s="1" t="s">
        <v>3711</v>
      </c>
      <c r="C2072" s="1" t="s">
        <v>5421</v>
      </c>
      <c r="D2072" s="1">
        <v>2018</v>
      </c>
      <c r="E2072" s="1" t="str">
        <f t="shared" si="8"/>
        <v>VITARAVITARA GLS 1.62018</v>
      </c>
      <c r="F2072" s="1" t="s">
        <v>1876</v>
      </c>
      <c r="G2072" s="1">
        <v>9890000</v>
      </c>
      <c r="H2072" s="1">
        <v>7500000</v>
      </c>
    </row>
    <row r="2073" spans="1:8" ht="13.5" customHeight="1" x14ac:dyDescent="0.3">
      <c r="A2073" s="1" t="s">
        <v>327</v>
      </c>
      <c r="B2073" s="1" t="s">
        <v>3711</v>
      </c>
      <c r="C2073" s="1" t="s">
        <v>5422</v>
      </c>
      <c r="D2073" s="1">
        <v>2019</v>
      </c>
      <c r="E2073" s="1" t="str">
        <f t="shared" si="8"/>
        <v>VITARAVITARA GLX 4X4 1.42019</v>
      </c>
      <c r="F2073" s="1" t="s">
        <v>1285</v>
      </c>
      <c r="G2073" s="1">
        <v>10990000</v>
      </c>
      <c r="H2073" s="1">
        <v>8400000</v>
      </c>
    </row>
    <row r="2074" spans="1:8" ht="13.5" customHeight="1" x14ac:dyDescent="0.3">
      <c r="A2074" s="1" t="s">
        <v>327</v>
      </c>
      <c r="B2074" s="1" t="s">
        <v>3711</v>
      </c>
      <c r="C2074" s="1" t="s">
        <v>5423</v>
      </c>
      <c r="D2074" s="1">
        <v>2021</v>
      </c>
      <c r="E2074" s="1" t="str">
        <f t="shared" si="8"/>
        <v>VITARAVITARA II GLX 1.62021</v>
      </c>
      <c r="F2074" s="1" t="s">
        <v>1606</v>
      </c>
      <c r="G2074" s="1">
        <v>10490000</v>
      </c>
      <c r="H2074" s="1">
        <v>8700000</v>
      </c>
    </row>
    <row r="2075" spans="1:8" ht="13.5" customHeight="1" x14ac:dyDescent="0.3">
      <c r="A2075" s="1" t="s">
        <v>327</v>
      </c>
      <c r="B2075" s="1" t="s">
        <v>3711</v>
      </c>
      <c r="C2075" s="1" t="s">
        <v>5424</v>
      </c>
      <c r="D2075" s="1">
        <v>2022</v>
      </c>
      <c r="E2075" s="1" t="str">
        <f t="shared" si="8"/>
        <v>VITARAVITARA OTTO 1.62022</v>
      </c>
      <c r="F2075" s="1" t="s">
        <v>1288</v>
      </c>
      <c r="G2075" s="1">
        <v>13390000</v>
      </c>
      <c r="H2075" s="1">
        <v>11500000</v>
      </c>
    </row>
    <row r="2076" spans="1:8" ht="13.5" customHeight="1" x14ac:dyDescent="0.3">
      <c r="A2076" s="1" t="s">
        <v>5425</v>
      </c>
      <c r="B2076" s="1" t="s">
        <v>5426</v>
      </c>
      <c r="C2076" s="1" t="s">
        <v>5427</v>
      </c>
      <c r="D2076" s="1">
        <v>2024</v>
      </c>
      <c r="E2076" s="1" t="str">
        <f t="shared" si="8"/>
        <v>G03FG03F 1.52024</v>
      </c>
      <c r="F2076" s="1" t="s">
        <v>1058</v>
      </c>
      <c r="G2076" s="1">
        <v>10490000</v>
      </c>
      <c r="H2076" s="1">
        <v>10000000</v>
      </c>
    </row>
    <row r="2077" spans="1:8" ht="13.5" customHeight="1" x14ac:dyDescent="0.3">
      <c r="A2077" s="1" t="s">
        <v>334</v>
      </c>
      <c r="B2077" s="1" t="s">
        <v>5428</v>
      </c>
      <c r="C2077" s="1" t="s">
        <v>5429</v>
      </c>
      <c r="D2077" s="1">
        <v>2022</v>
      </c>
      <c r="E2077" s="1" t="str">
        <f t="shared" si="8"/>
        <v>4 RUNNER4 RUNNER 4.0  AUT2022</v>
      </c>
      <c r="F2077" s="1" t="s">
        <v>1814</v>
      </c>
      <c r="G2077" s="1">
        <v>26190000</v>
      </c>
      <c r="H2077" s="1">
        <v>22500000</v>
      </c>
    </row>
    <row r="2078" spans="1:8" ht="13.5" customHeight="1" x14ac:dyDescent="0.3">
      <c r="A2078" s="1" t="s">
        <v>334</v>
      </c>
      <c r="B2078" s="1" t="s">
        <v>5428</v>
      </c>
      <c r="C2078" s="1" t="s">
        <v>5430</v>
      </c>
      <c r="D2078" s="1">
        <v>2023</v>
      </c>
      <c r="E2078" s="1" t="str">
        <f t="shared" si="8"/>
        <v>4 RUNNER4RUNNER SR5 4.0 AUT2023</v>
      </c>
      <c r="F2078" s="1" t="s">
        <v>1866</v>
      </c>
      <c r="G2078" s="1">
        <v>28500000</v>
      </c>
      <c r="H2078" s="1">
        <v>25000000</v>
      </c>
    </row>
    <row r="2079" spans="1:8" ht="13.5" customHeight="1" x14ac:dyDescent="0.3">
      <c r="A2079" s="1" t="s">
        <v>334</v>
      </c>
      <c r="B2079" s="1" t="s">
        <v>5431</v>
      </c>
      <c r="C2079" s="1" t="s">
        <v>5432</v>
      </c>
      <c r="D2079" s="1">
        <v>2017</v>
      </c>
      <c r="E2079" s="1" t="str">
        <f t="shared" si="8"/>
        <v>AURISAURIS LEI 1.6 AUT2017</v>
      </c>
      <c r="F2079" s="1" t="s">
        <v>1149</v>
      </c>
      <c r="G2079" s="1">
        <v>8890000</v>
      </c>
      <c r="H2079" s="1">
        <v>6700000</v>
      </c>
    </row>
    <row r="2080" spans="1:8" ht="13.5" customHeight="1" x14ac:dyDescent="0.3">
      <c r="A2080" s="1" t="s">
        <v>334</v>
      </c>
      <c r="B2080" s="1" t="s">
        <v>4048</v>
      </c>
      <c r="C2080" s="1" t="s">
        <v>5433</v>
      </c>
      <c r="D2080" s="1">
        <v>2023</v>
      </c>
      <c r="E2080" s="1" t="str">
        <f t="shared" si="8"/>
        <v>COROLLACOROLLA CROSS 2.02023</v>
      </c>
      <c r="F2080" s="1" t="s">
        <v>508</v>
      </c>
      <c r="G2080" s="1">
        <v>17290000</v>
      </c>
      <c r="H2080" s="1">
        <v>14500000</v>
      </c>
    </row>
    <row r="2081" spans="1:8" ht="13.5" customHeight="1" x14ac:dyDescent="0.3">
      <c r="A2081" s="1" t="s">
        <v>334</v>
      </c>
      <c r="B2081" s="1" t="s">
        <v>4048</v>
      </c>
      <c r="C2081" s="1" t="s">
        <v>5434</v>
      </c>
      <c r="D2081" s="1">
        <v>2026</v>
      </c>
      <c r="E2081" s="1" t="str">
        <f t="shared" si="8"/>
        <v>COROLLACOROLLA CROSS CVT 1.82026</v>
      </c>
      <c r="F2081" s="1" t="s">
        <v>362</v>
      </c>
      <c r="G2081" s="1">
        <v>24990000</v>
      </c>
      <c r="H2081" s="1">
        <v>21400000</v>
      </c>
    </row>
    <row r="2082" spans="1:8" ht="13.5" customHeight="1" x14ac:dyDescent="0.3">
      <c r="A2082" s="1" t="s">
        <v>334</v>
      </c>
      <c r="B2082" s="1" t="s">
        <v>4048</v>
      </c>
      <c r="C2082" s="1" t="s">
        <v>5435</v>
      </c>
      <c r="D2082" s="1">
        <v>2022</v>
      </c>
      <c r="E2082" s="1" t="str">
        <f t="shared" si="8"/>
        <v>COROLLACOROLLA CROSS CVT 2.0 AUT2022</v>
      </c>
      <c r="F2082" s="1" t="s">
        <v>2268</v>
      </c>
      <c r="G2082" s="1">
        <v>17990000</v>
      </c>
      <c r="H2082" s="1">
        <v>15500000</v>
      </c>
    </row>
    <row r="2083" spans="1:8" ht="13.5" customHeight="1" x14ac:dyDescent="0.3">
      <c r="A2083" s="1" t="s">
        <v>334</v>
      </c>
      <c r="B2083" s="1" t="s">
        <v>4048</v>
      </c>
      <c r="C2083" s="1" t="s">
        <v>5436</v>
      </c>
      <c r="D2083" s="1">
        <v>2022</v>
      </c>
      <c r="E2083" s="1" t="str">
        <f t="shared" si="8"/>
        <v>COROLLACOROLLA CROSS CVT HEV 1.8 AUT2022</v>
      </c>
      <c r="G2083" s="1">
        <v>17490000</v>
      </c>
      <c r="H2083" s="1">
        <v>0</v>
      </c>
    </row>
    <row r="2084" spans="1:8" ht="13.5" customHeight="1" x14ac:dyDescent="0.3">
      <c r="A2084" s="1" t="s">
        <v>334</v>
      </c>
      <c r="B2084" s="1" t="s">
        <v>4048</v>
      </c>
      <c r="C2084" s="1" t="s">
        <v>5436</v>
      </c>
      <c r="D2084" s="1">
        <v>2022</v>
      </c>
      <c r="E2084" s="1" t="str">
        <f t="shared" si="8"/>
        <v>COROLLACOROLLA CROSS CVT HEV 1.8 AUT2022</v>
      </c>
      <c r="F2084" s="1" t="s">
        <v>1253</v>
      </c>
      <c r="G2084" s="1">
        <v>15990000</v>
      </c>
      <c r="H2084" s="1">
        <v>14500000</v>
      </c>
    </row>
    <row r="2085" spans="1:8" ht="13.5" customHeight="1" x14ac:dyDescent="0.3">
      <c r="A2085" s="1" t="s">
        <v>334</v>
      </c>
      <c r="B2085" s="1" t="s">
        <v>4048</v>
      </c>
      <c r="C2085" s="1" t="s">
        <v>5436</v>
      </c>
      <c r="D2085" s="1">
        <v>2023</v>
      </c>
      <c r="E2085" s="1" t="str">
        <f t="shared" si="8"/>
        <v>COROLLACOROLLA CROSS CVT HEV 1.8 AUT2023</v>
      </c>
      <c r="F2085" s="1" t="s">
        <v>725</v>
      </c>
      <c r="G2085" s="1">
        <v>19690000</v>
      </c>
      <c r="H2085" s="1">
        <v>17000000</v>
      </c>
    </row>
    <row r="2086" spans="1:8" ht="13.5" customHeight="1" x14ac:dyDescent="0.3">
      <c r="A2086" s="1" t="s">
        <v>334</v>
      </c>
      <c r="B2086" s="1" t="s">
        <v>4048</v>
      </c>
      <c r="C2086" s="1" t="s">
        <v>5436</v>
      </c>
      <c r="D2086" s="1">
        <v>2023</v>
      </c>
      <c r="E2086" s="1" t="str">
        <f t="shared" si="8"/>
        <v>COROLLACOROLLA CROSS CVT HEV 1.8 AUT2023</v>
      </c>
      <c r="F2086" s="1" t="s">
        <v>1320</v>
      </c>
      <c r="G2086" s="1">
        <v>19140000</v>
      </c>
      <c r="H2086" s="1">
        <v>16500000</v>
      </c>
    </row>
    <row r="2087" spans="1:8" ht="13.5" customHeight="1" x14ac:dyDescent="0.3">
      <c r="A2087" s="1" t="s">
        <v>334</v>
      </c>
      <c r="B2087" s="1" t="s">
        <v>4048</v>
      </c>
      <c r="C2087" s="1" t="s">
        <v>5437</v>
      </c>
      <c r="D2087" s="1">
        <v>2022</v>
      </c>
      <c r="E2087" s="1" t="str">
        <f t="shared" si="8"/>
        <v>COROLLANEW COROLLA XLI 1.62022</v>
      </c>
      <c r="F2087" s="1" t="s">
        <v>1269</v>
      </c>
      <c r="G2087" s="1">
        <v>12990000</v>
      </c>
      <c r="H2087" s="1">
        <v>12000000</v>
      </c>
    </row>
    <row r="2088" spans="1:8" ht="13.5" customHeight="1" x14ac:dyDescent="0.3">
      <c r="A2088" s="1" t="s">
        <v>334</v>
      </c>
      <c r="B2088" s="1" t="s">
        <v>5438</v>
      </c>
      <c r="C2088" s="1" t="s">
        <v>5439</v>
      </c>
      <c r="D2088" s="1">
        <v>2022</v>
      </c>
      <c r="E2088" s="1" t="str">
        <f t="shared" si="8"/>
        <v>FORTUNERFORTUNER 2.72022</v>
      </c>
      <c r="F2088" s="1" t="s">
        <v>917</v>
      </c>
      <c r="G2088" s="1">
        <v>23990000</v>
      </c>
      <c r="H2088" s="1">
        <v>21700000</v>
      </c>
    </row>
    <row r="2089" spans="1:8" ht="13.5" customHeight="1" x14ac:dyDescent="0.3">
      <c r="A2089" s="1" t="s">
        <v>334</v>
      </c>
      <c r="B2089" s="1" t="s">
        <v>5438</v>
      </c>
      <c r="C2089" s="1" t="s">
        <v>5440</v>
      </c>
      <c r="D2089" s="1">
        <v>2019</v>
      </c>
      <c r="E2089" s="1" t="str">
        <f t="shared" si="8"/>
        <v>FORTUNERFORTUNER 2.7 AUT2019</v>
      </c>
      <c r="F2089" s="1" t="s">
        <v>677</v>
      </c>
      <c r="G2089" s="1">
        <v>18590000</v>
      </c>
      <c r="H2089" s="1">
        <v>15500000</v>
      </c>
    </row>
    <row r="2090" spans="1:8" ht="13.5" customHeight="1" x14ac:dyDescent="0.3">
      <c r="A2090" s="1" t="s">
        <v>334</v>
      </c>
      <c r="B2090" s="1" t="s">
        <v>5438</v>
      </c>
      <c r="C2090" s="1" t="s">
        <v>5440</v>
      </c>
      <c r="D2090" s="1">
        <v>2019</v>
      </c>
      <c r="E2090" s="1" t="str">
        <f t="shared" si="8"/>
        <v>FORTUNERFORTUNER 2.7 AUT2019</v>
      </c>
      <c r="F2090" s="1" t="s">
        <v>1015</v>
      </c>
      <c r="G2090" s="1">
        <v>18412560</v>
      </c>
      <c r="H2090" s="1">
        <v>15800000</v>
      </c>
    </row>
    <row r="2091" spans="1:8" ht="13.5" customHeight="1" x14ac:dyDescent="0.3">
      <c r="A2091" s="1" t="s">
        <v>334</v>
      </c>
      <c r="B2091" s="1" t="s">
        <v>5438</v>
      </c>
      <c r="C2091" s="1" t="s">
        <v>5440</v>
      </c>
      <c r="D2091" s="1">
        <v>2019</v>
      </c>
      <c r="E2091" s="1" t="str">
        <f t="shared" si="8"/>
        <v>FORTUNERFORTUNER 2.7 AUT2019</v>
      </c>
      <c r="F2091" s="1" t="s">
        <v>2128</v>
      </c>
      <c r="G2091" s="1">
        <v>20190000</v>
      </c>
      <c r="H2091" s="1">
        <v>19700000</v>
      </c>
    </row>
    <row r="2092" spans="1:8" ht="13.5" customHeight="1" x14ac:dyDescent="0.3">
      <c r="A2092" s="1" t="s">
        <v>334</v>
      </c>
      <c r="B2092" s="1" t="s">
        <v>5438</v>
      </c>
      <c r="C2092" s="1" t="s">
        <v>5440</v>
      </c>
      <c r="D2092" s="1">
        <v>2021</v>
      </c>
      <c r="E2092" s="1" t="str">
        <f t="shared" si="8"/>
        <v>FORTUNERFORTUNER 2.7 AUT2021</v>
      </c>
      <c r="F2092" s="1" t="s">
        <v>1579</v>
      </c>
      <c r="G2092" s="1">
        <v>21690000</v>
      </c>
      <c r="H2092" s="1">
        <v>19000000</v>
      </c>
    </row>
    <row r="2093" spans="1:8" ht="13.5" customHeight="1" x14ac:dyDescent="0.3">
      <c r="A2093" s="1" t="s">
        <v>334</v>
      </c>
      <c r="B2093" s="1" t="s">
        <v>5438</v>
      </c>
      <c r="C2093" s="1" t="s">
        <v>5441</v>
      </c>
      <c r="D2093" s="1">
        <v>2024</v>
      </c>
      <c r="E2093" s="1" t="str">
        <f t="shared" si="8"/>
        <v>FORTUNERFORTUNER 4X2 2.7 AUT2024</v>
      </c>
      <c r="F2093" s="1" t="s">
        <v>813</v>
      </c>
      <c r="G2093" s="1">
        <v>29390000</v>
      </c>
      <c r="H2093" s="1">
        <v>25000000</v>
      </c>
    </row>
    <row r="2094" spans="1:8" ht="13.5" customHeight="1" x14ac:dyDescent="0.3">
      <c r="A2094" s="1" t="s">
        <v>334</v>
      </c>
      <c r="B2094" s="1" t="s">
        <v>5438</v>
      </c>
      <c r="C2094" s="1" t="s">
        <v>5442</v>
      </c>
      <c r="D2094" s="1">
        <v>2020</v>
      </c>
      <c r="E2094" s="1" t="str">
        <f t="shared" si="8"/>
        <v>FORTUNERFORTUNER 4X4 2.8 AUT2020</v>
      </c>
      <c r="F2094" s="1" t="s">
        <v>1749</v>
      </c>
      <c r="G2094" s="1">
        <v>25000000</v>
      </c>
      <c r="H2094" s="1">
        <v>22000000</v>
      </c>
    </row>
    <row r="2095" spans="1:8" ht="13.5" customHeight="1" x14ac:dyDescent="0.3">
      <c r="A2095" s="1" t="s">
        <v>334</v>
      </c>
      <c r="B2095" s="1" t="s">
        <v>5438</v>
      </c>
      <c r="C2095" s="1" t="s">
        <v>5443</v>
      </c>
      <c r="D2095" s="1">
        <v>2023</v>
      </c>
      <c r="E2095" s="1" t="str">
        <f t="shared" si="8"/>
        <v>FORTUNERFORTUNER 4X4 AUT 2.82023</v>
      </c>
      <c r="F2095" s="1" t="s">
        <v>924</v>
      </c>
      <c r="G2095" s="1">
        <v>35990000</v>
      </c>
      <c r="H2095" s="1">
        <v>33000000</v>
      </c>
    </row>
    <row r="2096" spans="1:8" ht="13.5" customHeight="1" x14ac:dyDescent="0.3">
      <c r="A2096" s="1" t="s">
        <v>334</v>
      </c>
      <c r="B2096" s="1" t="s">
        <v>337</v>
      </c>
      <c r="C2096" s="1" t="s">
        <v>5444</v>
      </c>
      <c r="D2096" s="1">
        <v>2019</v>
      </c>
      <c r="E2096" s="1" t="str">
        <f t="shared" si="8"/>
        <v>HILUXHI LUX 2.42019</v>
      </c>
      <c r="F2096" s="1" t="s">
        <v>1909</v>
      </c>
      <c r="G2096" s="1">
        <v>16188149</v>
      </c>
      <c r="H2096" s="1">
        <v>13000000</v>
      </c>
    </row>
    <row r="2097" spans="1:8" ht="13.5" customHeight="1" x14ac:dyDescent="0.3">
      <c r="A2097" s="1" t="s">
        <v>334</v>
      </c>
      <c r="B2097" s="1" t="s">
        <v>337</v>
      </c>
      <c r="C2097" s="1" t="s">
        <v>5444</v>
      </c>
      <c r="D2097" s="1">
        <v>2022</v>
      </c>
      <c r="E2097" s="1" t="str">
        <f t="shared" si="8"/>
        <v>HILUXHI LUX 2.42022</v>
      </c>
      <c r="F2097" s="1" t="s">
        <v>1081</v>
      </c>
      <c r="G2097" s="1">
        <v>18990000</v>
      </c>
      <c r="H2097" s="1">
        <v>16500000</v>
      </c>
    </row>
    <row r="2098" spans="1:8" ht="13.5" customHeight="1" x14ac:dyDescent="0.3">
      <c r="A2098" s="1" t="s">
        <v>334</v>
      </c>
      <c r="B2098" s="1" t="s">
        <v>337</v>
      </c>
      <c r="C2098" s="1" t="s">
        <v>5445</v>
      </c>
      <c r="D2098" s="1">
        <v>2021</v>
      </c>
      <c r="E2098" s="1" t="str">
        <f t="shared" si="8"/>
        <v>HILUXHI LUX D CAB 2.42021</v>
      </c>
      <c r="F2098" s="1" t="s">
        <v>1698</v>
      </c>
      <c r="G2098" s="1">
        <v>17590000</v>
      </c>
      <c r="H2098" s="1">
        <v>15000000</v>
      </c>
    </row>
    <row r="2099" spans="1:8" ht="13.5" customHeight="1" x14ac:dyDescent="0.3">
      <c r="A2099" s="1" t="s">
        <v>334</v>
      </c>
      <c r="B2099" s="1" t="s">
        <v>337</v>
      </c>
      <c r="C2099" s="1" t="s">
        <v>5446</v>
      </c>
      <c r="D2099" s="1">
        <v>2021</v>
      </c>
      <c r="E2099" s="1" t="str">
        <f t="shared" si="8"/>
        <v>HILUXHI LUX DX 2.42021</v>
      </c>
      <c r="F2099" s="1" t="s">
        <v>708</v>
      </c>
      <c r="G2099" s="1">
        <v>17990000</v>
      </c>
      <c r="H2099" s="1">
        <v>15500000</v>
      </c>
    </row>
    <row r="2100" spans="1:8" ht="13.5" customHeight="1" x14ac:dyDescent="0.3">
      <c r="A2100" s="1" t="s">
        <v>334</v>
      </c>
      <c r="B2100" s="1" t="s">
        <v>337</v>
      </c>
      <c r="C2100" s="1" t="s">
        <v>5446</v>
      </c>
      <c r="D2100" s="1">
        <v>2021</v>
      </c>
      <c r="E2100" s="1" t="str">
        <f t="shared" si="8"/>
        <v>HILUXHI LUX DX 2.42021</v>
      </c>
      <c r="F2100" s="1" t="s">
        <v>777</v>
      </c>
      <c r="G2100" s="1">
        <v>18990000</v>
      </c>
      <c r="H2100" s="1">
        <v>16000000</v>
      </c>
    </row>
    <row r="2101" spans="1:8" ht="13.5" customHeight="1" x14ac:dyDescent="0.3">
      <c r="A2101" s="1" t="s">
        <v>334</v>
      </c>
      <c r="B2101" s="1" t="s">
        <v>337</v>
      </c>
      <c r="C2101" s="1" t="s">
        <v>5447</v>
      </c>
      <c r="D2101" s="1">
        <v>2021</v>
      </c>
      <c r="E2101" s="1" t="str">
        <f t="shared" si="8"/>
        <v>HILUXHILUX 2.72021</v>
      </c>
      <c r="F2101" s="1" t="s">
        <v>802</v>
      </c>
      <c r="G2101" s="1">
        <v>18790000</v>
      </c>
      <c r="H2101" s="1">
        <v>16000000</v>
      </c>
    </row>
    <row r="2102" spans="1:8" ht="13.5" customHeight="1" x14ac:dyDescent="0.3">
      <c r="A2102" s="1" t="s">
        <v>334</v>
      </c>
      <c r="B2102" s="1" t="s">
        <v>337</v>
      </c>
      <c r="C2102" s="1" t="s">
        <v>5448</v>
      </c>
      <c r="D2102" s="1">
        <v>2022</v>
      </c>
      <c r="E2102" s="1" t="str">
        <f t="shared" si="8"/>
        <v>HILUXHILUX PICKUP 4P 4X4 2.42022</v>
      </c>
      <c r="F2102" s="1" t="s">
        <v>1183</v>
      </c>
      <c r="G2102" s="1">
        <v>22590000</v>
      </c>
      <c r="H2102" s="1">
        <v>19850000</v>
      </c>
    </row>
    <row r="2103" spans="1:8" ht="13.5" customHeight="1" x14ac:dyDescent="0.3">
      <c r="A2103" s="1" t="s">
        <v>334</v>
      </c>
      <c r="B2103" s="1" t="s">
        <v>337</v>
      </c>
      <c r="C2103" s="1" t="s">
        <v>5449</v>
      </c>
      <c r="D2103" s="1">
        <v>2021</v>
      </c>
      <c r="E2103" s="1" t="str">
        <f t="shared" si="8"/>
        <v>HILUXHILUX SR 4X4 2.42021</v>
      </c>
      <c r="F2103" s="1" t="s">
        <v>2092</v>
      </c>
      <c r="G2103" s="1">
        <v>20690000</v>
      </c>
      <c r="H2103" s="1">
        <v>17000000</v>
      </c>
    </row>
    <row r="2104" spans="1:8" ht="13.5" customHeight="1" x14ac:dyDescent="0.3">
      <c r="A2104" s="1" t="s">
        <v>334</v>
      </c>
      <c r="B2104" s="1" t="s">
        <v>3008</v>
      </c>
      <c r="C2104" s="1" t="s">
        <v>5450</v>
      </c>
      <c r="D2104" s="1">
        <v>2022</v>
      </c>
      <c r="E2104" s="1" t="str">
        <f t="shared" si="8"/>
        <v>RAIZERAIZE 1.22022</v>
      </c>
      <c r="F2104" s="1" t="s">
        <v>1277</v>
      </c>
      <c r="G2104" s="1">
        <v>10450000</v>
      </c>
      <c r="H2104" s="1">
        <v>8900000</v>
      </c>
    </row>
    <row r="2105" spans="1:8" ht="13.5" customHeight="1" x14ac:dyDescent="0.3">
      <c r="A2105" s="1" t="s">
        <v>334</v>
      </c>
      <c r="B2105" s="1" t="s">
        <v>3008</v>
      </c>
      <c r="C2105" s="1" t="s">
        <v>5450</v>
      </c>
      <c r="D2105" s="1">
        <v>2022</v>
      </c>
      <c r="E2105" s="1" t="str">
        <f t="shared" si="8"/>
        <v>RAIZERAIZE 1.22022</v>
      </c>
      <c r="F2105" s="1" t="s">
        <v>1628</v>
      </c>
      <c r="G2105" s="1">
        <v>11290000</v>
      </c>
      <c r="H2105" s="1">
        <v>9500000</v>
      </c>
    </row>
    <row r="2106" spans="1:8" ht="13.5" customHeight="1" x14ac:dyDescent="0.3">
      <c r="A2106" s="1" t="s">
        <v>334</v>
      </c>
      <c r="B2106" s="1" t="s">
        <v>5451</v>
      </c>
      <c r="C2106" s="1" t="s">
        <v>5452</v>
      </c>
      <c r="D2106" s="1">
        <v>2016</v>
      </c>
      <c r="E2106" s="1" t="str">
        <f t="shared" si="8"/>
        <v>RAVNEW RAV4 CVT 2.02016</v>
      </c>
      <c r="F2106" s="1" t="s">
        <v>1463</v>
      </c>
      <c r="G2106" s="1">
        <v>10990000</v>
      </c>
      <c r="H2106" s="1">
        <v>9000000</v>
      </c>
    </row>
    <row r="2107" spans="1:8" ht="13.5" customHeight="1" x14ac:dyDescent="0.3">
      <c r="A2107" s="1" t="s">
        <v>334</v>
      </c>
      <c r="B2107" s="1" t="s">
        <v>5451</v>
      </c>
      <c r="C2107" s="1" t="s">
        <v>5453</v>
      </c>
      <c r="D2107" s="1">
        <v>2018</v>
      </c>
      <c r="E2107" s="1" t="str">
        <f t="shared" si="8"/>
        <v>RAVRAV 4 2.02018</v>
      </c>
      <c r="F2107" s="1" t="s">
        <v>2149</v>
      </c>
      <c r="G2107" s="1">
        <v>13690000</v>
      </c>
      <c r="H2107" s="1">
        <v>11200000</v>
      </c>
    </row>
    <row r="2108" spans="1:8" ht="13.5" customHeight="1" x14ac:dyDescent="0.3">
      <c r="A2108" s="1" t="s">
        <v>334</v>
      </c>
      <c r="B2108" s="1" t="s">
        <v>5451</v>
      </c>
      <c r="C2108" s="1" t="s">
        <v>5454</v>
      </c>
      <c r="D2108" s="1">
        <v>2017</v>
      </c>
      <c r="E2108" s="1" t="str">
        <f t="shared" si="8"/>
        <v>RAVRAV 4 2.0 AUT2017</v>
      </c>
      <c r="F2108" s="1" t="s">
        <v>1205</v>
      </c>
      <c r="G2108" s="1">
        <v>9927060</v>
      </c>
      <c r="H2108" s="1">
        <v>8100000</v>
      </c>
    </row>
    <row r="2109" spans="1:8" ht="13.5" customHeight="1" x14ac:dyDescent="0.3">
      <c r="A2109" s="1" t="s">
        <v>334</v>
      </c>
      <c r="B2109" s="1" t="s">
        <v>5451</v>
      </c>
      <c r="C2109" s="1" t="s">
        <v>5454</v>
      </c>
      <c r="D2109" s="1">
        <v>2017</v>
      </c>
      <c r="E2109" s="1" t="str">
        <f t="shared" si="8"/>
        <v>RAVRAV 4 2.0 AUT2017</v>
      </c>
      <c r="F2109" s="1" t="s">
        <v>2725</v>
      </c>
      <c r="G2109" s="1">
        <v>12990000</v>
      </c>
      <c r="H2109" s="1">
        <v>13500000</v>
      </c>
    </row>
    <row r="2110" spans="1:8" ht="13.5" customHeight="1" x14ac:dyDescent="0.3">
      <c r="A2110" s="1" t="s">
        <v>334</v>
      </c>
      <c r="B2110" s="1" t="s">
        <v>5451</v>
      </c>
      <c r="C2110" s="1" t="s">
        <v>5454</v>
      </c>
      <c r="D2110" s="1">
        <v>2018</v>
      </c>
      <c r="E2110" s="1" t="str">
        <f t="shared" si="8"/>
        <v>RAVRAV 4 2.0 AUT2018</v>
      </c>
      <c r="F2110" s="1" t="s">
        <v>1341</v>
      </c>
      <c r="G2110" s="1">
        <v>11990000</v>
      </c>
      <c r="H2110" s="1">
        <v>9500000</v>
      </c>
    </row>
    <row r="2111" spans="1:8" ht="13.5" customHeight="1" x14ac:dyDescent="0.3">
      <c r="A2111" s="1" t="s">
        <v>334</v>
      </c>
      <c r="B2111" s="1" t="s">
        <v>5451</v>
      </c>
      <c r="C2111" s="1" t="s">
        <v>5454</v>
      </c>
      <c r="D2111" s="1">
        <v>2018</v>
      </c>
      <c r="E2111" s="1" t="str">
        <f t="shared" si="8"/>
        <v>RAVRAV 4 2.0 AUT2018</v>
      </c>
      <c r="F2111" s="1" t="s">
        <v>1892</v>
      </c>
      <c r="G2111" s="1">
        <v>11990000</v>
      </c>
      <c r="H2111" s="1">
        <v>9500000</v>
      </c>
    </row>
    <row r="2112" spans="1:8" ht="13.5" customHeight="1" x14ac:dyDescent="0.3">
      <c r="A2112" s="1" t="s">
        <v>334</v>
      </c>
      <c r="B2112" s="1" t="s">
        <v>5451</v>
      </c>
      <c r="C2112" s="1" t="s">
        <v>5454</v>
      </c>
      <c r="D2112" s="1">
        <v>2018</v>
      </c>
      <c r="E2112" s="1" t="str">
        <f t="shared" si="8"/>
        <v>RAVRAV 4 2.0 AUT2018</v>
      </c>
      <c r="F2112" s="1" t="s">
        <v>2372</v>
      </c>
      <c r="G2112" s="1">
        <v>12990000</v>
      </c>
      <c r="H2112" s="1">
        <v>11000000</v>
      </c>
    </row>
    <row r="2113" spans="1:8" ht="13.5" customHeight="1" x14ac:dyDescent="0.3">
      <c r="A2113" s="1" t="s">
        <v>334</v>
      </c>
      <c r="B2113" s="1" t="s">
        <v>5451</v>
      </c>
      <c r="C2113" s="1" t="s">
        <v>5454</v>
      </c>
      <c r="D2113" s="1">
        <v>2019</v>
      </c>
      <c r="E2113" s="1" t="str">
        <f t="shared" si="8"/>
        <v>RAVRAV 4 2.0 AUT2019</v>
      </c>
      <c r="F2113" s="1" t="s">
        <v>2691</v>
      </c>
      <c r="G2113" s="1">
        <v>12990000</v>
      </c>
      <c r="H2113" s="1">
        <v>14500000</v>
      </c>
    </row>
    <row r="2114" spans="1:8" ht="13.5" customHeight="1" x14ac:dyDescent="0.3">
      <c r="A2114" s="1" t="s">
        <v>334</v>
      </c>
      <c r="B2114" s="1" t="s">
        <v>5451</v>
      </c>
      <c r="C2114" s="1" t="s">
        <v>5454</v>
      </c>
      <c r="D2114" s="1">
        <v>2021</v>
      </c>
      <c r="E2114" s="1" t="str">
        <f t="shared" si="8"/>
        <v>RAVRAV 4 2.0 AUT2021</v>
      </c>
      <c r="F2114" s="1" t="s">
        <v>692</v>
      </c>
      <c r="G2114" s="1">
        <v>18490000</v>
      </c>
      <c r="H2114" s="1">
        <v>16000000</v>
      </c>
    </row>
    <row r="2115" spans="1:8" ht="13.5" customHeight="1" x14ac:dyDescent="0.3">
      <c r="A2115" s="1" t="s">
        <v>334</v>
      </c>
      <c r="B2115" s="1" t="s">
        <v>5451</v>
      </c>
      <c r="C2115" s="1" t="s">
        <v>5455</v>
      </c>
      <c r="D2115" s="1">
        <v>2022</v>
      </c>
      <c r="E2115" s="1" t="str">
        <f t="shared" si="8"/>
        <v>RAVRAV 4 LE 2.02022</v>
      </c>
      <c r="F2115" s="1" t="s">
        <v>1412</v>
      </c>
      <c r="G2115" s="1">
        <v>17690000</v>
      </c>
      <c r="H2115" s="1">
        <v>15000000</v>
      </c>
    </row>
    <row r="2116" spans="1:8" ht="13.5" customHeight="1" x14ac:dyDescent="0.3">
      <c r="A2116" s="1" t="s">
        <v>334</v>
      </c>
      <c r="B2116" s="1" t="s">
        <v>5451</v>
      </c>
      <c r="C2116" s="1" t="s">
        <v>5455</v>
      </c>
      <c r="D2116" s="1">
        <v>2022</v>
      </c>
      <c r="E2116" s="1" t="str">
        <f t="shared" si="8"/>
        <v>RAVRAV 4 LE 2.02022</v>
      </c>
      <c r="F2116" s="1" t="s">
        <v>1218</v>
      </c>
      <c r="G2116" s="1">
        <v>18990000</v>
      </c>
      <c r="H2116" s="1">
        <v>16000000</v>
      </c>
    </row>
    <row r="2117" spans="1:8" ht="13.5" customHeight="1" x14ac:dyDescent="0.3">
      <c r="A2117" s="1" t="s">
        <v>334</v>
      </c>
      <c r="B2117" s="1" t="s">
        <v>5451</v>
      </c>
      <c r="C2117" s="1" t="s">
        <v>5455</v>
      </c>
      <c r="D2117" s="1">
        <v>2023</v>
      </c>
      <c r="E2117" s="1" t="str">
        <f t="shared" si="8"/>
        <v>RAVRAV 4 LE 2.02023</v>
      </c>
      <c r="F2117" s="1" t="s">
        <v>1144</v>
      </c>
      <c r="G2117" s="1">
        <v>17990000</v>
      </c>
      <c r="H2117" s="1">
        <v>15500000</v>
      </c>
    </row>
    <row r="2118" spans="1:8" ht="13.5" customHeight="1" x14ac:dyDescent="0.3">
      <c r="A2118" s="1" t="s">
        <v>334</v>
      </c>
      <c r="B2118" s="1" t="s">
        <v>5451</v>
      </c>
      <c r="C2118" s="1" t="s">
        <v>5456</v>
      </c>
      <c r="D2118" s="1">
        <v>2021</v>
      </c>
      <c r="E2118" s="1" t="str">
        <f t="shared" si="8"/>
        <v>RAVRAV 4 LE 2.0 AUT2021</v>
      </c>
      <c r="F2118" s="1" t="s">
        <v>1482</v>
      </c>
      <c r="G2118" s="1">
        <v>17348620</v>
      </c>
      <c r="H2118" s="1">
        <v>15000000</v>
      </c>
    </row>
    <row r="2119" spans="1:8" ht="13.5" customHeight="1" x14ac:dyDescent="0.3">
      <c r="A2119" s="1" t="s">
        <v>334</v>
      </c>
      <c r="B2119" s="1" t="s">
        <v>5451</v>
      </c>
      <c r="C2119" s="1" t="s">
        <v>5457</v>
      </c>
      <c r="D2119" s="1">
        <v>2018</v>
      </c>
      <c r="E2119" s="1" t="str">
        <f t="shared" si="8"/>
        <v>RAVRAV4 2.5 AUT2018</v>
      </c>
      <c r="F2119" s="1" t="s">
        <v>2048</v>
      </c>
      <c r="G2119" s="1">
        <v>13490000</v>
      </c>
      <c r="H2119" s="1">
        <v>10200000</v>
      </c>
    </row>
    <row r="2120" spans="1:8" ht="13.5" customHeight="1" x14ac:dyDescent="0.3">
      <c r="A2120" s="1" t="s">
        <v>334</v>
      </c>
      <c r="B2120" s="1" t="s">
        <v>5451</v>
      </c>
      <c r="C2120" s="1" t="s">
        <v>5458</v>
      </c>
      <c r="D2120" s="1">
        <v>2017</v>
      </c>
      <c r="E2120" s="1" t="str">
        <f t="shared" si="8"/>
        <v>RAVRAV4 4X4 2.5 AUT2017</v>
      </c>
      <c r="F2120" s="1" t="s">
        <v>1944</v>
      </c>
      <c r="G2120" s="1">
        <v>12490000</v>
      </c>
      <c r="H2120" s="1">
        <v>10200000</v>
      </c>
    </row>
    <row r="2121" spans="1:8" ht="13.5" customHeight="1" x14ac:dyDescent="0.3">
      <c r="A2121" s="1" t="s">
        <v>334</v>
      </c>
      <c r="B2121" s="1" t="s">
        <v>5451</v>
      </c>
      <c r="C2121" s="1" t="s">
        <v>5458</v>
      </c>
      <c r="D2121" s="1">
        <v>2017</v>
      </c>
      <c r="E2121" s="1" t="str">
        <f t="shared" si="8"/>
        <v>RAVRAV4 4X4 2.5 AUT2017</v>
      </c>
      <c r="F2121" s="1" t="s">
        <v>886</v>
      </c>
      <c r="G2121" s="1">
        <v>12990000</v>
      </c>
      <c r="H2121" s="1">
        <v>10150000</v>
      </c>
    </row>
    <row r="2122" spans="1:8" ht="13.5" customHeight="1" x14ac:dyDescent="0.3">
      <c r="A2122" s="1" t="s">
        <v>334</v>
      </c>
      <c r="B2122" s="1" t="s">
        <v>5451</v>
      </c>
      <c r="C2122" s="1" t="s">
        <v>5459</v>
      </c>
      <c r="D2122" s="1">
        <v>2025</v>
      </c>
      <c r="E2122" s="1" t="str">
        <f t="shared" si="8"/>
        <v>RAVRAV4 HYBRID CVT 2.5 AUT2025</v>
      </c>
      <c r="F2122" s="1" t="s">
        <v>430</v>
      </c>
      <c r="G2122" s="1">
        <v>25990000</v>
      </c>
      <c r="H2122" s="1">
        <v>22000000</v>
      </c>
    </row>
    <row r="2123" spans="1:8" ht="13.5" customHeight="1" x14ac:dyDescent="0.3">
      <c r="A2123" s="1" t="s">
        <v>334</v>
      </c>
      <c r="B2123" s="1" t="s">
        <v>5451</v>
      </c>
      <c r="C2123" s="1" t="s">
        <v>5460</v>
      </c>
      <c r="D2123" s="1">
        <v>2020</v>
      </c>
      <c r="E2123" s="1" t="str">
        <f t="shared" si="8"/>
        <v>RAVRAV4 OTTO 2.0 AUT2020</v>
      </c>
      <c r="F2123" s="1" t="s">
        <v>640</v>
      </c>
      <c r="G2123" s="1">
        <v>16690000</v>
      </c>
      <c r="H2123" s="1">
        <v>13800000</v>
      </c>
    </row>
    <row r="2124" spans="1:8" ht="13.5" customHeight="1" x14ac:dyDescent="0.3">
      <c r="A2124" s="1" t="s">
        <v>334</v>
      </c>
      <c r="B2124" s="1" t="s">
        <v>5451</v>
      </c>
      <c r="C2124" s="1" t="s">
        <v>5460</v>
      </c>
      <c r="D2124" s="1">
        <v>2022</v>
      </c>
      <c r="E2124" s="1" t="str">
        <f t="shared" si="8"/>
        <v>RAVRAV4 OTTO 2.0 AUT2022</v>
      </c>
      <c r="F2124" s="1" t="s">
        <v>1517</v>
      </c>
      <c r="G2124" s="1">
        <v>20490000</v>
      </c>
      <c r="H2124" s="1">
        <v>17500000</v>
      </c>
    </row>
    <row r="2125" spans="1:8" ht="13.5" customHeight="1" x14ac:dyDescent="0.3">
      <c r="A2125" s="1" t="s">
        <v>334</v>
      </c>
      <c r="B2125" s="1" t="s">
        <v>2976</v>
      </c>
      <c r="C2125" s="1" t="s">
        <v>5461</v>
      </c>
      <c r="D2125" s="1">
        <v>2019</v>
      </c>
      <c r="E2125" s="1" t="str">
        <f t="shared" si="8"/>
        <v>RUSHRUSH 1.52019</v>
      </c>
      <c r="F2125" s="1" t="s">
        <v>1684</v>
      </c>
      <c r="G2125" s="1">
        <v>10990000</v>
      </c>
      <c r="H2125" s="1">
        <v>9400000</v>
      </c>
    </row>
    <row r="2126" spans="1:8" ht="13.5" customHeight="1" x14ac:dyDescent="0.3">
      <c r="A2126" s="1" t="s">
        <v>334</v>
      </c>
      <c r="B2126" s="1" t="s">
        <v>2976</v>
      </c>
      <c r="C2126" s="1" t="s">
        <v>5462</v>
      </c>
      <c r="D2126" s="1">
        <v>2022</v>
      </c>
      <c r="E2126" s="1" t="str">
        <f t="shared" si="8"/>
        <v>RUSHRUSH 1.5 MT2022</v>
      </c>
      <c r="F2126" s="1" t="s">
        <v>445</v>
      </c>
      <c r="G2126" s="1">
        <v>13590000</v>
      </c>
      <c r="H2126" s="1">
        <v>11300000</v>
      </c>
    </row>
    <row r="2127" spans="1:8" ht="13.5" customHeight="1" x14ac:dyDescent="0.3">
      <c r="A2127" s="1" t="s">
        <v>334</v>
      </c>
      <c r="B2127" s="1" t="s">
        <v>2976</v>
      </c>
      <c r="C2127" s="1" t="s">
        <v>5463</v>
      </c>
      <c r="D2127" s="1">
        <v>2018</v>
      </c>
      <c r="E2127" s="1" t="str">
        <f t="shared" si="8"/>
        <v>RUSHRUSH 4X4 1.52018</v>
      </c>
      <c r="F2127" s="1" t="s">
        <v>514</v>
      </c>
      <c r="G2127" s="1">
        <v>9290000</v>
      </c>
      <c r="H2127" s="1">
        <v>7300000</v>
      </c>
    </row>
    <row r="2128" spans="1:8" ht="13.5" customHeight="1" x14ac:dyDescent="0.3">
      <c r="A2128" s="1" t="s">
        <v>334</v>
      </c>
      <c r="B2128" s="1" t="s">
        <v>2976</v>
      </c>
      <c r="C2128" s="1" t="s">
        <v>5463</v>
      </c>
      <c r="D2128" s="1">
        <v>2018</v>
      </c>
      <c r="E2128" s="1" t="str">
        <f t="shared" si="8"/>
        <v>RUSHRUSH 4X4 1.52018</v>
      </c>
      <c r="F2128" s="1" t="s">
        <v>1808</v>
      </c>
      <c r="G2128" s="1">
        <v>9890000</v>
      </c>
      <c r="H2128" s="1">
        <v>8000000</v>
      </c>
    </row>
    <row r="2129" spans="1:8" ht="13.5" customHeight="1" x14ac:dyDescent="0.3">
      <c r="A2129" s="1" t="s">
        <v>334</v>
      </c>
      <c r="B2129" s="1" t="s">
        <v>2976</v>
      </c>
      <c r="C2129" s="1" t="s">
        <v>5464</v>
      </c>
      <c r="D2129" s="1">
        <v>2022</v>
      </c>
      <c r="E2129" s="1" t="str">
        <f t="shared" si="8"/>
        <v>RUSHRUSH XLI 1.52022</v>
      </c>
      <c r="F2129" s="1" t="s">
        <v>1154</v>
      </c>
      <c r="G2129" s="1">
        <v>12895520</v>
      </c>
      <c r="H2129" s="1">
        <v>10500000</v>
      </c>
    </row>
    <row r="2130" spans="1:8" ht="13.5" customHeight="1" x14ac:dyDescent="0.3">
      <c r="A2130" s="1" t="s">
        <v>334</v>
      </c>
      <c r="B2130" s="1" t="s">
        <v>2976</v>
      </c>
      <c r="C2130" s="1" t="s">
        <v>5465</v>
      </c>
      <c r="D2130" s="1">
        <v>2022</v>
      </c>
      <c r="E2130" s="1" t="str">
        <f t="shared" si="8"/>
        <v>RUSHRUSH XLI 1.5 AUT2022</v>
      </c>
      <c r="F2130" s="1" t="s">
        <v>1649</v>
      </c>
      <c r="G2130" s="1">
        <v>12990000</v>
      </c>
      <c r="H2130" s="1">
        <v>11000000</v>
      </c>
    </row>
    <row r="2131" spans="1:8" ht="13.5" customHeight="1" x14ac:dyDescent="0.3">
      <c r="A2131" s="1" t="s">
        <v>334</v>
      </c>
      <c r="B2131" s="1" t="s">
        <v>334</v>
      </c>
      <c r="C2131" s="1" t="s">
        <v>5466</v>
      </c>
      <c r="D2131" s="1">
        <v>2019</v>
      </c>
      <c r="E2131" s="1" t="str">
        <f t="shared" si="8"/>
        <v>TOYOTAAYGO HB 1.02019</v>
      </c>
      <c r="F2131" s="1" t="s">
        <v>2343</v>
      </c>
      <c r="G2131" s="1">
        <v>7990000</v>
      </c>
      <c r="H2131" s="1">
        <v>6800000</v>
      </c>
    </row>
    <row r="2132" spans="1:8" ht="13.5" customHeight="1" x14ac:dyDescent="0.3">
      <c r="A2132" s="1" t="s">
        <v>334</v>
      </c>
      <c r="B2132" s="1" t="s">
        <v>5467</v>
      </c>
      <c r="C2132" s="1" t="s">
        <v>5468</v>
      </c>
      <c r="D2132" s="1">
        <v>2023</v>
      </c>
      <c r="E2132" s="1" t="str">
        <f t="shared" si="8"/>
        <v>YARISYARIS 1.52023</v>
      </c>
      <c r="F2132" s="1" t="s">
        <v>1513</v>
      </c>
      <c r="G2132" s="1">
        <v>12490000</v>
      </c>
      <c r="H2132" s="1">
        <v>10500000</v>
      </c>
    </row>
    <row r="2133" spans="1:8" ht="13.5" customHeight="1" x14ac:dyDescent="0.3">
      <c r="A2133" s="1" t="s">
        <v>334</v>
      </c>
      <c r="B2133" s="1" t="s">
        <v>5467</v>
      </c>
      <c r="C2133" s="1" t="s">
        <v>5468</v>
      </c>
      <c r="D2133" s="1">
        <v>2023</v>
      </c>
      <c r="E2133" s="1" t="str">
        <f t="shared" si="8"/>
        <v>YARISYARIS 1.52023</v>
      </c>
      <c r="F2133" s="1" t="s">
        <v>1164</v>
      </c>
      <c r="G2133" s="1">
        <v>12990000</v>
      </c>
      <c r="H2133" s="1">
        <v>12200000</v>
      </c>
    </row>
    <row r="2134" spans="1:8" ht="13.5" customHeight="1" x14ac:dyDescent="0.3">
      <c r="A2134" s="1" t="s">
        <v>334</v>
      </c>
      <c r="B2134" s="1" t="s">
        <v>5467</v>
      </c>
      <c r="C2134" s="1" t="s">
        <v>5469</v>
      </c>
      <c r="D2134" s="1">
        <v>2017</v>
      </c>
      <c r="E2134" s="1" t="str">
        <f t="shared" si="8"/>
        <v>YARISYARIS GLI 1.52017</v>
      </c>
      <c r="F2134" s="1" t="s">
        <v>1046</v>
      </c>
      <c r="G2134" s="1">
        <v>6990000</v>
      </c>
      <c r="H2134" s="1">
        <v>5700000</v>
      </c>
    </row>
    <row r="2135" spans="1:8" ht="13.5" customHeight="1" x14ac:dyDescent="0.3">
      <c r="A2135" s="1" t="s">
        <v>334</v>
      </c>
      <c r="B2135" s="1" t="s">
        <v>5467</v>
      </c>
      <c r="C2135" s="1" t="s">
        <v>5469</v>
      </c>
      <c r="D2135" s="1">
        <v>2018</v>
      </c>
      <c r="E2135" s="1" t="str">
        <f t="shared" si="8"/>
        <v>YARISYARIS GLI 1.52018</v>
      </c>
      <c r="F2135" s="1" t="s">
        <v>1355</v>
      </c>
      <c r="G2135" s="1">
        <v>7990000</v>
      </c>
      <c r="H2135" s="1">
        <v>6500000</v>
      </c>
    </row>
    <row r="2136" spans="1:8" ht="13.5" customHeight="1" x14ac:dyDescent="0.3">
      <c r="A2136" s="1" t="s">
        <v>334</v>
      </c>
      <c r="B2136" s="1" t="s">
        <v>5467</v>
      </c>
      <c r="C2136" s="1" t="s">
        <v>5470</v>
      </c>
      <c r="D2136" s="1">
        <v>2022</v>
      </c>
      <c r="E2136" s="1" t="str">
        <f t="shared" si="8"/>
        <v>YARISYARIS HB OTTO 1.52022</v>
      </c>
      <c r="F2136" s="1" t="s">
        <v>1564</v>
      </c>
      <c r="G2136" s="1">
        <v>11890000</v>
      </c>
      <c r="H2136" s="1">
        <v>10000000</v>
      </c>
    </row>
    <row r="2137" spans="1:8" ht="13.5" customHeight="1" x14ac:dyDescent="0.3">
      <c r="A2137" s="1" t="s">
        <v>334</v>
      </c>
      <c r="B2137" s="1" t="s">
        <v>5467</v>
      </c>
      <c r="C2137" s="1" t="s">
        <v>5471</v>
      </c>
      <c r="D2137" s="1">
        <v>2023</v>
      </c>
      <c r="E2137" s="1" t="str">
        <f t="shared" si="8"/>
        <v>YARISYARIS SD 1.52023</v>
      </c>
      <c r="F2137" s="1" t="s">
        <v>621</v>
      </c>
      <c r="G2137" s="1">
        <v>12590000</v>
      </c>
      <c r="H2137" s="1">
        <v>10800000</v>
      </c>
    </row>
    <row r="2138" spans="1:8" ht="13.5" customHeight="1" x14ac:dyDescent="0.3">
      <c r="A2138" s="1" t="s">
        <v>334</v>
      </c>
      <c r="B2138" s="1" t="s">
        <v>5467</v>
      </c>
      <c r="C2138" s="1" t="s">
        <v>5472</v>
      </c>
      <c r="D2138" s="1">
        <v>2022</v>
      </c>
      <c r="E2138" s="1" t="str">
        <f t="shared" si="8"/>
        <v>YARISYARIS SPORT HB 1.52022</v>
      </c>
      <c r="F2138" s="1" t="s">
        <v>1922</v>
      </c>
      <c r="G2138" s="1">
        <v>12530000</v>
      </c>
      <c r="H2138" s="1">
        <v>10200000</v>
      </c>
    </row>
    <row r="2139" spans="1:8" ht="13.5" customHeight="1" x14ac:dyDescent="0.3">
      <c r="A2139" s="1" t="s">
        <v>5473</v>
      </c>
      <c r="B2139" s="1" t="s">
        <v>5473</v>
      </c>
      <c r="C2139" s="1" t="s">
        <v>5474</v>
      </c>
      <c r="D2139" s="1">
        <v>2020</v>
      </c>
      <c r="E2139" s="1" t="str">
        <f t="shared" si="8"/>
        <v>UAZHUNTER SPORT 4X4 2.72020</v>
      </c>
      <c r="F2139" s="1" t="s">
        <v>2618</v>
      </c>
      <c r="G2139" s="1">
        <v>7990000</v>
      </c>
      <c r="H2139" s="1">
        <v>13000000</v>
      </c>
    </row>
    <row r="2140" spans="1:8" ht="13.5" customHeight="1" x14ac:dyDescent="0.3">
      <c r="A2140" s="1" t="s">
        <v>339</v>
      </c>
      <c r="B2140" s="1" t="s">
        <v>340</v>
      </c>
      <c r="C2140" s="1" t="s">
        <v>5475</v>
      </c>
      <c r="D2140" s="1">
        <v>2016</v>
      </c>
      <c r="E2140" s="1" t="str">
        <f t="shared" si="8"/>
        <v>AMAROKAMAROK COMFORT 2.02016</v>
      </c>
      <c r="F2140" s="1" t="s">
        <v>867</v>
      </c>
      <c r="G2140" s="1">
        <v>9290000</v>
      </c>
      <c r="H2140" s="1">
        <v>8500000</v>
      </c>
    </row>
    <row r="2141" spans="1:8" ht="13.5" customHeight="1" x14ac:dyDescent="0.3">
      <c r="A2141" s="1" t="s">
        <v>339</v>
      </c>
      <c r="B2141" s="1" t="s">
        <v>340</v>
      </c>
      <c r="C2141" s="1" t="s">
        <v>5476</v>
      </c>
      <c r="D2141" s="1">
        <v>2019</v>
      </c>
      <c r="E2141" s="1" t="str">
        <f t="shared" si="8"/>
        <v>AMAROKAMAROK COMFORTLINE 2.02019</v>
      </c>
      <c r="F2141" s="1" t="s">
        <v>1764</v>
      </c>
      <c r="G2141" s="1">
        <v>12790000</v>
      </c>
      <c r="H2141" s="1">
        <v>11500000</v>
      </c>
    </row>
    <row r="2142" spans="1:8" ht="13.5" customHeight="1" x14ac:dyDescent="0.3">
      <c r="A2142" s="1" t="s">
        <v>339</v>
      </c>
      <c r="B2142" s="1" t="s">
        <v>340</v>
      </c>
      <c r="C2142" s="1" t="s">
        <v>341</v>
      </c>
      <c r="D2142" s="1">
        <v>2023</v>
      </c>
      <c r="E2142" s="1" t="str">
        <f t="shared" si="8"/>
        <v>AMAROKAMAROK DCAB TDI DOHC 4X4 2.0 AUT2023</v>
      </c>
      <c r="G2142" s="1">
        <v>33190000</v>
      </c>
      <c r="H2142" s="1">
        <v>0</v>
      </c>
    </row>
    <row r="2143" spans="1:8" ht="13.5" customHeight="1" x14ac:dyDescent="0.3">
      <c r="A2143" s="1" t="s">
        <v>339</v>
      </c>
      <c r="B2143" s="1" t="s">
        <v>340</v>
      </c>
      <c r="C2143" s="1" t="s">
        <v>5477</v>
      </c>
      <c r="D2143" s="1">
        <v>2019</v>
      </c>
      <c r="E2143" s="1" t="str">
        <f t="shared" si="8"/>
        <v>AMAROKAMAROK HIGHLINE 4X4 2.0 AT2019</v>
      </c>
      <c r="F2143" s="1" t="s">
        <v>1703</v>
      </c>
      <c r="G2143" s="1">
        <v>22890000</v>
      </c>
      <c r="H2143" s="1">
        <v>18000000</v>
      </c>
    </row>
    <row r="2144" spans="1:8" ht="13.5" customHeight="1" x14ac:dyDescent="0.3">
      <c r="A2144" s="1" t="s">
        <v>339</v>
      </c>
      <c r="B2144" s="1" t="s">
        <v>5478</v>
      </c>
      <c r="C2144" s="1" t="s">
        <v>5479</v>
      </c>
      <c r="D2144" s="1">
        <v>2015</v>
      </c>
      <c r="E2144" s="1" t="str">
        <f t="shared" si="8"/>
        <v>BEETLEBEETLE DESIGN 1.42015</v>
      </c>
      <c r="F2144" s="1" t="s">
        <v>2522</v>
      </c>
      <c r="G2144" s="1">
        <v>12590000</v>
      </c>
      <c r="H2144" s="1">
        <v>11000000</v>
      </c>
    </row>
    <row r="2145" spans="1:8" ht="13.5" customHeight="1" x14ac:dyDescent="0.3">
      <c r="A2145" s="1" t="s">
        <v>339</v>
      </c>
      <c r="B2145" s="1" t="s">
        <v>5480</v>
      </c>
      <c r="C2145" s="1" t="s">
        <v>5481</v>
      </c>
      <c r="D2145" s="1">
        <v>2020</v>
      </c>
      <c r="E2145" s="1" t="str">
        <f t="shared" si="8"/>
        <v>CROSST CROSS 1.62020</v>
      </c>
      <c r="F2145" s="1" t="s">
        <v>1592</v>
      </c>
      <c r="G2145" s="1">
        <v>11635620</v>
      </c>
      <c r="H2145" s="1">
        <v>10000000</v>
      </c>
    </row>
    <row r="2146" spans="1:8" ht="13.5" customHeight="1" x14ac:dyDescent="0.3">
      <c r="A2146" s="1" t="s">
        <v>339</v>
      </c>
      <c r="B2146" s="1" t="s">
        <v>5480</v>
      </c>
      <c r="C2146" s="1" t="s">
        <v>5481</v>
      </c>
      <c r="D2146" s="1">
        <v>2021</v>
      </c>
      <c r="E2146" s="1" t="str">
        <f t="shared" si="8"/>
        <v>CROSST CROSS 1.62021</v>
      </c>
      <c r="F2146" s="1" t="s">
        <v>743</v>
      </c>
      <c r="G2146" s="1">
        <v>11390000</v>
      </c>
      <c r="H2146" s="1">
        <v>9350000</v>
      </c>
    </row>
    <row r="2147" spans="1:8" ht="13.5" customHeight="1" x14ac:dyDescent="0.3">
      <c r="A2147" s="1" t="s">
        <v>339</v>
      </c>
      <c r="B2147" s="1" t="s">
        <v>5480</v>
      </c>
      <c r="C2147" s="1" t="s">
        <v>5481</v>
      </c>
      <c r="D2147" s="1">
        <v>2022</v>
      </c>
      <c r="E2147" s="1" t="str">
        <f t="shared" si="8"/>
        <v>CROSST CROSS 1.62022</v>
      </c>
      <c r="F2147" s="1" t="s">
        <v>1692</v>
      </c>
      <c r="G2147" s="1">
        <v>10690000</v>
      </c>
      <c r="H2147" s="1">
        <v>9000000</v>
      </c>
    </row>
    <row r="2148" spans="1:8" ht="13.5" customHeight="1" x14ac:dyDescent="0.3">
      <c r="A2148" s="1" t="s">
        <v>339</v>
      </c>
      <c r="B2148" s="1" t="s">
        <v>5480</v>
      </c>
      <c r="C2148" s="1" t="s">
        <v>5482</v>
      </c>
      <c r="D2148" s="1">
        <v>2021</v>
      </c>
      <c r="E2148" s="1" t="str">
        <f t="shared" si="8"/>
        <v>CROSST CROSS 4X2 1.6 AUT2021</v>
      </c>
      <c r="F2148" s="1" t="s">
        <v>1717</v>
      </c>
      <c r="G2148" s="1">
        <v>11636620</v>
      </c>
      <c r="H2148" s="1">
        <v>9700000</v>
      </c>
    </row>
    <row r="2149" spans="1:8" ht="13.5" customHeight="1" x14ac:dyDescent="0.3">
      <c r="A2149" s="1" t="s">
        <v>339</v>
      </c>
      <c r="B2149" s="1" t="s">
        <v>5480</v>
      </c>
      <c r="C2149" s="1" t="s">
        <v>5483</v>
      </c>
      <c r="D2149" s="1">
        <v>2021</v>
      </c>
      <c r="E2149" s="1" t="str">
        <f t="shared" si="8"/>
        <v>CROSST CROSS TRENDLINE 1.62021</v>
      </c>
      <c r="F2149" s="1" t="s">
        <v>1813</v>
      </c>
      <c r="G2149" s="1">
        <v>10990000</v>
      </c>
      <c r="H2149" s="1">
        <v>9000000</v>
      </c>
    </row>
    <row r="2150" spans="1:8" ht="13.5" customHeight="1" x14ac:dyDescent="0.3">
      <c r="A2150" s="1" t="s">
        <v>339</v>
      </c>
      <c r="B2150" s="1" t="s">
        <v>5480</v>
      </c>
      <c r="C2150" s="1" t="s">
        <v>5484</v>
      </c>
      <c r="D2150" s="1">
        <v>2022</v>
      </c>
      <c r="E2150" s="1" t="str">
        <f t="shared" si="8"/>
        <v>CROSST ROSS 1.62022</v>
      </c>
      <c r="F2150" s="1" t="s">
        <v>1928</v>
      </c>
      <c r="G2150" s="1">
        <v>13190000</v>
      </c>
      <c r="H2150" s="1">
        <v>10899159</v>
      </c>
    </row>
    <row r="2151" spans="1:8" ht="13.5" customHeight="1" x14ac:dyDescent="0.3">
      <c r="A2151" s="1" t="s">
        <v>339</v>
      </c>
      <c r="B2151" s="1" t="s">
        <v>4005</v>
      </c>
      <c r="C2151" s="1" t="s">
        <v>5485</v>
      </c>
      <c r="D2151" s="1">
        <v>2021</v>
      </c>
      <c r="E2151" s="1" t="str">
        <f t="shared" si="8"/>
        <v>GOLGOL HB 1.62021</v>
      </c>
      <c r="F2151" s="1" t="s">
        <v>1962</v>
      </c>
      <c r="G2151" s="1">
        <v>8290000</v>
      </c>
      <c r="H2151" s="1">
        <v>6000000</v>
      </c>
    </row>
    <row r="2152" spans="1:8" ht="13.5" customHeight="1" x14ac:dyDescent="0.3">
      <c r="A2152" s="1" t="s">
        <v>339</v>
      </c>
      <c r="B2152" s="1" t="s">
        <v>4005</v>
      </c>
      <c r="C2152" s="1" t="s">
        <v>5485</v>
      </c>
      <c r="D2152" s="1">
        <v>2022</v>
      </c>
      <c r="E2152" s="1" t="str">
        <f t="shared" si="8"/>
        <v>GOLGOL HB 1.62022</v>
      </c>
      <c r="F2152" s="1" t="s">
        <v>823</v>
      </c>
      <c r="G2152" s="1">
        <v>7890000</v>
      </c>
      <c r="H2152" s="1">
        <v>6500000</v>
      </c>
    </row>
    <row r="2153" spans="1:8" ht="13.5" customHeight="1" x14ac:dyDescent="0.3">
      <c r="A2153" s="1" t="s">
        <v>339</v>
      </c>
      <c r="B2153" s="1" t="s">
        <v>4005</v>
      </c>
      <c r="C2153" s="1" t="s">
        <v>5485</v>
      </c>
      <c r="D2153" s="1">
        <v>2022</v>
      </c>
      <c r="E2153" s="1" t="str">
        <f t="shared" si="8"/>
        <v>GOLGOL HB 1.62022</v>
      </c>
      <c r="F2153" s="1" t="s">
        <v>1650</v>
      </c>
      <c r="G2153" s="1">
        <v>8390000</v>
      </c>
      <c r="H2153" s="1">
        <v>6971997</v>
      </c>
    </row>
    <row r="2154" spans="1:8" ht="13.5" customHeight="1" x14ac:dyDescent="0.3">
      <c r="A2154" s="1" t="s">
        <v>339</v>
      </c>
      <c r="B2154" s="1" t="s">
        <v>4005</v>
      </c>
      <c r="C2154" s="1" t="s">
        <v>5485</v>
      </c>
      <c r="D2154" s="1">
        <v>2022</v>
      </c>
      <c r="E2154" s="1" t="str">
        <f t="shared" si="8"/>
        <v>GOLGOL HB 1.62022</v>
      </c>
      <c r="F2154" s="1" t="s">
        <v>1150</v>
      </c>
      <c r="G2154" s="1">
        <v>7790000</v>
      </c>
      <c r="H2154" s="1">
        <v>6300000</v>
      </c>
    </row>
    <row r="2155" spans="1:8" ht="13.5" customHeight="1" x14ac:dyDescent="0.3">
      <c r="A2155" s="1" t="s">
        <v>339</v>
      </c>
      <c r="B2155" s="1" t="s">
        <v>4005</v>
      </c>
      <c r="C2155" s="1" t="s">
        <v>5485</v>
      </c>
      <c r="D2155" s="1">
        <v>2022</v>
      </c>
      <c r="E2155" s="1" t="str">
        <f t="shared" si="8"/>
        <v>GOLGOL HB 1.62022</v>
      </c>
      <c r="F2155" s="1" t="s">
        <v>2096</v>
      </c>
      <c r="G2155" s="1">
        <v>8786090</v>
      </c>
      <c r="H2155" s="1">
        <v>7500000</v>
      </c>
    </row>
    <row r="2156" spans="1:8" ht="13.5" customHeight="1" x14ac:dyDescent="0.3">
      <c r="A2156" s="1" t="s">
        <v>339</v>
      </c>
      <c r="B2156" s="1" t="s">
        <v>4005</v>
      </c>
      <c r="C2156" s="1" t="s">
        <v>5486</v>
      </c>
      <c r="D2156" s="1">
        <v>2019</v>
      </c>
      <c r="E2156" s="1" t="str">
        <f t="shared" si="8"/>
        <v>GOLGOL HIGHLINE 1.62019</v>
      </c>
      <c r="F2156" s="1" t="s">
        <v>1385</v>
      </c>
      <c r="G2156" s="1">
        <v>7203120</v>
      </c>
      <c r="H2156" s="1">
        <v>5800000</v>
      </c>
    </row>
    <row r="2157" spans="1:8" ht="13.5" customHeight="1" x14ac:dyDescent="0.3">
      <c r="A2157" s="1" t="s">
        <v>339</v>
      </c>
      <c r="B2157" s="1" t="s">
        <v>4005</v>
      </c>
      <c r="C2157" s="1" t="s">
        <v>5487</v>
      </c>
      <c r="D2157" s="1">
        <v>2018</v>
      </c>
      <c r="E2157" s="1" t="str">
        <f t="shared" si="8"/>
        <v>GOLGOL TRENDLINE 1.62018</v>
      </c>
      <c r="F2157" s="1" t="s">
        <v>1632</v>
      </c>
      <c r="G2157" s="1">
        <v>5590000</v>
      </c>
      <c r="H2157" s="1">
        <v>4500000</v>
      </c>
    </row>
    <row r="2158" spans="1:8" ht="13.5" customHeight="1" x14ac:dyDescent="0.3">
      <c r="A2158" s="1" t="s">
        <v>339</v>
      </c>
      <c r="B2158" s="1" t="s">
        <v>3391</v>
      </c>
      <c r="C2158" s="1" t="s">
        <v>5488</v>
      </c>
      <c r="D2158" s="1">
        <v>2017</v>
      </c>
      <c r="E2158" s="1" t="str">
        <f t="shared" si="8"/>
        <v>GOLFGOLF HATCHBACK 1.62017</v>
      </c>
      <c r="F2158" s="1" t="s">
        <v>3392</v>
      </c>
      <c r="G2158" s="1">
        <v>10490000</v>
      </c>
      <c r="H2158" s="1">
        <v>10312000</v>
      </c>
    </row>
    <row r="2159" spans="1:8" ht="13.5" customHeight="1" x14ac:dyDescent="0.3">
      <c r="A2159" s="1" t="s">
        <v>339</v>
      </c>
      <c r="B2159" s="1" t="s">
        <v>4277</v>
      </c>
      <c r="C2159" s="1" t="s">
        <v>5489</v>
      </c>
      <c r="D2159" s="1">
        <v>2022</v>
      </c>
      <c r="E2159" s="1" t="str">
        <f t="shared" si="8"/>
        <v>NIVUSNIVUS TSI 1.02022</v>
      </c>
      <c r="F2159" s="1" t="s">
        <v>1142</v>
      </c>
      <c r="G2159" s="1">
        <v>13290000</v>
      </c>
      <c r="H2159" s="1">
        <v>10800000</v>
      </c>
    </row>
    <row r="2160" spans="1:8" ht="13.5" customHeight="1" x14ac:dyDescent="0.3">
      <c r="A2160" s="1" t="s">
        <v>339</v>
      </c>
      <c r="B2160" s="1" t="s">
        <v>4277</v>
      </c>
      <c r="C2160" s="1" t="s">
        <v>5490</v>
      </c>
      <c r="D2160" s="1">
        <v>2021</v>
      </c>
      <c r="E2160" s="1" t="str">
        <f t="shared" si="8"/>
        <v>NIVUSNIVUS TSI 1.0 AUT2021</v>
      </c>
      <c r="F2160" s="1" t="s">
        <v>1727</v>
      </c>
      <c r="G2160" s="1">
        <v>9990000</v>
      </c>
      <c r="H2160" s="1">
        <v>8500000</v>
      </c>
    </row>
    <row r="2161" spans="1:8" ht="13.5" customHeight="1" x14ac:dyDescent="0.3">
      <c r="A2161" s="1" t="s">
        <v>339</v>
      </c>
      <c r="B2161" s="1" t="s">
        <v>4277</v>
      </c>
      <c r="C2161" s="1" t="s">
        <v>5490</v>
      </c>
      <c r="D2161" s="1">
        <v>2022</v>
      </c>
      <c r="E2161" s="1" t="str">
        <f t="shared" si="8"/>
        <v>NIVUSNIVUS TSI 1.0 AUT2022</v>
      </c>
      <c r="F2161" s="1" t="s">
        <v>1186</v>
      </c>
      <c r="G2161" s="1">
        <v>13990000</v>
      </c>
      <c r="H2161" s="1">
        <v>11500000</v>
      </c>
    </row>
    <row r="2162" spans="1:8" ht="13.5" customHeight="1" x14ac:dyDescent="0.3">
      <c r="A2162" s="1" t="s">
        <v>339</v>
      </c>
      <c r="B2162" s="1" t="s">
        <v>4277</v>
      </c>
      <c r="C2162" s="1" t="s">
        <v>5491</v>
      </c>
      <c r="D2162" s="1">
        <v>2021</v>
      </c>
      <c r="E2162" s="1" t="str">
        <f t="shared" si="8"/>
        <v>NIVUSNIVUS TSI HIGHLINE 1.0 AUT2021</v>
      </c>
      <c r="F2162" s="1" t="s">
        <v>1481</v>
      </c>
      <c r="G2162" s="1">
        <v>12290000</v>
      </c>
      <c r="H2162" s="1">
        <v>10500000</v>
      </c>
    </row>
    <row r="2163" spans="1:8" ht="13.5" customHeight="1" x14ac:dyDescent="0.3">
      <c r="A2163" s="1" t="s">
        <v>339</v>
      </c>
      <c r="B2163" s="1" t="s">
        <v>2992</v>
      </c>
      <c r="C2163" s="1" t="s">
        <v>5492</v>
      </c>
      <c r="D2163" s="1">
        <v>2022</v>
      </c>
      <c r="E2163" s="1" t="str">
        <f t="shared" si="8"/>
        <v>POLOPOLO 1.62022</v>
      </c>
      <c r="F2163" s="1" t="s">
        <v>592</v>
      </c>
      <c r="G2163" s="1">
        <v>9990000</v>
      </c>
      <c r="H2163" s="1">
        <v>8550000</v>
      </c>
    </row>
    <row r="2164" spans="1:8" ht="13.5" customHeight="1" x14ac:dyDescent="0.3">
      <c r="A2164" s="1" t="s">
        <v>339</v>
      </c>
      <c r="B2164" s="1" t="s">
        <v>2992</v>
      </c>
      <c r="C2164" s="1" t="s">
        <v>5493</v>
      </c>
      <c r="D2164" s="1">
        <v>2018</v>
      </c>
      <c r="E2164" s="1" t="str">
        <f t="shared" si="8"/>
        <v>POLOPOLO HIGHLINE 1.62018</v>
      </c>
      <c r="F2164" s="1" t="s">
        <v>1138</v>
      </c>
      <c r="G2164" s="1">
        <v>8490000</v>
      </c>
      <c r="H2164" s="1">
        <v>6500000</v>
      </c>
    </row>
    <row r="2165" spans="1:8" ht="13.5" customHeight="1" x14ac:dyDescent="0.3">
      <c r="A2165" s="1" t="s">
        <v>339</v>
      </c>
      <c r="B2165" s="1" t="s">
        <v>343</v>
      </c>
      <c r="C2165" s="1" t="s">
        <v>5494</v>
      </c>
      <c r="D2165" s="1">
        <v>2023</v>
      </c>
      <c r="E2165" s="1" t="str">
        <f t="shared" si="8"/>
        <v>SAVEIROSAVEIRO CD 1.62023</v>
      </c>
      <c r="F2165" s="1" t="s">
        <v>1289</v>
      </c>
      <c r="G2165" s="1">
        <v>12000000</v>
      </c>
      <c r="H2165" s="1">
        <v>10000000</v>
      </c>
    </row>
    <row r="2166" spans="1:8" ht="13.5" customHeight="1" x14ac:dyDescent="0.3">
      <c r="A2166" s="1" t="s">
        <v>339</v>
      </c>
      <c r="B2166" s="1" t="s">
        <v>343</v>
      </c>
      <c r="C2166" s="1" t="s">
        <v>5495</v>
      </c>
      <c r="D2166" s="1">
        <v>2021</v>
      </c>
      <c r="E2166" s="1" t="str">
        <f t="shared" si="8"/>
        <v>SAVEIROSAVEIRO D CAB 1.62021</v>
      </c>
      <c r="F2166" s="1" t="s">
        <v>838</v>
      </c>
      <c r="G2166" s="1">
        <v>9490000</v>
      </c>
      <c r="H2166" s="1">
        <v>7000000</v>
      </c>
    </row>
    <row r="2167" spans="1:8" ht="13.5" customHeight="1" x14ac:dyDescent="0.3">
      <c r="A2167" s="1" t="s">
        <v>339</v>
      </c>
      <c r="B2167" s="1" t="s">
        <v>5496</v>
      </c>
      <c r="C2167" s="1" t="s">
        <v>5497</v>
      </c>
      <c r="D2167" s="1">
        <v>2022</v>
      </c>
      <c r="E2167" s="1" t="str">
        <f t="shared" si="8"/>
        <v>T CROSST CROSS TSI 1.02022</v>
      </c>
      <c r="F2167" s="1" t="s">
        <v>1011</v>
      </c>
      <c r="G2167" s="1">
        <v>12964560</v>
      </c>
      <c r="H2167" s="1">
        <v>11000000</v>
      </c>
    </row>
    <row r="2168" spans="1:8" ht="13.5" customHeight="1" x14ac:dyDescent="0.3">
      <c r="A2168" s="1" t="s">
        <v>339</v>
      </c>
      <c r="B2168" s="1" t="s">
        <v>5496</v>
      </c>
      <c r="C2168" s="1" t="s">
        <v>5497</v>
      </c>
      <c r="D2168" s="1">
        <v>2023</v>
      </c>
      <c r="E2168" s="1" t="str">
        <f t="shared" si="8"/>
        <v>T CROSST CROSS TSI 1.02023</v>
      </c>
      <c r="F2168" s="1" t="s">
        <v>729</v>
      </c>
      <c r="G2168" s="1">
        <v>12990000</v>
      </c>
      <c r="H2168" s="1">
        <v>11000000</v>
      </c>
    </row>
    <row r="2169" spans="1:8" ht="13.5" customHeight="1" x14ac:dyDescent="0.3">
      <c r="A2169" s="1" t="s">
        <v>339</v>
      </c>
      <c r="B2169" s="1" t="s">
        <v>4011</v>
      </c>
      <c r="C2169" s="1" t="s">
        <v>5498</v>
      </c>
      <c r="D2169" s="1">
        <v>2022</v>
      </c>
      <c r="E2169" s="1" t="str">
        <f t="shared" si="8"/>
        <v>TAOSTAOS TSI 1.4 AT2022</v>
      </c>
      <c r="F2169" s="1" t="s">
        <v>1312</v>
      </c>
      <c r="G2169" s="1">
        <v>17348620</v>
      </c>
      <c r="H2169" s="1">
        <v>14500000</v>
      </c>
    </row>
    <row r="2170" spans="1:8" ht="13.5" customHeight="1" x14ac:dyDescent="0.3">
      <c r="A2170" s="1" t="s">
        <v>339</v>
      </c>
      <c r="B2170" s="1" t="s">
        <v>4011</v>
      </c>
      <c r="C2170" s="1" t="s">
        <v>5498</v>
      </c>
      <c r="D2170" s="1">
        <v>2023</v>
      </c>
      <c r="E2170" s="1" t="str">
        <f t="shared" si="8"/>
        <v>TAOSTAOS TSI 1.4 AT2023</v>
      </c>
      <c r="F2170" s="1" t="s">
        <v>782</v>
      </c>
      <c r="G2170" s="1">
        <v>18190000</v>
      </c>
      <c r="H2170" s="1">
        <v>15500000</v>
      </c>
    </row>
    <row r="2171" spans="1:8" ht="13.5" customHeight="1" x14ac:dyDescent="0.3">
      <c r="A2171" s="1" t="s">
        <v>339</v>
      </c>
      <c r="B2171" s="1" t="s">
        <v>4011</v>
      </c>
      <c r="C2171" s="1" t="s">
        <v>5498</v>
      </c>
      <c r="D2171" s="1">
        <v>2023</v>
      </c>
      <c r="E2171" s="1" t="str">
        <f t="shared" si="8"/>
        <v>TAOSTAOS TSI 1.4 AT2023</v>
      </c>
      <c r="F2171" s="1" t="s">
        <v>989</v>
      </c>
      <c r="G2171" s="1">
        <v>20690000</v>
      </c>
      <c r="H2171" s="1">
        <v>17500000</v>
      </c>
    </row>
    <row r="2172" spans="1:8" ht="13.5" customHeight="1" x14ac:dyDescent="0.3">
      <c r="A2172" s="1" t="s">
        <v>339</v>
      </c>
      <c r="B2172" s="1" t="s">
        <v>4125</v>
      </c>
      <c r="C2172" s="1" t="s">
        <v>5499</v>
      </c>
      <c r="D2172" s="1">
        <v>2020</v>
      </c>
      <c r="E2172" s="1" t="str">
        <f t="shared" si="8"/>
        <v>TIGUANTIGUAN 1.42020</v>
      </c>
      <c r="F2172" s="1" t="s">
        <v>2375</v>
      </c>
      <c r="G2172" s="1">
        <v>16881460</v>
      </c>
      <c r="H2172" s="1">
        <v>15000000</v>
      </c>
    </row>
    <row r="2173" spans="1:8" ht="13.5" customHeight="1" x14ac:dyDescent="0.3">
      <c r="A2173" s="1" t="s">
        <v>339</v>
      </c>
      <c r="B2173" s="1" t="s">
        <v>4125</v>
      </c>
      <c r="C2173" s="1" t="s">
        <v>5500</v>
      </c>
      <c r="D2173" s="1">
        <v>2020</v>
      </c>
      <c r="E2173" s="1" t="str">
        <f t="shared" si="8"/>
        <v>TIGUANTIGUAN OTTO 1.4 AUT2020</v>
      </c>
      <c r="F2173" s="1" t="s">
        <v>2331</v>
      </c>
      <c r="G2173" s="1">
        <v>17990000</v>
      </c>
      <c r="H2173" s="1">
        <v>15000000</v>
      </c>
    </row>
    <row r="2174" spans="1:8" ht="13.5" customHeight="1" x14ac:dyDescent="0.3">
      <c r="A2174" s="1" t="s">
        <v>339</v>
      </c>
      <c r="B2174" s="1" t="s">
        <v>4125</v>
      </c>
      <c r="C2174" s="1" t="s">
        <v>5501</v>
      </c>
      <c r="D2174" s="1">
        <v>2019</v>
      </c>
      <c r="E2174" s="1" t="str">
        <f t="shared" si="8"/>
        <v>TIGUANTIGUAN TSI 1.4 AUT2019</v>
      </c>
      <c r="F2174" s="1" t="s">
        <v>1360</v>
      </c>
      <c r="G2174" s="1">
        <v>12890000</v>
      </c>
      <c r="H2174" s="1">
        <v>11500000</v>
      </c>
    </row>
    <row r="2175" spans="1:8" ht="13.5" customHeight="1" x14ac:dyDescent="0.3">
      <c r="A2175" s="1" t="s">
        <v>339</v>
      </c>
      <c r="B2175" s="1" t="s">
        <v>4125</v>
      </c>
      <c r="C2175" s="1" t="s">
        <v>5502</v>
      </c>
      <c r="D2175" s="1">
        <v>2023</v>
      </c>
      <c r="E2175" s="1" t="str">
        <f t="shared" si="8"/>
        <v>TIGUANTIGUAN TSI 4X2 1.4 AUT2023</v>
      </c>
      <c r="F2175" s="1" t="s">
        <v>406</v>
      </c>
      <c r="G2175" s="1">
        <v>23000000</v>
      </c>
      <c r="H2175" s="1">
        <v>20000000</v>
      </c>
    </row>
    <row r="2176" spans="1:8" ht="13.5" customHeight="1" x14ac:dyDescent="0.3">
      <c r="A2176" s="1" t="s">
        <v>339</v>
      </c>
      <c r="B2176" s="1" t="s">
        <v>3104</v>
      </c>
      <c r="C2176" s="1" t="s">
        <v>5503</v>
      </c>
      <c r="D2176" s="1">
        <v>2023</v>
      </c>
      <c r="E2176" s="1" t="str">
        <f t="shared" si="8"/>
        <v>VIRTUSVIRTUS TRENDLINE 1.62023</v>
      </c>
      <c r="F2176" s="1" t="s">
        <v>1321</v>
      </c>
      <c r="G2176" s="1">
        <v>10690000</v>
      </c>
      <c r="H2176" s="1">
        <v>9000000</v>
      </c>
    </row>
    <row r="2177" spans="1:8" ht="13.5" customHeight="1" x14ac:dyDescent="0.3">
      <c r="A2177" s="1" t="s">
        <v>339</v>
      </c>
      <c r="B2177" s="1" t="s">
        <v>3850</v>
      </c>
      <c r="C2177" s="1" t="s">
        <v>5504</v>
      </c>
      <c r="D2177" s="1">
        <v>2021</v>
      </c>
      <c r="E2177" s="1" t="str">
        <f t="shared" si="8"/>
        <v>VOYAGEVOYAGE 1.62021</v>
      </c>
      <c r="F2177" s="1" t="s">
        <v>2183</v>
      </c>
      <c r="G2177" s="1">
        <v>8990000</v>
      </c>
      <c r="H2177" s="1">
        <v>7000000</v>
      </c>
    </row>
    <row r="2178" spans="1:8" ht="13.5" customHeight="1" x14ac:dyDescent="0.3">
      <c r="A2178" s="1" t="s">
        <v>339</v>
      </c>
      <c r="B2178" s="1" t="s">
        <v>3850</v>
      </c>
      <c r="C2178" s="1" t="s">
        <v>5505</v>
      </c>
      <c r="D2178" s="1">
        <v>2020</v>
      </c>
      <c r="E2178" s="1" t="str">
        <f t="shared" si="8"/>
        <v>VOYAGEVOYAGE TRENDLINE 1.62020</v>
      </c>
      <c r="F2178" s="1" t="s">
        <v>1239</v>
      </c>
      <c r="G2178" s="1">
        <v>6415120</v>
      </c>
      <c r="H2178" s="1">
        <v>5500000</v>
      </c>
    </row>
    <row r="2179" spans="1:8" ht="13.5" customHeight="1" x14ac:dyDescent="0.3">
      <c r="A2179" s="1" t="s">
        <v>5506</v>
      </c>
      <c r="B2179" s="1" t="s">
        <v>5506</v>
      </c>
      <c r="C2179" s="1" t="s">
        <v>5507</v>
      </c>
      <c r="D2179" s="1">
        <v>2019</v>
      </c>
      <c r="E2179" s="1" t="str">
        <f t="shared" si="8"/>
        <v>VOLVOV40 D2 MOMENTUM 2.02019</v>
      </c>
      <c r="G2179" s="1">
        <v>12990000</v>
      </c>
      <c r="H2179" s="1">
        <v>0</v>
      </c>
    </row>
    <row r="2180" spans="1:8" ht="13.5" customHeight="1" x14ac:dyDescent="0.3">
      <c r="A2180" s="1" t="s">
        <v>5506</v>
      </c>
      <c r="B2180" s="1" t="s">
        <v>5506</v>
      </c>
      <c r="C2180" s="1" t="s">
        <v>5507</v>
      </c>
      <c r="D2180" s="1">
        <v>2019</v>
      </c>
      <c r="E2180" s="1" t="str">
        <f t="shared" si="8"/>
        <v>VOLVOV40 D2 MOMENTUM 2.02019</v>
      </c>
      <c r="F2180" s="1" t="s">
        <v>1542</v>
      </c>
      <c r="G2180" s="1">
        <v>12990000</v>
      </c>
      <c r="H2180" s="1">
        <v>11000000</v>
      </c>
    </row>
    <row r="2181" spans="1:8" ht="13.5" customHeight="1" x14ac:dyDescent="0.3">
      <c r="A2181" s="1" t="s">
        <v>5506</v>
      </c>
      <c r="B2181" s="1" t="s">
        <v>5506</v>
      </c>
      <c r="C2181" s="1" t="s">
        <v>5508</v>
      </c>
      <c r="D2181" s="1">
        <v>2018</v>
      </c>
      <c r="E2181" s="1" t="str">
        <f t="shared" si="8"/>
        <v>VOLVOV60CC T5 4X4 2.0 AUT2018</v>
      </c>
      <c r="F2181" s="1" t="s">
        <v>1734</v>
      </c>
      <c r="G2181" s="1">
        <v>14690000</v>
      </c>
      <c r="H2181" s="1">
        <v>12500000</v>
      </c>
    </row>
    <row r="2182" spans="1:8" ht="13.5" customHeight="1" x14ac:dyDescent="0.3">
      <c r="A2182" s="1" t="s">
        <v>5506</v>
      </c>
      <c r="B2182" s="1" t="s">
        <v>5509</v>
      </c>
      <c r="C2182" s="1" t="s">
        <v>5510</v>
      </c>
      <c r="D2182" s="1">
        <v>2024</v>
      </c>
      <c r="E2182" s="1" t="str">
        <f t="shared" si="8"/>
        <v>XC40XC40 B4 ULTIMATE 2.0 AUT2024</v>
      </c>
      <c r="F2182" s="1" t="s">
        <v>1074</v>
      </c>
      <c r="G2182" s="1">
        <v>33990000</v>
      </c>
      <c r="H2182" s="1">
        <v>29000000</v>
      </c>
    </row>
    <row r="2183" spans="1:8" ht="13.5" customHeight="1" x14ac:dyDescent="0.3">
      <c r="A2183" s="1" t="s">
        <v>346</v>
      </c>
      <c r="B2183" s="1" t="s">
        <v>5511</v>
      </c>
      <c r="C2183" s="1" t="s">
        <v>5512</v>
      </c>
      <c r="D2183" s="1">
        <v>2020</v>
      </c>
      <c r="E2183" s="1" t="str">
        <f t="shared" si="8"/>
        <v>ZXTERRALORD D CAB LUX 2.52020</v>
      </c>
      <c r="F2183" s="1" t="s">
        <v>1419</v>
      </c>
      <c r="G2183" s="1">
        <v>20180000</v>
      </c>
      <c r="H2183" s="1">
        <v>17000000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998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12.6640625" defaultRowHeight="15" customHeight="1" x14ac:dyDescent="0.3"/>
  <cols>
    <col min="1" max="8" width="10.6640625" customWidth="1"/>
    <col min="9" max="9" width="17.88671875" customWidth="1"/>
    <col min="10" max="22" width="10.6640625" customWidth="1"/>
    <col min="23" max="23" width="14.88671875" customWidth="1"/>
    <col min="24" max="25" width="10.6640625" customWidth="1"/>
    <col min="26" max="26" width="27.109375" customWidth="1"/>
    <col min="27" max="40" width="10.6640625" customWidth="1"/>
    <col min="41" max="41" width="21.109375" customWidth="1"/>
    <col min="42" max="43" width="10.6640625" customWidth="1"/>
    <col min="44" max="44" width="13.44140625" customWidth="1"/>
    <col min="45" max="47" width="10.6640625" customWidth="1"/>
  </cols>
  <sheetData>
    <row r="1" spans="1:47" ht="13.5" customHeight="1" x14ac:dyDescent="0.3">
      <c r="A1" s="1" t="s">
        <v>5513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0</v>
      </c>
      <c r="M1" s="1" t="s">
        <v>1</v>
      </c>
      <c r="N1" s="1" t="s">
        <v>2</v>
      </c>
      <c r="O1" s="1" t="s">
        <v>5524</v>
      </c>
      <c r="P1" s="1" t="s">
        <v>4</v>
      </c>
      <c r="Q1" s="1" t="s">
        <v>5525</v>
      </c>
      <c r="R1" s="1" t="s">
        <v>5526</v>
      </c>
      <c r="S1" s="1" t="s">
        <v>5</v>
      </c>
      <c r="T1" s="1" t="s">
        <v>5527</v>
      </c>
      <c r="U1" s="1" t="s">
        <v>5528</v>
      </c>
      <c r="V1" s="1" t="s">
        <v>5529</v>
      </c>
      <c r="W1" s="1" t="s">
        <v>5530</v>
      </c>
      <c r="X1" s="1" t="s">
        <v>5531</v>
      </c>
      <c r="Y1" s="1" t="s">
        <v>5532</v>
      </c>
      <c r="Z1" s="1" t="s">
        <v>3</v>
      </c>
      <c r="AA1" s="1" t="s">
        <v>5533</v>
      </c>
      <c r="AB1" s="1" t="s">
        <v>5534</v>
      </c>
      <c r="AC1" s="1" t="s">
        <v>5535</v>
      </c>
      <c r="AD1" s="1" t="s">
        <v>5536</v>
      </c>
      <c r="AE1" s="1" t="s">
        <v>5537</v>
      </c>
      <c r="AF1" s="1" t="s">
        <v>5538</v>
      </c>
      <c r="AG1" s="1" t="s">
        <v>5539</v>
      </c>
      <c r="AH1" s="1" t="s">
        <v>5540</v>
      </c>
      <c r="AI1" s="1" t="s">
        <v>5541</v>
      </c>
      <c r="AJ1" s="1" t="s">
        <v>5542</v>
      </c>
      <c r="AK1" s="1" t="s">
        <v>5543</v>
      </c>
      <c r="AL1" s="1" t="s">
        <v>5544</v>
      </c>
      <c r="AM1" s="1" t="s">
        <v>5545</v>
      </c>
      <c r="AN1" s="1" t="s">
        <v>5546</v>
      </c>
      <c r="AO1" s="14" t="s">
        <v>5547</v>
      </c>
      <c r="AP1" s="1" t="s">
        <v>5548</v>
      </c>
      <c r="AQ1" s="1" t="s">
        <v>5549</v>
      </c>
      <c r="AR1" s="14" t="s">
        <v>5550</v>
      </c>
      <c r="AS1" s="14" t="s">
        <v>5551</v>
      </c>
      <c r="AT1" s="1" t="s">
        <v>5552</v>
      </c>
      <c r="AU1" s="1" t="s">
        <v>5553</v>
      </c>
    </row>
    <row r="2" spans="1:47" ht="13.5" customHeight="1" x14ac:dyDescent="0.3">
      <c r="A2" s="1" t="s">
        <v>5554</v>
      </c>
      <c r="B2" s="1" t="s">
        <v>5589</v>
      </c>
      <c r="C2" s="1">
        <v>0</v>
      </c>
      <c r="D2" s="1">
        <v>0</v>
      </c>
      <c r="E2" t="s">
        <v>4360</v>
      </c>
      <c r="F2" t="s">
        <v>4360</v>
      </c>
      <c r="G2" t="s">
        <v>4360</v>
      </c>
      <c r="H2" t="s">
        <v>4360</v>
      </c>
      <c r="I2" s="21" t="s">
        <v>6544</v>
      </c>
      <c r="J2" t="s">
        <v>4360</v>
      </c>
      <c r="K2" s="1" t="s">
        <v>5882</v>
      </c>
      <c r="L2" s="1" t="s">
        <v>264</v>
      </c>
      <c r="M2" s="1" t="s">
        <v>5239</v>
      </c>
      <c r="N2" s="1" t="s">
        <v>286</v>
      </c>
      <c r="O2" s="1" t="s">
        <v>5574</v>
      </c>
      <c r="P2" s="1">
        <v>2023</v>
      </c>
      <c r="Q2" s="1">
        <v>66999</v>
      </c>
      <c r="R2" s="1" t="s">
        <v>5883</v>
      </c>
      <c r="S2" s="1" t="s">
        <v>288</v>
      </c>
      <c r="T2" s="1" t="s">
        <v>5557</v>
      </c>
      <c r="U2" s="1" t="s">
        <v>5576</v>
      </c>
      <c r="V2" s="1" t="s">
        <v>5559</v>
      </c>
      <c r="W2" s="1">
        <v>22690000</v>
      </c>
      <c r="X2" s="1" t="s">
        <v>5560</v>
      </c>
      <c r="Y2" s="1">
        <v>201</v>
      </c>
      <c r="Z2" s="1" t="s">
        <v>28</v>
      </c>
      <c r="AA2" s="1" t="s">
        <v>5594</v>
      </c>
      <c r="AB2" s="1" t="s">
        <v>5562</v>
      </c>
      <c r="AC2" s="1" t="s">
        <v>5884</v>
      </c>
      <c r="AD2" s="1" t="s">
        <v>5882</v>
      </c>
      <c r="AE2" s="1" t="s">
        <v>5885</v>
      </c>
      <c r="AF2" s="21" t="s">
        <v>6545</v>
      </c>
      <c r="AG2" s="1">
        <v>1</v>
      </c>
      <c r="AH2" s="21" t="s">
        <v>6545</v>
      </c>
      <c r="AI2" s="21" t="s">
        <v>6546</v>
      </c>
      <c r="AJ2" s="21" t="s">
        <v>6308</v>
      </c>
      <c r="AK2" s="1">
        <v>1</v>
      </c>
      <c r="AL2" s="1">
        <v>0</v>
      </c>
      <c r="AM2" t="s">
        <v>4360</v>
      </c>
      <c r="AN2" s="1">
        <v>0</v>
      </c>
      <c r="AO2" s="1">
        <v>19800000</v>
      </c>
      <c r="AP2" s="1">
        <v>423030</v>
      </c>
      <c r="AQ2" s="1">
        <v>0</v>
      </c>
      <c r="AR2" s="1">
        <v>20223030</v>
      </c>
      <c r="AS2" s="1">
        <v>22690000</v>
      </c>
      <c r="AT2" s="1">
        <v>2466970</v>
      </c>
      <c r="AU2" s="1">
        <v>1087</v>
      </c>
    </row>
    <row r="3" spans="1:47" ht="13.5" customHeight="1" x14ac:dyDescent="0.3">
      <c r="A3" s="1" t="s">
        <v>5554</v>
      </c>
      <c r="B3" s="1" t="s">
        <v>5610</v>
      </c>
      <c r="C3" s="1">
        <v>0</v>
      </c>
      <c r="D3" s="1">
        <v>0</v>
      </c>
      <c r="E3" t="s">
        <v>4360</v>
      </c>
      <c r="F3" t="s">
        <v>4360</v>
      </c>
      <c r="G3" t="s">
        <v>4360</v>
      </c>
      <c r="H3" t="s">
        <v>4360</v>
      </c>
      <c r="I3" s="21" t="s">
        <v>6354</v>
      </c>
      <c r="J3" t="s">
        <v>4360</v>
      </c>
      <c r="K3" s="1" t="s">
        <v>5702</v>
      </c>
      <c r="L3" s="1" t="s">
        <v>264</v>
      </c>
      <c r="M3" s="1" t="s">
        <v>5239</v>
      </c>
      <c r="N3" s="1" t="s">
        <v>290</v>
      </c>
      <c r="O3" s="1" t="s">
        <v>5703</v>
      </c>
      <c r="P3" s="1">
        <v>2023</v>
      </c>
      <c r="Q3" s="1">
        <v>76000</v>
      </c>
      <c r="R3" s="1" t="s">
        <v>5704</v>
      </c>
      <c r="S3" s="1" t="s">
        <v>291</v>
      </c>
      <c r="T3" s="1" t="s">
        <v>5557</v>
      </c>
      <c r="U3" s="1" t="s">
        <v>5558</v>
      </c>
      <c r="V3" s="1" t="s">
        <v>5559</v>
      </c>
      <c r="W3" s="1">
        <v>19290000</v>
      </c>
      <c r="X3" s="1" t="s">
        <v>5560</v>
      </c>
      <c r="Y3" s="1">
        <v>117</v>
      </c>
      <c r="Z3" s="1" t="s">
        <v>22</v>
      </c>
      <c r="AA3" s="1" t="s">
        <v>5611</v>
      </c>
      <c r="AB3" s="1" t="s">
        <v>5562</v>
      </c>
      <c r="AC3" s="1" t="s">
        <v>5705</v>
      </c>
      <c r="AD3" s="1" t="s">
        <v>5702</v>
      </c>
      <c r="AE3" s="1" t="s">
        <v>5706</v>
      </c>
      <c r="AF3" s="21" t="s">
        <v>6355</v>
      </c>
      <c r="AG3" s="1">
        <v>1</v>
      </c>
      <c r="AH3" s="21" t="s">
        <v>6355</v>
      </c>
      <c r="AI3" s="21" t="s">
        <v>6356</v>
      </c>
      <c r="AJ3" t="s">
        <v>6357</v>
      </c>
      <c r="AK3" s="1">
        <v>1</v>
      </c>
      <c r="AL3" s="1">
        <v>0</v>
      </c>
      <c r="AM3" t="s">
        <v>4360</v>
      </c>
      <c r="AN3" s="1">
        <v>0</v>
      </c>
      <c r="AO3" s="1">
        <v>16500000</v>
      </c>
      <c r="AP3" s="1">
        <v>373530</v>
      </c>
      <c r="AQ3" s="1">
        <v>0</v>
      </c>
      <c r="AR3" s="1">
        <v>16873530</v>
      </c>
      <c r="AS3" s="1">
        <v>19290000</v>
      </c>
      <c r="AT3" s="1">
        <v>2416470</v>
      </c>
      <c r="AU3" s="1">
        <v>1253</v>
      </c>
    </row>
    <row r="4" spans="1:47" ht="13.5" customHeight="1" x14ac:dyDescent="0.3">
      <c r="A4" s="1" t="s">
        <v>5554</v>
      </c>
      <c r="B4" s="1" t="s">
        <v>5610</v>
      </c>
      <c r="C4" s="1">
        <v>0</v>
      </c>
      <c r="D4" s="1">
        <v>0</v>
      </c>
      <c r="E4" t="s">
        <v>4360</v>
      </c>
      <c r="F4" t="s">
        <v>4360</v>
      </c>
      <c r="G4" t="s">
        <v>4360</v>
      </c>
      <c r="H4" t="s">
        <v>4360</v>
      </c>
      <c r="I4" s="21" t="s">
        <v>6299</v>
      </c>
      <c r="J4" t="s">
        <v>4360</v>
      </c>
      <c r="K4" s="1" t="s">
        <v>5636</v>
      </c>
      <c r="L4" s="1" t="s">
        <v>72</v>
      </c>
      <c r="M4" s="1" t="s">
        <v>72</v>
      </c>
      <c r="N4" s="1" t="s">
        <v>82</v>
      </c>
      <c r="O4" s="1" t="s">
        <v>5637</v>
      </c>
      <c r="P4" s="1">
        <v>2014</v>
      </c>
      <c r="Q4" s="1">
        <v>0</v>
      </c>
      <c r="R4" s="1" t="s">
        <v>5638</v>
      </c>
      <c r="S4" s="1" t="s">
        <v>85</v>
      </c>
      <c r="T4" s="1" t="s">
        <v>5557</v>
      </c>
      <c r="U4" s="1" t="s">
        <v>5606</v>
      </c>
      <c r="V4" s="1" t="s">
        <v>5631</v>
      </c>
      <c r="W4" s="1">
        <v>3490000</v>
      </c>
      <c r="X4" s="1" t="s">
        <v>5560</v>
      </c>
      <c r="Y4" s="1">
        <v>4381</v>
      </c>
      <c r="Z4" s="1" t="s">
        <v>83</v>
      </c>
      <c r="AA4" s="1" t="s">
        <v>5611</v>
      </c>
      <c r="AB4" s="1" t="s">
        <v>4360</v>
      </c>
      <c r="AC4" s="1" t="s">
        <v>5639</v>
      </c>
      <c r="AD4" s="1" t="s">
        <v>5636</v>
      </c>
      <c r="AE4" s="1" t="s">
        <v>5612</v>
      </c>
      <c r="AF4" s="21" t="s">
        <v>6526</v>
      </c>
      <c r="AG4" s="1">
        <v>0</v>
      </c>
      <c r="AH4" s="21" t="s">
        <v>4360</v>
      </c>
      <c r="AI4" s="21" t="s">
        <v>4360</v>
      </c>
      <c r="AJ4" t="s">
        <v>6526</v>
      </c>
      <c r="AK4" s="1">
        <v>0</v>
      </c>
      <c r="AL4" s="1">
        <v>0</v>
      </c>
      <c r="AM4" t="s">
        <v>4360</v>
      </c>
      <c r="AN4" s="1">
        <v>0</v>
      </c>
      <c r="AO4" s="1">
        <v>82597</v>
      </c>
      <c r="AP4" s="1">
        <v>4016851</v>
      </c>
      <c r="AQ4" s="1">
        <v>0</v>
      </c>
      <c r="AR4" s="1">
        <v>4099448</v>
      </c>
      <c r="AS4" s="1">
        <v>3490000</v>
      </c>
      <c r="AT4" s="1">
        <v>-609448</v>
      </c>
      <c r="AU4" s="1">
        <v>-1746</v>
      </c>
    </row>
    <row r="5" spans="1:47" ht="13.5" customHeight="1" x14ac:dyDescent="0.3">
      <c r="A5" s="1" t="s">
        <v>5554</v>
      </c>
      <c r="B5" s="1" t="s">
        <v>5555</v>
      </c>
      <c r="C5" s="1">
        <v>0</v>
      </c>
      <c r="D5" s="1">
        <v>0</v>
      </c>
      <c r="E5" t="s">
        <v>4360</v>
      </c>
      <c r="F5" t="s">
        <v>4360</v>
      </c>
      <c r="G5" t="s">
        <v>4360</v>
      </c>
      <c r="H5" t="s">
        <v>4360</v>
      </c>
      <c r="I5" s="21" t="s">
        <v>6309</v>
      </c>
      <c r="J5" t="s">
        <v>4360</v>
      </c>
      <c r="K5" s="1" t="s">
        <v>5787</v>
      </c>
      <c r="L5" s="1" t="s">
        <v>157</v>
      </c>
      <c r="M5" s="1" t="s">
        <v>158</v>
      </c>
      <c r="N5" s="1" t="s">
        <v>159</v>
      </c>
      <c r="O5" s="1" t="s">
        <v>5788</v>
      </c>
      <c r="P5" s="1">
        <v>2019</v>
      </c>
      <c r="Q5" s="1">
        <v>88000</v>
      </c>
      <c r="R5" s="1" t="s">
        <v>5789</v>
      </c>
      <c r="S5" s="1" t="s">
        <v>160</v>
      </c>
      <c r="T5" s="1" t="s">
        <v>5557</v>
      </c>
      <c r="U5" s="1" t="s">
        <v>5570</v>
      </c>
      <c r="V5" s="1" t="s">
        <v>5559</v>
      </c>
      <c r="W5" s="1">
        <v>8290000</v>
      </c>
      <c r="X5" s="1" t="s">
        <v>5560</v>
      </c>
      <c r="Y5" s="1">
        <v>57</v>
      </c>
      <c r="Z5" s="1" t="s">
        <v>28</v>
      </c>
      <c r="AA5" s="1" t="s">
        <v>5561</v>
      </c>
      <c r="AB5" s="1" t="s">
        <v>5571</v>
      </c>
      <c r="AC5" s="1" t="s">
        <v>5790</v>
      </c>
      <c r="AD5" s="1" t="s">
        <v>5787</v>
      </c>
      <c r="AE5" s="1" t="s">
        <v>5791</v>
      </c>
      <c r="AF5" s="21" t="s">
        <v>6236</v>
      </c>
      <c r="AG5" s="1">
        <v>1</v>
      </c>
      <c r="AH5" s="21" t="s">
        <v>6236</v>
      </c>
      <c r="AI5" s="21" t="s">
        <v>6310</v>
      </c>
      <c r="AJ5" s="21" t="s">
        <v>6311</v>
      </c>
      <c r="AK5" s="1">
        <v>1</v>
      </c>
      <c r="AL5" s="1">
        <v>0</v>
      </c>
      <c r="AM5" t="s">
        <v>4360</v>
      </c>
      <c r="AN5" s="1">
        <v>0</v>
      </c>
      <c r="AO5" s="1">
        <v>6800000</v>
      </c>
      <c r="AP5" s="1">
        <v>231240</v>
      </c>
      <c r="AQ5" s="1">
        <v>0</v>
      </c>
      <c r="AR5" s="1">
        <v>7031240</v>
      </c>
      <c r="AS5" s="1">
        <v>8290000</v>
      </c>
      <c r="AT5" s="1">
        <v>1258760</v>
      </c>
      <c r="AU5" s="1">
        <v>1518</v>
      </c>
    </row>
    <row r="6" spans="1:47" ht="13.5" customHeight="1" x14ac:dyDescent="0.3">
      <c r="A6" s="1" t="s">
        <v>5554</v>
      </c>
      <c r="B6" s="1" t="s">
        <v>5610</v>
      </c>
      <c r="C6" s="1">
        <v>0</v>
      </c>
      <c r="D6" s="1">
        <v>0</v>
      </c>
      <c r="E6" t="s">
        <v>4360</v>
      </c>
      <c r="F6" t="s">
        <v>4360</v>
      </c>
      <c r="G6" t="s">
        <v>4360</v>
      </c>
      <c r="H6" t="s">
        <v>4360</v>
      </c>
      <c r="I6" s="21" t="s">
        <v>6455</v>
      </c>
      <c r="J6" t="s">
        <v>4360</v>
      </c>
      <c r="K6" s="1" t="s">
        <v>6103</v>
      </c>
      <c r="L6" s="1" t="s">
        <v>93</v>
      </c>
      <c r="M6" s="1" t="s">
        <v>143</v>
      </c>
      <c r="N6" s="1" t="s">
        <v>144</v>
      </c>
      <c r="O6" s="1" t="s">
        <v>6040</v>
      </c>
      <c r="P6" s="1">
        <v>2022</v>
      </c>
      <c r="Q6" s="1">
        <v>25200</v>
      </c>
      <c r="R6" s="1" t="s">
        <v>6104</v>
      </c>
      <c r="S6" s="1" t="s">
        <v>146</v>
      </c>
      <c r="T6" s="1" t="s">
        <v>5557</v>
      </c>
      <c r="U6" s="1" t="s">
        <v>5755</v>
      </c>
      <c r="V6" s="1" t="s">
        <v>5559</v>
      </c>
      <c r="W6" s="1">
        <v>10490000</v>
      </c>
      <c r="X6" s="1" t="s">
        <v>5560</v>
      </c>
      <c r="Y6" s="1">
        <v>399</v>
      </c>
      <c r="Z6" s="1" t="s">
        <v>43</v>
      </c>
      <c r="AA6" s="1" t="s">
        <v>5611</v>
      </c>
      <c r="AB6" s="1" t="s">
        <v>5595</v>
      </c>
      <c r="AC6" s="1" t="s">
        <v>6105</v>
      </c>
      <c r="AD6" s="1" t="s">
        <v>6103</v>
      </c>
      <c r="AE6" s="1" t="s">
        <v>6106</v>
      </c>
      <c r="AF6" s="21" t="s">
        <v>6456</v>
      </c>
      <c r="AG6" s="1">
        <v>1</v>
      </c>
      <c r="AH6" s="21" t="s">
        <v>6456</v>
      </c>
      <c r="AI6" s="21" t="s">
        <v>6457</v>
      </c>
      <c r="AJ6" t="s">
        <v>6458</v>
      </c>
      <c r="AK6" s="1">
        <v>1</v>
      </c>
      <c r="AL6" s="1">
        <v>0</v>
      </c>
      <c r="AM6" t="s">
        <v>4360</v>
      </c>
      <c r="AN6" s="1">
        <v>1</v>
      </c>
      <c r="AO6" s="1">
        <v>10300000</v>
      </c>
      <c r="AP6" s="1">
        <v>280530</v>
      </c>
      <c r="AQ6" s="1">
        <v>0</v>
      </c>
      <c r="AR6" s="1">
        <v>10580530</v>
      </c>
      <c r="AS6" s="1">
        <v>10490000</v>
      </c>
      <c r="AT6" s="1">
        <v>-90530</v>
      </c>
      <c r="AU6" s="1">
        <v>-86</v>
      </c>
    </row>
    <row r="7" spans="1:47" ht="13.5" customHeight="1" x14ac:dyDescent="0.3">
      <c r="A7" s="1" t="s">
        <v>5554</v>
      </c>
      <c r="B7" s="1" t="s">
        <v>5555</v>
      </c>
      <c r="C7" s="1">
        <v>0</v>
      </c>
      <c r="D7" s="1">
        <v>0</v>
      </c>
      <c r="E7" t="s">
        <v>4360</v>
      </c>
      <c r="F7" t="s">
        <v>4360</v>
      </c>
      <c r="G7" t="s">
        <v>4360</v>
      </c>
      <c r="H7" t="s">
        <v>4360</v>
      </c>
      <c r="I7" s="21" t="s">
        <v>6483</v>
      </c>
      <c r="J7" t="s">
        <v>4360</v>
      </c>
      <c r="K7" s="1" t="s">
        <v>5603</v>
      </c>
      <c r="L7" s="1" t="s">
        <v>167</v>
      </c>
      <c r="M7" s="1" t="s">
        <v>178</v>
      </c>
      <c r="N7" s="1" t="s">
        <v>179</v>
      </c>
      <c r="O7" s="1" t="s">
        <v>5604</v>
      </c>
      <c r="P7" s="1">
        <v>2022</v>
      </c>
      <c r="Q7" s="1">
        <v>28000</v>
      </c>
      <c r="R7" s="1" t="s">
        <v>5605</v>
      </c>
      <c r="S7" s="1" t="s">
        <v>180</v>
      </c>
      <c r="T7" s="1" t="s">
        <v>5557</v>
      </c>
      <c r="U7" s="1" t="s">
        <v>5606</v>
      </c>
      <c r="V7" s="1" t="s">
        <v>5559</v>
      </c>
      <c r="W7" s="1">
        <v>21500000</v>
      </c>
      <c r="X7" s="1" t="s">
        <v>5560</v>
      </c>
      <c r="Y7" s="1">
        <v>273</v>
      </c>
      <c r="Z7" s="1" t="s">
        <v>28</v>
      </c>
      <c r="AA7" s="1" t="s">
        <v>5561</v>
      </c>
      <c r="AB7" s="1" t="s">
        <v>5607</v>
      </c>
      <c r="AC7" s="1" t="s">
        <v>5608</v>
      </c>
      <c r="AD7" s="1" t="s">
        <v>5603</v>
      </c>
      <c r="AE7" s="1" t="s">
        <v>5609</v>
      </c>
      <c r="AF7" s="21" t="s">
        <v>6484</v>
      </c>
      <c r="AG7" s="1">
        <v>1</v>
      </c>
      <c r="AH7" s="21" t="s">
        <v>6484</v>
      </c>
      <c r="AI7" s="21" t="s">
        <v>6485</v>
      </c>
      <c r="AJ7" t="s">
        <v>6226</v>
      </c>
      <c r="AK7" s="1">
        <v>1</v>
      </c>
      <c r="AL7" s="1">
        <v>0</v>
      </c>
      <c r="AM7" t="s">
        <v>4360</v>
      </c>
      <c r="AN7" s="1">
        <v>0</v>
      </c>
      <c r="AO7" s="1">
        <v>20000000</v>
      </c>
      <c r="AP7" s="1">
        <v>426030</v>
      </c>
      <c r="AQ7" s="1">
        <v>0</v>
      </c>
      <c r="AR7" s="1">
        <v>20426030</v>
      </c>
      <c r="AS7" s="1">
        <v>21500000</v>
      </c>
      <c r="AT7" s="1">
        <v>1073970</v>
      </c>
      <c r="AU7" s="1">
        <v>5</v>
      </c>
    </row>
    <row r="8" spans="1:47" ht="13.5" customHeight="1" x14ac:dyDescent="0.3">
      <c r="A8" s="1" t="s">
        <v>5554</v>
      </c>
      <c r="B8" s="1" t="s">
        <v>5589</v>
      </c>
      <c r="C8" s="1">
        <v>0</v>
      </c>
      <c r="D8" s="1">
        <v>0</v>
      </c>
      <c r="E8" t="s">
        <v>4360</v>
      </c>
      <c r="F8" t="s">
        <v>4360</v>
      </c>
      <c r="G8" t="s">
        <v>4360</v>
      </c>
      <c r="H8" t="s">
        <v>4360</v>
      </c>
      <c r="I8" s="21" t="s">
        <v>8823</v>
      </c>
      <c r="J8" t="s">
        <v>4360</v>
      </c>
      <c r="K8" s="1" t="s">
        <v>8824</v>
      </c>
      <c r="L8" s="1" t="s">
        <v>30</v>
      </c>
      <c r="M8" s="1" t="s">
        <v>45</v>
      </c>
      <c r="N8" s="1" t="s">
        <v>4460</v>
      </c>
      <c r="O8" s="1" t="s">
        <v>8825</v>
      </c>
      <c r="P8" s="1">
        <v>2022</v>
      </c>
      <c r="Q8" s="1">
        <v>93000</v>
      </c>
      <c r="R8" s="1" t="s">
        <v>8826</v>
      </c>
      <c r="S8" s="1" t="s">
        <v>8742</v>
      </c>
      <c r="T8" s="1" t="s">
        <v>5557</v>
      </c>
      <c r="U8" s="1" t="s">
        <v>5671</v>
      </c>
      <c r="V8" s="1" t="s">
        <v>5559</v>
      </c>
      <c r="W8" s="1">
        <v>11390000</v>
      </c>
      <c r="X8" s="1" t="s">
        <v>5560</v>
      </c>
      <c r="Y8" s="1">
        <v>1</v>
      </c>
      <c r="Z8" s="1" t="s">
        <v>17</v>
      </c>
      <c r="AA8" s="1" t="s">
        <v>5594</v>
      </c>
      <c r="AB8" s="1" t="s">
        <v>8827</v>
      </c>
      <c r="AC8" s="1" t="s">
        <v>8828</v>
      </c>
      <c r="AD8" s="1" t="s">
        <v>8829</v>
      </c>
      <c r="AE8" s="1" t="s">
        <v>8830</v>
      </c>
      <c r="AF8" s="21" t="s">
        <v>8831</v>
      </c>
      <c r="AG8" s="1">
        <v>1</v>
      </c>
      <c r="AH8" s="21" t="s">
        <v>8831</v>
      </c>
      <c r="AI8" s="21" t="s">
        <v>8832</v>
      </c>
      <c r="AJ8" s="21" t="s">
        <v>4360</v>
      </c>
      <c r="AK8" s="1">
        <v>2</v>
      </c>
      <c r="AL8" s="1">
        <v>0</v>
      </c>
      <c r="AM8" t="s">
        <v>4360</v>
      </c>
      <c r="AN8" s="1">
        <v>0</v>
      </c>
      <c r="AO8" s="1">
        <v>8800000</v>
      </c>
      <c r="AP8" s="1">
        <v>0</v>
      </c>
      <c r="AQ8" s="1">
        <v>0</v>
      </c>
      <c r="AR8" s="1">
        <v>8800000</v>
      </c>
      <c r="AS8" s="1">
        <v>11390000</v>
      </c>
      <c r="AT8" s="1">
        <v>2590000</v>
      </c>
      <c r="AU8" s="1">
        <v>2274</v>
      </c>
    </row>
    <row r="9" spans="1:47" ht="13.5" customHeight="1" x14ac:dyDescent="0.3">
      <c r="A9" s="1" t="s">
        <v>5554</v>
      </c>
      <c r="B9" s="1" t="s">
        <v>5589</v>
      </c>
      <c r="C9" s="1">
        <v>0</v>
      </c>
      <c r="D9" s="1">
        <v>0</v>
      </c>
      <c r="E9" t="s">
        <v>4360</v>
      </c>
      <c r="F9" t="s">
        <v>4360</v>
      </c>
      <c r="G9" t="s">
        <v>4360</v>
      </c>
      <c r="H9" t="s">
        <v>4360</v>
      </c>
      <c r="I9" s="21" t="s">
        <v>6294</v>
      </c>
      <c r="J9" t="s">
        <v>4360</v>
      </c>
      <c r="K9" s="1" t="s">
        <v>5858</v>
      </c>
      <c r="L9" s="1" t="s">
        <v>181</v>
      </c>
      <c r="M9" s="1" t="s">
        <v>185</v>
      </c>
      <c r="N9" s="1" t="s">
        <v>186</v>
      </c>
      <c r="O9" s="1" t="s">
        <v>5859</v>
      </c>
      <c r="P9" s="1">
        <v>2023</v>
      </c>
      <c r="Q9" s="1">
        <v>40695</v>
      </c>
      <c r="R9" s="1" t="s">
        <v>5860</v>
      </c>
      <c r="S9" s="1" t="s">
        <v>187</v>
      </c>
      <c r="T9" s="1" t="s">
        <v>5557</v>
      </c>
      <c r="U9" s="1" t="s">
        <v>5861</v>
      </c>
      <c r="V9" s="1" t="s">
        <v>5559</v>
      </c>
      <c r="W9" s="1">
        <v>12790000</v>
      </c>
      <c r="X9" s="1" t="s">
        <v>5560</v>
      </c>
      <c r="Y9" s="1">
        <v>263</v>
      </c>
      <c r="Z9" s="1" t="s">
        <v>43</v>
      </c>
      <c r="AA9" s="1" t="s">
        <v>5594</v>
      </c>
      <c r="AB9" s="1" t="s">
        <v>4360</v>
      </c>
      <c r="AC9" s="1" t="s">
        <v>5862</v>
      </c>
      <c r="AD9" s="1" t="s">
        <v>5863</v>
      </c>
      <c r="AE9" s="1" t="s">
        <v>5864</v>
      </c>
      <c r="AF9" s="21" t="s">
        <v>6295</v>
      </c>
      <c r="AG9" s="1">
        <v>1</v>
      </c>
      <c r="AH9" s="21" t="s">
        <v>6295</v>
      </c>
      <c r="AI9" s="21" t="s">
        <v>6296</v>
      </c>
      <c r="AJ9" t="s">
        <v>4360</v>
      </c>
      <c r="AK9" s="1">
        <v>3</v>
      </c>
      <c r="AL9" s="1">
        <v>0</v>
      </c>
      <c r="AM9" t="s">
        <v>4360</v>
      </c>
      <c r="AN9" s="1">
        <v>0</v>
      </c>
      <c r="AO9" s="1">
        <v>10600000</v>
      </c>
      <c r="AP9" s="1">
        <v>285030</v>
      </c>
      <c r="AQ9" s="1">
        <v>0</v>
      </c>
      <c r="AR9" s="1">
        <v>10885030</v>
      </c>
      <c r="AS9" s="1">
        <v>12790000</v>
      </c>
      <c r="AT9" s="1">
        <v>1904970</v>
      </c>
      <c r="AU9" s="1">
        <v>1489</v>
      </c>
    </row>
    <row r="10" spans="1:47" ht="13.5" customHeight="1" x14ac:dyDescent="0.3">
      <c r="A10" s="1" t="s">
        <v>5554</v>
      </c>
      <c r="B10" s="1" t="s">
        <v>5555</v>
      </c>
      <c r="C10" s="1">
        <v>0</v>
      </c>
      <c r="D10" s="1">
        <v>0</v>
      </c>
      <c r="E10" t="s">
        <v>4360</v>
      </c>
      <c r="F10" t="s">
        <v>4360</v>
      </c>
      <c r="G10" t="s">
        <v>4360</v>
      </c>
      <c r="H10" t="s">
        <v>4360</v>
      </c>
      <c r="I10" s="21" t="s">
        <v>6459</v>
      </c>
      <c r="J10" t="s">
        <v>4360</v>
      </c>
      <c r="K10" s="1" t="s">
        <v>6460</v>
      </c>
      <c r="L10" s="1" t="s">
        <v>93</v>
      </c>
      <c r="M10" s="1" t="s">
        <v>4252</v>
      </c>
      <c r="N10" s="1" t="s">
        <v>6461</v>
      </c>
      <c r="O10" s="1" t="s">
        <v>6462</v>
      </c>
      <c r="P10" s="1">
        <v>2025</v>
      </c>
      <c r="Q10" s="1">
        <v>24000</v>
      </c>
      <c r="R10" s="1" t="s">
        <v>6463</v>
      </c>
      <c r="S10" s="1" t="s">
        <v>4253</v>
      </c>
      <c r="T10" s="1" t="s">
        <v>5557</v>
      </c>
      <c r="U10" s="1" t="s">
        <v>5835</v>
      </c>
      <c r="V10" s="1" t="s">
        <v>5559</v>
      </c>
      <c r="W10" s="1">
        <v>22990000</v>
      </c>
      <c r="X10" s="1" t="s">
        <v>5560</v>
      </c>
      <c r="Y10" s="1">
        <v>8</v>
      </c>
      <c r="Z10" s="1" t="s">
        <v>17</v>
      </c>
      <c r="AA10" s="1" t="s">
        <v>5561</v>
      </c>
      <c r="AB10" t="s">
        <v>4360</v>
      </c>
      <c r="AC10" s="1" t="s">
        <v>6464</v>
      </c>
      <c r="AD10" s="1" t="s">
        <v>6460</v>
      </c>
      <c r="AE10" s="1" t="s">
        <v>6465</v>
      </c>
      <c r="AF10" s="21" t="s">
        <v>6266</v>
      </c>
      <c r="AG10" s="1">
        <v>1</v>
      </c>
      <c r="AH10" s="21" t="s">
        <v>6266</v>
      </c>
      <c r="AI10" s="21" t="s">
        <v>6466</v>
      </c>
      <c r="AJ10" t="s">
        <v>4360</v>
      </c>
      <c r="AK10" s="1">
        <v>3</v>
      </c>
      <c r="AL10" s="1">
        <v>0</v>
      </c>
      <c r="AM10" t="s">
        <v>4360</v>
      </c>
      <c r="AN10" s="1">
        <v>0</v>
      </c>
      <c r="AO10" s="1">
        <v>20000000</v>
      </c>
      <c r="AP10" s="1">
        <v>0</v>
      </c>
      <c r="AQ10" s="1">
        <v>0</v>
      </c>
      <c r="AR10" s="1">
        <v>20000000</v>
      </c>
      <c r="AS10" s="1">
        <v>22990000</v>
      </c>
      <c r="AT10" s="1">
        <v>2990000</v>
      </c>
      <c r="AU10" s="1">
        <v>1301</v>
      </c>
    </row>
    <row r="11" spans="1:47" ht="13.5" customHeight="1" x14ac:dyDescent="0.3">
      <c r="A11" s="1" t="s">
        <v>5554</v>
      </c>
      <c r="B11" s="1" t="s">
        <v>5555</v>
      </c>
      <c r="C11" s="1">
        <v>0</v>
      </c>
      <c r="D11" s="1">
        <v>0</v>
      </c>
      <c r="E11" t="s">
        <v>4360</v>
      </c>
      <c r="F11" t="s">
        <v>4360</v>
      </c>
      <c r="G11" t="s">
        <v>4360</v>
      </c>
      <c r="H11" t="s">
        <v>4360</v>
      </c>
      <c r="I11" s="21" t="s">
        <v>6520</v>
      </c>
      <c r="J11" t="s">
        <v>4360</v>
      </c>
      <c r="K11" s="1" t="s">
        <v>6107</v>
      </c>
      <c r="L11" s="1" t="s">
        <v>72</v>
      </c>
      <c r="M11" s="1" t="s">
        <v>4546</v>
      </c>
      <c r="N11" s="1" t="s">
        <v>77</v>
      </c>
      <c r="O11" s="1" t="s">
        <v>6108</v>
      </c>
      <c r="P11" s="1">
        <v>2023</v>
      </c>
      <c r="Q11" s="1">
        <v>75442</v>
      </c>
      <c r="R11" s="1" t="s">
        <v>6109</v>
      </c>
      <c r="S11" s="1" t="s">
        <v>78</v>
      </c>
      <c r="T11" s="1" t="s">
        <v>5557</v>
      </c>
      <c r="U11" s="1" t="s">
        <v>5606</v>
      </c>
      <c r="V11" s="1" t="s">
        <v>5559</v>
      </c>
      <c r="W11" s="1">
        <v>8890000</v>
      </c>
      <c r="X11" s="1" t="s">
        <v>5560</v>
      </c>
      <c r="Y11" s="1">
        <v>34</v>
      </c>
      <c r="Z11" s="1" t="s">
        <v>22</v>
      </c>
      <c r="AA11" s="1" t="s">
        <v>5561</v>
      </c>
      <c r="AB11" s="1" t="s">
        <v>6110</v>
      </c>
      <c r="AC11" s="1" t="s">
        <v>6111</v>
      </c>
      <c r="AD11" s="1" t="s">
        <v>6107</v>
      </c>
      <c r="AE11" s="1" t="s">
        <v>6112</v>
      </c>
      <c r="AF11" s="21" t="s">
        <v>6406</v>
      </c>
      <c r="AG11" s="1">
        <v>1</v>
      </c>
      <c r="AH11" s="21" t="s">
        <v>6406</v>
      </c>
      <c r="AI11" s="21" t="s">
        <v>6521</v>
      </c>
      <c r="AJ11" t="s">
        <v>4360</v>
      </c>
      <c r="AK11" s="1">
        <v>1</v>
      </c>
      <c r="AL11" s="1">
        <v>0</v>
      </c>
      <c r="AM11" t="s">
        <v>4360</v>
      </c>
      <c r="AN11" s="1">
        <v>0</v>
      </c>
      <c r="AO11" s="1">
        <v>6900000</v>
      </c>
      <c r="AP11" s="1">
        <v>232740</v>
      </c>
      <c r="AQ11" s="1">
        <v>0</v>
      </c>
      <c r="AR11" s="1">
        <v>7132740</v>
      </c>
      <c r="AS11" s="1">
        <v>8890000</v>
      </c>
      <c r="AT11" s="1">
        <v>1757260</v>
      </c>
      <c r="AU11" s="1">
        <v>1977</v>
      </c>
    </row>
    <row r="12" spans="1:47" ht="13.5" customHeight="1" x14ac:dyDescent="0.3">
      <c r="A12" s="1" t="s">
        <v>5554</v>
      </c>
      <c r="B12" s="1" t="s">
        <v>5555</v>
      </c>
      <c r="C12" s="1">
        <v>0</v>
      </c>
      <c r="D12" s="1">
        <v>0</v>
      </c>
      <c r="E12" t="s">
        <v>4360</v>
      </c>
      <c r="F12" t="s">
        <v>4360</v>
      </c>
      <c r="G12" t="s">
        <v>4360</v>
      </c>
      <c r="H12" t="s">
        <v>4360</v>
      </c>
      <c r="I12" s="21" t="s">
        <v>6444</v>
      </c>
      <c r="J12" t="s">
        <v>4360</v>
      </c>
      <c r="K12" s="1" t="s">
        <v>5820</v>
      </c>
      <c r="L12" s="1" t="s">
        <v>167</v>
      </c>
      <c r="M12" s="1" t="s">
        <v>167</v>
      </c>
      <c r="N12" s="1" t="s">
        <v>172</v>
      </c>
      <c r="O12" s="1" t="s">
        <v>5821</v>
      </c>
      <c r="P12" s="1">
        <v>2024</v>
      </c>
      <c r="Q12" s="1">
        <v>58500</v>
      </c>
      <c r="R12" s="1" t="s">
        <v>5822</v>
      </c>
      <c r="S12" s="1" t="s">
        <v>173</v>
      </c>
      <c r="T12" s="1" t="s">
        <v>5557</v>
      </c>
      <c r="U12" s="1" t="s">
        <v>5663</v>
      </c>
      <c r="V12" s="1" t="s">
        <v>5559</v>
      </c>
      <c r="W12" s="1">
        <v>26390000</v>
      </c>
      <c r="X12" s="1" t="s">
        <v>5560</v>
      </c>
      <c r="Y12" s="1">
        <v>146</v>
      </c>
      <c r="Z12" s="1" t="s">
        <v>28</v>
      </c>
      <c r="AA12" s="1" t="s">
        <v>5561</v>
      </c>
      <c r="AB12" s="1" t="s">
        <v>5823</v>
      </c>
      <c r="AC12" s="1" t="s">
        <v>5824</v>
      </c>
      <c r="AD12" s="1" t="s">
        <v>5825</v>
      </c>
      <c r="AE12" s="1" t="s">
        <v>5826</v>
      </c>
      <c r="AF12" s="21" t="s">
        <v>6445</v>
      </c>
      <c r="AG12" s="1">
        <v>1</v>
      </c>
      <c r="AH12" s="21" t="s">
        <v>6445</v>
      </c>
      <c r="AI12" s="21" t="s">
        <v>6446</v>
      </c>
      <c r="AJ12" t="s">
        <v>4360</v>
      </c>
      <c r="AK12" s="1">
        <v>1</v>
      </c>
      <c r="AL12" s="1">
        <v>0</v>
      </c>
      <c r="AM12" t="s">
        <v>4360</v>
      </c>
      <c r="AN12" s="1">
        <v>0</v>
      </c>
      <c r="AO12" s="1">
        <v>23500000</v>
      </c>
      <c r="AP12" s="1">
        <v>903834</v>
      </c>
      <c r="AQ12" s="1">
        <v>0</v>
      </c>
      <c r="AR12" s="1">
        <v>24403834</v>
      </c>
      <c r="AS12" s="1">
        <v>26390000</v>
      </c>
      <c r="AT12" s="1">
        <v>1986166</v>
      </c>
      <c r="AU12" s="1">
        <v>753</v>
      </c>
    </row>
    <row r="13" spans="1:47" ht="13.5" customHeight="1" x14ac:dyDescent="0.3">
      <c r="A13" s="1" t="s">
        <v>5554</v>
      </c>
      <c r="B13" s="1" t="s">
        <v>5555</v>
      </c>
      <c r="C13" s="1">
        <v>0</v>
      </c>
      <c r="D13" s="1">
        <v>0</v>
      </c>
      <c r="E13" t="s">
        <v>4360</v>
      </c>
      <c r="F13" t="s">
        <v>4360</v>
      </c>
      <c r="G13" t="s">
        <v>4360</v>
      </c>
      <c r="H13" t="s">
        <v>4360</v>
      </c>
      <c r="I13" s="21" t="s">
        <v>6305</v>
      </c>
      <c r="J13" t="s">
        <v>4360</v>
      </c>
      <c r="K13" s="1" t="s">
        <v>6015</v>
      </c>
      <c r="L13" s="1" t="s">
        <v>303</v>
      </c>
      <c r="M13" s="1" t="s">
        <v>304</v>
      </c>
      <c r="N13" s="1" t="s">
        <v>305</v>
      </c>
      <c r="O13" s="1" t="s">
        <v>6016</v>
      </c>
      <c r="P13" s="1">
        <v>2023</v>
      </c>
      <c r="Q13" s="1">
        <v>33892</v>
      </c>
      <c r="R13" s="1" t="s">
        <v>6017</v>
      </c>
      <c r="S13" s="1" t="s">
        <v>306</v>
      </c>
      <c r="T13" s="1" t="s">
        <v>5557</v>
      </c>
      <c r="U13" s="1" t="s">
        <v>5606</v>
      </c>
      <c r="V13" s="1" t="s">
        <v>5559</v>
      </c>
      <c r="W13" s="1">
        <v>29490000</v>
      </c>
      <c r="X13" s="1" t="s">
        <v>5560</v>
      </c>
      <c r="Y13" s="1">
        <v>161</v>
      </c>
      <c r="Z13" s="1" t="s">
        <v>28</v>
      </c>
      <c r="AA13" s="1" t="s">
        <v>5561</v>
      </c>
      <c r="AB13" t="s">
        <v>5595</v>
      </c>
      <c r="AC13" s="1" t="s">
        <v>6018</v>
      </c>
      <c r="AD13" s="1" t="s">
        <v>6015</v>
      </c>
      <c r="AE13" s="1" t="s">
        <v>6019</v>
      </c>
      <c r="AF13" s="21" t="s">
        <v>6306</v>
      </c>
      <c r="AG13" s="1">
        <v>1</v>
      </c>
      <c r="AH13" s="22" t="s">
        <v>6306</v>
      </c>
      <c r="AI13" s="22" t="s">
        <v>6307</v>
      </c>
      <c r="AJ13" s="21" t="s">
        <v>6308</v>
      </c>
      <c r="AK13" s="1">
        <v>1</v>
      </c>
      <c r="AL13" s="1">
        <v>0</v>
      </c>
      <c r="AM13" t="s">
        <v>4360</v>
      </c>
      <c r="AN13" s="1">
        <v>0</v>
      </c>
      <c r="AO13" s="1">
        <v>26200000</v>
      </c>
      <c r="AP13" s="1">
        <v>519030</v>
      </c>
      <c r="AQ13" s="1">
        <v>0</v>
      </c>
      <c r="AR13" s="1">
        <v>26719030</v>
      </c>
      <c r="AS13" s="1">
        <v>29490000</v>
      </c>
      <c r="AT13" s="1">
        <v>2770970</v>
      </c>
      <c r="AU13" s="1">
        <v>94</v>
      </c>
    </row>
    <row r="14" spans="1:47" ht="13.5" customHeight="1" x14ac:dyDescent="0.3">
      <c r="A14" s="1" t="s">
        <v>5554</v>
      </c>
      <c r="B14" s="1" t="s">
        <v>5555</v>
      </c>
      <c r="C14" s="1">
        <v>0</v>
      </c>
      <c r="D14" s="1">
        <v>0</v>
      </c>
      <c r="E14" t="s">
        <v>4360</v>
      </c>
      <c r="F14" t="s">
        <v>4360</v>
      </c>
      <c r="G14" t="s">
        <v>4360</v>
      </c>
      <c r="H14" t="s">
        <v>4360</v>
      </c>
      <c r="I14" s="21" t="s">
        <v>8833</v>
      </c>
      <c r="J14" t="s">
        <v>4360</v>
      </c>
      <c r="K14" s="1" t="s">
        <v>8834</v>
      </c>
      <c r="L14" s="1" t="s">
        <v>72</v>
      </c>
      <c r="M14" s="1" t="s">
        <v>8835</v>
      </c>
      <c r="N14" s="1" t="s">
        <v>8836</v>
      </c>
      <c r="O14" s="1" t="s">
        <v>8837</v>
      </c>
      <c r="P14" s="1">
        <v>2026</v>
      </c>
      <c r="Q14" s="1">
        <v>598</v>
      </c>
      <c r="R14" s="1" t="s">
        <v>8838</v>
      </c>
      <c r="S14" s="1" t="s">
        <v>6673</v>
      </c>
      <c r="T14" s="1" t="s">
        <v>5557</v>
      </c>
      <c r="U14" s="1" t="s">
        <v>6160</v>
      </c>
      <c r="V14" s="1" t="s">
        <v>5559</v>
      </c>
      <c r="W14" s="1">
        <v>18990000</v>
      </c>
      <c r="X14" s="1" t="s">
        <v>5560</v>
      </c>
      <c r="Y14" s="1">
        <v>3</v>
      </c>
      <c r="Z14" s="1" t="s">
        <v>17</v>
      </c>
      <c r="AA14" s="1" t="s">
        <v>5561</v>
      </c>
      <c r="AB14" t="s">
        <v>5562</v>
      </c>
      <c r="AC14" s="1" t="s">
        <v>8839</v>
      </c>
      <c r="AD14" s="1" t="s">
        <v>8834</v>
      </c>
      <c r="AE14" s="1" t="s">
        <v>5845</v>
      </c>
      <c r="AF14" s="21" t="s">
        <v>8840</v>
      </c>
      <c r="AG14" s="1">
        <v>1</v>
      </c>
      <c r="AH14" t="s">
        <v>8840</v>
      </c>
      <c r="AI14" t="s">
        <v>8841</v>
      </c>
      <c r="AJ14" s="21" t="s">
        <v>4360</v>
      </c>
      <c r="AK14" s="1">
        <v>1</v>
      </c>
      <c r="AL14" s="1">
        <v>0</v>
      </c>
      <c r="AM14" t="s">
        <v>4360</v>
      </c>
      <c r="AN14" s="1">
        <v>0</v>
      </c>
      <c r="AO14" s="1">
        <v>16500000</v>
      </c>
      <c r="AP14" s="1">
        <v>0</v>
      </c>
      <c r="AQ14" s="1">
        <v>0</v>
      </c>
      <c r="AR14" s="1">
        <v>16500000</v>
      </c>
      <c r="AS14" s="1">
        <v>18990000</v>
      </c>
      <c r="AT14" s="1">
        <v>2490000</v>
      </c>
      <c r="AU14" s="1">
        <v>1311</v>
      </c>
    </row>
    <row r="15" spans="1:47" ht="13.5" customHeight="1" x14ac:dyDescent="0.3">
      <c r="A15" s="1" t="s">
        <v>5554</v>
      </c>
      <c r="B15" s="1" t="s">
        <v>5589</v>
      </c>
      <c r="C15" s="1">
        <v>0</v>
      </c>
      <c r="D15" s="1">
        <v>0</v>
      </c>
      <c r="E15" t="s">
        <v>4360</v>
      </c>
      <c r="F15" t="s">
        <v>4360</v>
      </c>
      <c r="G15" t="s">
        <v>4360</v>
      </c>
      <c r="H15" t="s">
        <v>4360</v>
      </c>
      <c r="I15" s="21" t="s">
        <v>8842</v>
      </c>
      <c r="J15" t="s">
        <v>4360</v>
      </c>
      <c r="K15" s="1" t="s">
        <v>8843</v>
      </c>
      <c r="L15" s="1" t="s">
        <v>93</v>
      </c>
      <c r="M15" s="1" t="s">
        <v>105</v>
      </c>
      <c r="N15" s="1" t="s">
        <v>4619</v>
      </c>
      <c r="O15" s="1" t="s">
        <v>8844</v>
      </c>
      <c r="P15" s="1">
        <v>2018</v>
      </c>
      <c r="Q15" s="1">
        <v>66252</v>
      </c>
      <c r="R15" s="1" t="s">
        <v>8845</v>
      </c>
      <c r="S15" s="1" t="s">
        <v>4239</v>
      </c>
      <c r="T15" s="1" t="s">
        <v>5557</v>
      </c>
      <c r="U15" s="1" t="s">
        <v>6007</v>
      </c>
      <c r="V15" s="1" t="s">
        <v>5559</v>
      </c>
      <c r="W15" s="1">
        <v>10490000</v>
      </c>
      <c r="X15" s="1" t="s">
        <v>5560</v>
      </c>
      <c r="Y15" s="1">
        <v>3</v>
      </c>
      <c r="Z15" s="1" t="s">
        <v>17</v>
      </c>
      <c r="AA15" s="1" t="s">
        <v>5594</v>
      </c>
      <c r="AB15" t="s">
        <v>5562</v>
      </c>
      <c r="AC15" s="1" t="s">
        <v>8846</v>
      </c>
      <c r="AD15" s="1" t="s">
        <v>8843</v>
      </c>
      <c r="AE15" s="1" t="s">
        <v>8847</v>
      </c>
      <c r="AF15" s="21" t="s">
        <v>8840</v>
      </c>
      <c r="AG15" s="1">
        <v>1</v>
      </c>
      <c r="AH15" t="s">
        <v>8840</v>
      </c>
      <c r="AI15" t="s">
        <v>8848</v>
      </c>
      <c r="AJ15" s="21" t="s">
        <v>8849</v>
      </c>
      <c r="AK15" s="1">
        <v>1</v>
      </c>
      <c r="AL15" s="1">
        <v>0</v>
      </c>
      <c r="AM15" t="s">
        <v>4360</v>
      </c>
      <c r="AN15" s="1">
        <v>0</v>
      </c>
      <c r="AO15" s="1">
        <v>8600000</v>
      </c>
      <c r="AP15" s="1">
        <v>0</v>
      </c>
      <c r="AQ15" s="1">
        <v>0</v>
      </c>
      <c r="AR15" s="1">
        <v>8600000</v>
      </c>
      <c r="AS15" s="1">
        <v>10490000</v>
      </c>
      <c r="AT15" s="1">
        <v>1890000</v>
      </c>
      <c r="AU15" s="1">
        <v>1802</v>
      </c>
    </row>
    <row r="16" spans="1:47" ht="13.5" customHeight="1" x14ac:dyDescent="0.3">
      <c r="A16" s="1" t="s">
        <v>5554</v>
      </c>
      <c r="B16" s="1" t="s">
        <v>5555</v>
      </c>
      <c r="C16" s="1">
        <v>0</v>
      </c>
      <c r="D16" s="1">
        <v>0</v>
      </c>
      <c r="E16" t="s">
        <v>4360</v>
      </c>
      <c r="F16" t="s">
        <v>4360</v>
      </c>
      <c r="G16" t="s">
        <v>4360</v>
      </c>
      <c r="H16" t="s">
        <v>4360</v>
      </c>
      <c r="I16" s="21" t="s">
        <v>8850</v>
      </c>
      <c r="J16" t="s">
        <v>4360</v>
      </c>
      <c r="K16" s="1" t="s">
        <v>8851</v>
      </c>
      <c r="L16" s="1" t="s">
        <v>195</v>
      </c>
      <c r="M16" s="1" t="s">
        <v>196</v>
      </c>
      <c r="N16" s="1" t="s">
        <v>4845</v>
      </c>
      <c r="O16" s="1" t="s">
        <v>8852</v>
      </c>
      <c r="P16" s="1">
        <v>2018</v>
      </c>
      <c r="Q16" s="1">
        <v>105000</v>
      </c>
      <c r="R16" s="1" t="s">
        <v>8853</v>
      </c>
      <c r="S16" s="1" t="s">
        <v>3832</v>
      </c>
      <c r="T16" s="1" t="s">
        <v>5557</v>
      </c>
      <c r="U16" s="1" t="s">
        <v>6035</v>
      </c>
      <c r="V16" s="1" t="s">
        <v>5559</v>
      </c>
      <c r="W16" s="1">
        <v>8990000</v>
      </c>
      <c r="X16" s="1" t="s">
        <v>5560</v>
      </c>
      <c r="Y16" s="1">
        <v>3</v>
      </c>
      <c r="Z16" s="1" t="s">
        <v>17</v>
      </c>
      <c r="AA16" s="1" t="s">
        <v>5561</v>
      </c>
      <c r="AB16" t="s">
        <v>8827</v>
      </c>
      <c r="AC16" s="1" t="s">
        <v>8854</v>
      </c>
      <c r="AD16" s="1" t="s">
        <v>8851</v>
      </c>
      <c r="AE16" s="1" t="s">
        <v>8855</v>
      </c>
      <c r="AF16" s="21" t="s">
        <v>8840</v>
      </c>
      <c r="AG16" s="1">
        <v>1</v>
      </c>
      <c r="AH16" t="s">
        <v>8840</v>
      </c>
      <c r="AI16" t="s">
        <v>8856</v>
      </c>
      <c r="AJ16" s="21" t="s">
        <v>8857</v>
      </c>
      <c r="AK16" s="1">
        <v>3</v>
      </c>
      <c r="AL16" s="1">
        <v>0</v>
      </c>
      <c r="AM16" t="s">
        <v>4360</v>
      </c>
      <c r="AN16" s="1">
        <v>0</v>
      </c>
      <c r="AO16" s="1">
        <v>7600000</v>
      </c>
      <c r="AP16" s="1">
        <v>0</v>
      </c>
      <c r="AQ16" s="1">
        <v>0</v>
      </c>
      <c r="AR16" s="1">
        <v>7600000</v>
      </c>
      <c r="AS16" s="1">
        <v>8990000</v>
      </c>
      <c r="AT16" s="1">
        <v>1390000</v>
      </c>
      <c r="AU16" s="1">
        <v>1546</v>
      </c>
    </row>
    <row r="17" spans="1:47" ht="13.5" customHeight="1" x14ac:dyDescent="0.3">
      <c r="A17" s="1" t="s">
        <v>5554</v>
      </c>
      <c r="B17" s="1" t="s">
        <v>5555</v>
      </c>
      <c r="C17" s="1">
        <v>0</v>
      </c>
      <c r="D17" s="1">
        <v>0</v>
      </c>
      <c r="E17" t="s">
        <v>4360</v>
      </c>
      <c r="F17" t="s">
        <v>4360</v>
      </c>
      <c r="G17" t="s">
        <v>4360</v>
      </c>
      <c r="H17" t="s">
        <v>4360</v>
      </c>
      <c r="I17" s="21" t="s">
        <v>6644</v>
      </c>
      <c r="J17" t="s">
        <v>4360</v>
      </c>
      <c r="K17" s="1" t="s">
        <v>5946</v>
      </c>
      <c r="L17" s="1" t="s">
        <v>201</v>
      </c>
      <c r="M17" s="1" t="s">
        <v>209</v>
      </c>
      <c r="N17" s="1" t="s">
        <v>210</v>
      </c>
      <c r="O17" s="1" t="s">
        <v>5947</v>
      </c>
      <c r="P17" s="1">
        <v>2024</v>
      </c>
      <c r="Q17" s="1">
        <v>43000</v>
      </c>
      <c r="R17" s="1" t="s">
        <v>5948</v>
      </c>
      <c r="S17" s="1" t="s">
        <v>211</v>
      </c>
      <c r="T17" s="1" t="s">
        <v>5557</v>
      </c>
      <c r="U17" s="1" t="s">
        <v>5630</v>
      </c>
      <c r="V17" s="1" t="s">
        <v>5559</v>
      </c>
      <c r="W17" s="1">
        <v>19990000</v>
      </c>
      <c r="X17" s="1" t="s">
        <v>5560</v>
      </c>
      <c r="Y17" s="1">
        <v>104</v>
      </c>
      <c r="Z17" s="1" t="s">
        <v>28</v>
      </c>
      <c r="AA17" s="1" t="s">
        <v>5561</v>
      </c>
      <c r="AB17" t="s">
        <v>5931</v>
      </c>
      <c r="AC17" s="1" t="s">
        <v>5949</v>
      </c>
      <c r="AD17" s="1" t="s">
        <v>5946</v>
      </c>
      <c r="AE17" s="1" t="s">
        <v>5950</v>
      </c>
      <c r="AF17" s="21" t="s">
        <v>6328</v>
      </c>
      <c r="AG17" s="1">
        <v>1</v>
      </c>
      <c r="AH17" s="21" t="s">
        <v>6328</v>
      </c>
      <c r="AI17" s="21" t="s">
        <v>6645</v>
      </c>
      <c r="AJ17" t="s">
        <v>4360</v>
      </c>
      <c r="AK17" s="1">
        <v>0</v>
      </c>
      <c r="AL17" s="1">
        <v>0</v>
      </c>
      <c r="AM17" t="s">
        <v>4360</v>
      </c>
      <c r="AN17" s="1">
        <v>0</v>
      </c>
      <c r="AO17" s="1">
        <v>17750000</v>
      </c>
      <c r="AP17" s="1">
        <v>392280</v>
      </c>
      <c r="AQ17" s="1">
        <v>0</v>
      </c>
      <c r="AR17" s="1">
        <v>18142280</v>
      </c>
      <c r="AS17" s="1">
        <v>19990000</v>
      </c>
      <c r="AT17" s="1">
        <v>1847720</v>
      </c>
      <c r="AU17" s="1">
        <v>924</v>
      </c>
    </row>
    <row r="18" spans="1:47" ht="13.5" customHeight="1" x14ac:dyDescent="0.3">
      <c r="A18" s="1" t="s">
        <v>5554</v>
      </c>
      <c r="B18" s="1" t="s">
        <v>5589</v>
      </c>
      <c r="C18" s="1">
        <v>0</v>
      </c>
      <c r="D18" s="1">
        <v>0</v>
      </c>
      <c r="E18" t="s">
        <v>4360</v>
      </c>
      <c r="F18" t="s">
        <v>4360</v>
      </c>
      <c r="G18" t="s">
        <v>4360</v>
      </c>
      <c r="H18" t="s">
        <v>4360</v>
      </c>
      <c r="I18" s="21" t="s">
        <v>8858</v>
      </c>
      <c r="J18" t="s">
        <v>4360</v>
      </c>
      <c r="K18" s="1" t="s">
        <v>8859</v>
      </c>
      <c r="L18" s="1" t="s">
        <v>236</v>
      </c>
      <c r="M18" s="1" t="s">
        <v>5052</v>
      </c>
      <c r="N18" s="1" t="s">
        <v>5053</v>
      </c>
      <c r="O18" s="1" t="s">
        <v>8860</v>
      </c>
      <c r="P18" s="1">
        <v>2023</v>
      </c>
      <c r="Q18" s="1">
        <v>67096</v>
      </c>
      <c r="R18" s="1" t="s">
        <v>8861</v>
      </c>
      <c r="S18" s="1" t="s">
        <v>6669</v>
      </c>
      <c r="T18" s="1" t="s">
        <v>5557</v>
      </c>
      <c r="U18" s="1" t="s">
        <v>8862</v>
      </c>
      <c r="V18" s="1" t="s">
        <v>5559</v>
      </c>
      <c r="W18" s="1">
        <v>22990000</v>
      </c>
      <c r="X18" s="1" t="s">
        <v>5560</v>
      </c>
      <c r="Y18" s="1">
        <v>1</v>
      </c>
      <c r="Z18" s="1" t="s">
        <v>17</v>
      </c>
      <c r="AA18" s="1" t="s">
        <v>5594</v>
      </c>
      <c r="AB18" s="1" t="s">
        <v>5586</v>
      </c>
      <c r="AC18" s="1" t="s">
        <v>8863</v>
      </c>
      <c r="AD18" s="1" t="s">
        <v>8859</v>
      </c>
      <c r="AE18" s="1" t="s">
        <v>8864</v>
      </c>
      <c r="AF18" s="21" t="s">
        <v>8831</v>
      </c>
      <c r="AG18" s="1">
        <v>1</v>
      </c>
      <c r="AH18" s="21" t="s">
        <v>8831</v>
      </c>
      <c r="AI18" s="21" t="s">
        <v>8865</v>
      </c>
      <c r="AJ18" t="s">
        <v>4360</v>
      </c>
      <c r="AK18" s="1">
        <v>1</v>
      </c>
      <c r="AL18" s="1">
        <v>0</v>
      </c>
      <c r="AM18" t="s">
        <v>4360</v>
      </c>
      <c r="AN18" s="1">
        <v>0</v>
      </c>
      <c r="AO18" s="1">
        <v>18300000</v>
      </c>
      <c r="AP18" s="1">
        <v>0</v>
      </c>
      <c r="AQ18" s="1">
        <v>0</v>
      </c>
      <c r="AR18" s="1">
        <v>18300000</v>
      </c>
      <c r="AS18" s="1">
        <v>22990000</v>
      </c>
      <c r="AT18" s="1">
        <v>4690000</v>
      </c>
      <c r="AU18" s="1">
        <v>204</v>
      </c>
    </row>
    <row r="19" spans="1:47" ht="13.5" customHeight="1" x14ac:dyDescent="0.3">
      <c r="A19" s="1" t="s">
        <v>5554</v>
      </c>
      <c r="B19" s="1" t="s">
        <v>5555</v>
      </c>
      <c r="C19" s="1">
        <v>0</v>
      </c>
      <c r="D19" s="1">
        <v>0</v>
      </c>
      <c r="E19" t="s">
        <v>4360</v>
      </c>
      <c r="F19" t="s">
        <v>4360</v>
      </c>
      <c r="G19" t="s">
        <v>4360</v>
      </c>
      <c r="H19" t="s">
        <v>4360</v>
      </c>
      <c r="I19" s="21" t="s">
        <v>6437</v>
      </c>
      <c r="J19" t="s">
        <v>4360</v>
      </c>
      <c r="K19" s="1" t="s">
        <v>6066</v>
      </c>
      <c r="L19" s="1" t="s">
        <v>339</v>
      </c>
      <c r="M19" s="1" t="s">
        <v>343</v>
      </c>
      <c r="N19" s="1" t="s">
        <v>344</v>
      </c>
      <c r="O19" s="1" t="s">
        <v>6067</v>
      </c>
      <c r="P19" s="1">
        <v>2024</v>
      </c>
      <c r="Q19" s="1">
        <v>31107</v>
      </c>
      <c r="R19" s="1" t="s">
        <v>6068</v>
      </c>
      <c r="S19" s="1" t="s">
        <v>345</v>
      </c>
      <c r="T19" s="1" t="s">
        <v>5557</v>
      </c>
      <c r="U19" s="1" t="s">
        <v>6069</v>
      </c>
      <c r="V19" s="1" t="s">
        <v>5559</v>
      </c>
      <c r="W19" s="1">
        <v>11590000</v>
      </c>
      <c r="X19" s="1" t="s">
        <v>5560</v>
      </c>
      <c r="Y19" s="1">
        <v>35</v>
      </c>
      <c r="Z19" s="1" t="s">
        <v>22</v>
      </c>
      <c r="AA19" s="1" t="s">
        <v>5561</v>
      </c>
      <c r="AB19" s="1" t="s">
        <v>6070</v>
      </c>
      <c r="AC19" s="1" t="s">
        <v>6071</v>
      </c>
      <c r="AD19" s="1" t="s">
        <v>6072</v>
      </c>
      <c r="AE19" s="1" t="s">
        <v>6073</v>
      </c>
      <c r="AF19" s="21" t="s">
        <v>6374</v>
      </c>
      <c r="AG19" s="1">
        <v>1</v>
      </c>
      <c r="AH19" s="21" t="s">
        <v>6374</v>
      </c>
      <c r="AI19" s="21" t="s">
        <v>6438</v>
      </c>
      <c r="AJ19" t="s">
        <v>4360</v>
      </c>
      <c r="AK19" s="1">
        <v>1</v>
      </c>
      <c r="AL19" s="1">
        <v>0</v>
      </c>
      <c r="AM19" t="s">
        <v>4360</v>
      </c>
      <c r="AN19" s="1">
        <v>0</v>
      </c>
      <c r="AO19" s="1">
        <v>9600000</v>
      </c>
      <c r="AP19" s="1">
        <v>273240</v>
      </c>
      <c r="AQ19" s="1">
        <v>0</v>
      </c>
      <c r="AR19" s="1">
        <v>9873240</v>
      </c>
      <c r="AS19" s="1">
        <v>11590000</v>
      </c>
      <c r="AT19" s="1">
        <v>1716760</v>
      </c>
      <c r="AU19" s="1">
        <v>1481</v>
      </c>
    </row>
    <row r="20" spans="1:47" ht="13.5" customHeight="1" x14ac:dyDescent="0.3">
      <c r="A20" s="1" t="s">
        <v>5554</v>
      </c>
      <c r="B20" s="1" t="s">
        <v>5555</v>
      </c>
      <c r="C20" s="1">
        <v>0</v>
      </c>
      <c r="D20" s="1">
        <v>0</v>
      </c>
      <c r="E20" t="s">
        <v>4360</v>
      </c>
      <c r="F20" t="s">
        <v>4360</v>
      </c>
      <c r="G20" t="s">
        <v>4360</v>
      </c>
      <c r="H20" t="s">
        <v>4360</v>
      </c>
      <c r="I20" s="21" t="s">
        <v>6223</v>
      </c>
      <c r="J20" t="s">
        <v>4360</v>
      </c>
      <c r="K20" s="1" t="s">
        <v>6180</v>
      </c>
      <c r="L20" s="1" t="s">
        <v>48</v>
      </c>
      <c r="M20" s="1" t="s">
        <v>55</v>
      </c>
      <c r="N20" s="1" t="s">
        <v>56</v>
      </c>
      <c r="O20" s="1" t="s">
        <v>6181</v>
      </c>
      <c r="P20" s="1">
        <v>2021</v>
      </c>
      <c r="Q20" s="1">
        <v>83079</v>
      </c>
      <c r="R20" s="1" t="s">
        <v>6182</v>
      </c>
      <c r="S20" s="1" t="s">
        <v>57</v>
      </c>
      <c r="T20" s="1" t="s">
        <v>5557</v>
      </c>
      <c r="U20" s="1" t="s">
        <v>6183</v>
      </c>
      <c r="V20" s="1" t="s">
        <v>5559</v>
      </c>
      <c r="W20" s="1">
        <v>8990000</v>
      </c>
      <c r="X20" s="1" t="s">
        <v>5560</v>
      </c>
      <c r="Y20" s="1">
        <v>33</v>
      </c>
      <c r="Z20" s="1" t="s">
        <v>28</v>
      </c>
      <c r="AA20" s="1" t="s">
        <v>5561</v>
      </c>
      <c r="AB20" s="1" t="s">
        <v>4360</v>
      </c>
      <c r="AC20" s="1" t="s">
        <v>6184</v>
      </c>
      <c r="AD20" s="1" t="s">
        <v>6180</v>
      </c>
      <c r="AE20" s="1" t="s">
        <v>6185</v>
      </c>
      <c r="AF20" s="21" t="s">
        <v>6224</v>
      </c>
      <c r="AG20" s="1">
        <v>1</v>
      </c>
      <c r="AH20" s="21" t="s">
        <v>6224</v>
      </c>
      <c r="AI20" s="21" t="s">
        <v>6225</v>
      </c>
      <c r="AJ20" s="22" t="s">
        <v>6226</v>
      </c>
      <c r="AK20" s="1">
        <v>1</v>
      </c>
      <c r="AL20" s="1">
        <v>0</v>
      </c>
      <c r="AM20" t="s">
        <v>4360</v>
      </c>
      <c r="AN20" s="1">
        <v>0</v>
      </c>
      <c r="AO20" s="1">
        <v>7100000</v>
      </c>
      <c r="AP20" s="1">
        <v>0</v>
      </c>
      <c r="AQ20" s="1">
        <v>0</v>
      </c>
      <c r="AR20" s="1">
        <v>7100000</v>
      </c>
      <c r="AS20" s="1">
        <v>8990000</v>
      </c>
      <c r="AT20" s="1">
        <v>1890000</v>
      </c>
      <c r="AU20" s="1">
        <v>2102</v>
      </c>
    </row>
    <row r="21" spans="1:47" ht="13.5" customHeight="1" x14ac:dyDescent="0.3">
      <c r="A21" s="1" t="s">
        <v>5554</v>
      </c>
      <c r="B21" s="1" t="s">
        <v>5555</v>
      </c>
      <c r="C21" s="1">
        <v>0</v>
      </c>
      <c r="D21" s="1">
        <v>0</v>
      </c>
      <c r="E21" t="s">
        <v>4360</v>
      </c>
      <c r="F21" t="s">
        <v>4360</v>
      </c>
      <c r="G21" t="s">
        <v>4360</v>
      </c>
      <c r="H21" t="s">
        <v>4360</v>
      </c>
      <c r="I21" s="21" t="s">
        <v>6590</v>
      </c>
      <c r="J21" t="s">
        <v>4360</v>
      </c>
      <c r="K21" s="1" t="s">
        <v>5800</v>
      </c>
      <c r="L21" s="1" t="s">
        <v>236</v>
      </c>
      <c r="M21" s="1" t="s">
        <v>237</v>
      </c>
      <c r="N21" s="1" t="s">
        <v>240</v>
      </c>
      <c r="O21" s="1" t="s">
        <v>5801</v>
      </c>
      <c r="P21" s="1">
        <v>2025</v>
      </c>
      <c r="Q21" s="1">
        <v>13500</v>
      </c>
      <c r="R21" s="1" t="s">
        <v>5802</v>
      </c>
      <c r="S21" s="1" t="s">
        <v>241</v>
      </c>
      <c r="T21" s="1" t="s">
        <v>5557</v>
      </c>
      <c r="U21" s="1" t="s">
        <v>5803</v>
      </c>
      <c r="V21" s="1" t="s">
        <v>5559</v>
      </c>
      <c r="W21" s="1">
        <v>31590000</v>
      </c>
      <c r="X21" s="1" t="s">
        <v>5560</v>
      </c>
      <c r="Y21" s="1">
        <v>27</v>
      </c>
      <c r="Z21" s="1" t="s">
        <v>17</v>
      </c>
      <c r="AA21" s="1" t="s">
        <v>5561</v>
      </c>
      <c r="AB21" s="1" t="s">
        <v>5595</v>
      </c>
      <c r="AC21" s="1" t="s">
        <v>5804</v>
      </c>
      <c r="AD21" s="1" t="s">
        <v>5805</v>
      </c>
      <c r="AE21" s="1" t="s">
        <v>5806</v>
      </c>
      <c r="AF21" s="21" t="s">
        <v>6313</v>
      </c>
      <c r="AG21" s="1">
        <v>1</v>
      </c>
      <c r="AH21" s="21" t="s">
        <v>6313</v>
      </c>
      <c r="AI21" s="21" t="s">
        <v>6591</v>
      </c>
      <c r="AJ21" s="21" t="s">
        <v>4360</v>
      </c>
      <c r="AK21" s="1">
        <v>1</v>
      </c>
      <c r="AL21" s="1">
        <v>0</v>
      </c>
      <c r="AM21" t="s">
        <v>4360</v>
      </c>
      <c r="AN21" s="1">
        <v>0</v>
      </c>
      <c r="AO21" s="1">
        <v>26300000</v>
      </c>
      <c r="AP21" s="1">
        <v>523740</v>
      </c>
      <c r="AQ21" s="1">
        <v>0</v>
      </c>
      <c r="AR21" s="1">
        <v>26823740</v>
      </c>
      <c r="AS21" s="1">
        <v>31590000</v>
      </c>
      <c r="AT21" s="1">
        <v>4766260</v>
      </c>
      <c r="AU21" s="1">
        <v>1509</v>
      </c>
    </row>
    <row r="22" spans="1:47" ht="13.5" customHeight="1" x14ac:dyDescent="0.3">
      <c r="A22" s="1" t="s">
        <v>5554</v>
      </c>
      <c r="B22" s="1" t="s">
        <v>5580</v>
      </c>
      <c r="C22" s="1">
        <v>0</v>
      </c>
      <c r="D22" s="1">
        <v>0</v>
      </c>
      <c r="E22" t="s">
        <v>4360</v>
      </c>
      <c r="F22" t="s">
        <v>4360</v>
      </c>
      <c r="G22" t="s">
        <v>4360</v>
      </c>
      <c r="H22" t="s">
        <v>4360</v>
      </c>
      <c r="I22" s="21" t="s">
        <v>6227</v>
      </c>
      <c r="J22" t="s">
        <v>4360</v>
      </c>
      <c r="K22" s="1" t="s">
        <v>6228</v>
      </c>
      <c r="L22" s="1" t="s">
        <v>93</v>
      </c>
      <c r="M22" s="1" t="s">
        <v>131</v>
      </c>
      <c r="N22" s="1" t="s">
        <v>4687</v>
      </c>
      <c r="O22" s="1" t="s">
        <v>6229</v>
      </c>
      <c r="P22" s="1">
        <v>2024</v>
      </c>
      <c r="Q22" s="1">
        <v>40100</v>
      </c>
      <c r="R22" s="1" t="s">
        <v>6230</v>
      </c>
      <c r="S22" s="1" t="s">
        <v>432</v>
      </c>
      <c r="T22" s="1" t="s">
        <v>5557</v>
      </c>
      <c r="U22" s="1" t="s">
        <v>6029</v>
      </c>
      <c r="V22" s="1" t="s">
        <v>5559</v>
      </c>
      <c r="W22" s="1">
        <v>28490000</v>
      </c>
      <c r="X22" s="1" t="s">
        <v>5560</v>
      </c>
      <c r="Y22" s="1">
        <v>94</v>
      </c>
      <c r="Z22" s="1" t="s">
        <v>28</v>
      </c>
      <c r="AA22" s="1" t="s">
        <v>5585</v>
      </c>
      <c r="AB22" s="1" t="s">
        <v>4360</v>
      </c>
      <c r="AC22" s="1" t="s">
        <v>6231</v>
      </c>
      <c r="AD22" s="1" t="s">
        <v>6228</v>
      </c>
      <c r="AE22" s="1" t="s">
        <v>6232</v>
      </c>
      <c r="AF22" s="21" t="s">
        <v>6233</v>
      </c>
      <c r="AG22" s="1">
        <v>1</v>
      </c>
      <c r="AH22" s="21" t="s">
        <v>6233</v>
      </c>
      <c r="AI22" s="21" t="s">
        <v>6234</v>
      </c>
      <c r="AJ22" t="s">
        <v>4360</v>
      </c>
      <c r="AK22" s="1">
        <v>0</v>
      </c>
      <c r="AL22" s="1">
        <v>0</v>
      </c>
      <c r="AM22" t="s">
        <v>4360</v>
      </c>
      <c r="AN22" s="1">
        <v>0</v>
      </c>
      <c r="AO22" s="1">
        <v>24000000</v>
      </c>
      <c r="AP22" s="1">
        <v>877705</v>
      </c>
      <c r="AQ22" s="1">
        <v>0</v>
      </c>
      <c r="AR22" s="1">
        <v>24877705</v>
      </c>
      <c r="AS22" s="1">
        <v>28490000</v>
      </c>
      <c r="AT22" s="1">
        <v>3612295</v>
      </c>
      <c r="AU22" s="1">
        <v>1268</v>
      </c>
    </row>
    <row r="23" spans="1:47" ht="13.5" customHeight="1" x14ac:dyDescent="0.3">
      <c r="A23" s="1" t="s">
        <v>5554</v>
      </c>
      <c r="B23" s="1" t="s">
        <v>5610</v>
      </c>
      <c r="C23" s="1">
        <v>0</v>
      </c>
      <c r="D23" s="1">
        <v>0</v>
      </c>
      <c r="E23" t="s">
        <v>4360</v>
      </c>
      <c r="F23" t="s">
        <v>4360</v>
      </c>
      <c r="G23" t="s">
        <v>4360</v>
      </c>
      <c r="H23" t="s">
        <v>4360</v>
      </c>
      <c r="I23" s="21" t="s">
        <v>6481</v>
      </c>
      <c r="J23" t="s">
        <v>4360</v>
      </c>
      <c r="K23" s="1" t="s">
        <v>6054</v>
      </c>
      <c r="L23" s="1" t="s">
        <v>93</v>
      </c>
      <c r="M23" s="1" t="s">
        <v>113</v>
      </c>
      <c r="N23" s="1" t="s">
        <v>116</v>
      </c>
      <c r="O23" s="1" t="s">
        <v>6055</v>
      </c>
      <c r="P23" s="1">
        <v>2020</v>
      </c>
      <c r="Q23" s="1">
        <v>84600</v>
      </c>
      <c r="R23" s="1" t="s">
        <v>6056</v>
      </c>
      <c r="S23" s="1" t="s">
        <v>117</v>
      </c>
      <c r="T23" s="1" t="s">
        <v>5557</v>
      </c>
      <c r="U23" s="1" t="s">
        <v>6057</v>
      </c>
      <c r="V23" s="1" t="s">
        <v>5559</v>
      </c>
      <c r="W23" s="1">
        <v>22990000</v>
      </c>
      <c r="X23" s="1" t="s">
        <v>5560</v>
      </c>
      <c r="Y23" s="1">
        <v>94</v>
      </c>
      <c r="Z23" s="1" t="s">
        <v>43</v>
      </c>
      <c r="AA23" s="1" t="s">
        <v>5611</v>
      </c>
      <c r="AB23" s="1" t="s">
        <v>4360</v>
      </c>
      <c r="AC23" s="1" t="s">
        <v>6058</v>
      </c>
      <c r="AD23" s="1" t="s">
        <v>6054</v>
      </c>
      <c r="AE23" s="1" t="s">
        <v>6059</v>
      </c>
      <c r="AF23" s="21" t="s">
        <v>6233</v>
      </c>
      <c r="AG23" s="1">
        <v>1</v>
      </c>
      <c r="AH23" s="21" t="s">
        <v>6233</v>
      </c>
      <c r="AI23" s="21" t="s">
        <v>6482</v>
      </c>
      <c r="AJ23" t="s">
        <v>4360</v>
      </c>
      <c r="AK23" s="1">
        <v>0</v>
      </c>
      <c r="AL23" s="1">
        <v>0</v>
      </c>
      <c r="AM23" t="s">
        <v>4360</v>
      </c>
      <c r="AN23" s="1">
        <v>0</v>
      </c>
      <c r="AO23" s="1">
        <v>17000000</v>
      </c>
      <c r="AP23" s="1">
        <v>381030</v>
      </c>
      <c r="AQ23" s="1">
        <v>0</v>
      </c>
      <c r="AR23" s="1">
        <v>17381030</v>
      </c>
      <c r="AS23" s="1">
        <v>22990000</v>
      </c>
      <c r="AT23" s="1">
        <v>5608970</v>
      </c>
      <c r="AU23" s="1">
        <v>244</v>
      </c>
    </row>
    <row r="24" spans="1:47" ht="13.5" customHeight="1" x14ac:dyDescent="0.3">
      <c r="A24" s="1" t="s">
        <v>5554</v>
      </c>
      <c r="B24" s="1" t="s">
        <v>5580</v>
      </c>
      <c r="C24" s="1">
        <v>0</v>
      </c>
      <c r="D24" s="1">
        <v>0</v>
      </c>
      <c r="E24" t="s">
        <v>4360</v>
      </c>
      <c r="F24" t="s">
        <v>4360</v>
      </c>
      <c r="G24" t="s">
        <v>4360</v>
      </c>
      <c r="H24" t="s">
        <v>4360</v>
      </c>
      <c r="I24" s="21" t="s">
        <v>6510</v>
      </c>
      <c r="J24" t="s">
        <v>4360</v>
      </c>
      <c r="K24" s="1" t="s">
        <v>5827</v>
      </c>
      <c r="L24" s="1" t="s">
        <v>264</v>
      </c>
      <c r="M24" s="1" t="s">
        <v>5203</v>
      </c>
      <c r="N24" s="1" t="s">
        <v>278</v>
      </c>
      <c r="O24" s="1" t="s">
        <v>5556</v>
      </c>
      <c r="P24" s="1">
        <v>2023</v>
      </c>
      <c r="Q24" s="1">
        <v>18500</v>
      </c>
      <c r="R24" s="1" t="s">
        <v>5828</v>
      </c>
      <c r="S24" s="1" t="s">
        <v>281</v>
      </c>
      <c r="T24" s="1" t="s">
        <v>5557</v>
      </c>
      <c r="U24" s="1" t="s">
        <v>5576</v>
      </c>
      <c r="V24" s="1" t="s">
        <v>5559</v>
      </c>
      <c r="W24" s="1">
        <v>13690000</v>
      </c>
      <c r="X24" s="1" t="s">
        <v>5560</v>
      </c>
      <c r="Y24" s="1">
        <v>26</v>
      </c>
      <c r="Z24" s="1" t="s">
        <v>17</v>
      </c>
      <c r="AA24" s="1" t="s">
        <v>5585</v>
      </c>
      <c r="AB24" s="1" t="s">
        <v>5829</v>
      </c>
      <c r="AC24" s="1" t="s">
        <v>5830</v>
      </c>
      <c r="AD24" s="1" t="s">
        <v>5827</v>
      </c>
      <c r="AE24" s="1" t="s">
        <v>5831</v>
      </c>
      <c r="AF24" s="21" t="s">
        <v>6511</v>
      </c>
      <c r="AG24" s="1">
        <v>1</v>
      </c>
      <c r="AH24" s="21" t="s">
        <v>6511</v>
      </c>
      <c r="AI24" s="21" t="s">
        <v>6512</v>
      </c>
      <c r="AJ24" t="s">
        <v>6513</v>
      </c>
      <c r="AK24" s="1">
        <v>2</v>
      </c>
      <c r="AL24" s="1">
        <v>0</v>
      </c>
      <c r="AM24" t="s">
        <v>4360</v>
      </c>
      <c r="AN24" s="1">
        <v>0</v>
      </c>
      <c r="AO24" s="1">
        <v>11200000</v>
      </c>
      <c r="AP24" s="1">
        <v>297240</v>
      </c>
      <c r="AQ24" s="1">
        <v>0</v>
      </c>
      <c r="AR24" s="1">
        <v>11497240</v>
      </c>
      <c r="AS24" s="1">
        <v>13690000</v>
      </c>
      <c r="AT24" s="1">
        <v>2192760</v>
      </c>
      <c r="AU24" s="1">
        <v>1602</v>
      </c>
    </row>
    <row r="25" spans="1:47" ht="13.5" customHeight="1" x14ac:dyDescent="0.3">
      <c r="A25" s="1" t="s">
        <v>5554</v>
      </c>
      <c r="B25" s="1" t="s">
        <v>5589</v>
      </c>
      <c r="C25" s="1">
        <v>0</v>
      </c>
      <c r="D25" s="1">
        <v>0</v>
      </c>
      <c r="E25" t="s">
        <v>4360</v>
      </c>
      <c r="F25" t="s">
        <v>4360</v>
      </c>
      <c r="G25" t="s">
        <v>4360</v>
      </c>
      <c r="H25" t="s">
        <v>4360</v>
      </c>
      <c r="I25" s="21" t="s">
        <v>6492</v>
      </c>
      <c r="J25" t="s">
        <v>4360</v>
      </c>
      <c r="K25" s="1" t="s">
        <v>6173</v>
      </c>
      <c r="L25" s="1" t="s">
        <v>314</v>
      </c>
      <c r="M25" s="1" t="s">
        <v>314</v>
      </c>
      <c r="N25" s="1" t="s">
        <v>315</v>
      </c>
      <c r="O25" s="1" t="s">
        <v>6174</v>
      </c>
      <c r="P25" s="1">
        <v>2019</v>
      </c>
      <c r="Q25" s="1">
        <v>95000</v>
      </c>
      <c r="R25" s="1" t="s">
        <v>6175</v>
      </c>
      <c r="S25" s="1" t="s">
        <v>316</v>
      </c>
      <c r="T25" s="1" t="s">
        <v>5557</v>
      </c>
      <c r="U25" s="1" t="s">
        <v>6176</v>
      </c>
      <c r="V25" s="1" t="s">
        <v>5559</v>
      </c>
      <c r="W25" s="1">
        <v>7690000</v>
      </c>
      <c r="X25" s="1" t="s">
        <v>5560</v>
      </c>
      <c r="Y25" s="1">
        <v>33</v>
      </c>
      <c r="Z25" s="1" t="s">
        <v>43</v>
      </c>
      <c r="AA25" s="1" t="s">
        <v>5594</v>
      </c>
      <c r="AB25" s="1" t="s">
        <v>6177</v>
      </c>
      <c r="AC25" s="1" t="s">
        <v>6178</v>
      </c>
      <c r="AD25" s="1" t="s">
        <v>6173</v>
      </c>
      <c r="AE25" s="1" t="s">
        <v>6179</v>
      </c>
      <c r="AF25" s="21" t="s">
        <v>6224</v>
      </c>
      <c r="AG25" s="1">
        <v>1</v>
      </c>
      <c r="AH25" s="21" t="s">
        <v>6224</v>
      </c>
      <c r="AI25" s="21" t="s">
        <v>6493</v>
      </c>
      <c r="AJ25" s="21" t="s">
        <v>6292</v>
      </c>
      <c r="AK25" s="1">
        <v>1</v>
      </c>
      <c r="AL25" s="1">
        <v>0</v>
      </c>
      <c r="AM25" t="s">
        <v>4360</v>
      </c>
      <c r="AN25" s="1">
        <v>0</v>
      </c>
      <c r="AO25" s="1">
        <v>5800000</v>
      </c>
      <c r="AP25" s="1">
        <v>0</v>
      </c>
      <c r="AQ25" s="1">
        <v>0</v>
      </c>
      <c r="AR25" s="1">
        <v>5800000</v>
      </c>
      <c r="AS25" s="1">
        <v>7690000</v>
      </c>
      <c r="AT25" s="1">
        <v>1890000</v>
      </c>
      <c r="AU25" s="1">
        <v>2458</v>
      </c>
    </row>
    <row r="26" spans="1:47" ht="13.5" customHeight="1" x14ac:dyDescent="0.3">
      <c r="A26" s="1" t="s">
        <v>5554</v>
      </c>
      <c r="B26" s="1" t="s">
        <v>5589</v>
      </c>
      <c r="C26" s="1">
        <v>0</v>
      </c>
      <c r="D26" s="1">
        <v>0</v>
      </c>
      <c r="E26" t="s">
        <v>4360</v>
      </c>
      <c r="F26" t="s">
        <v>4360</v>
      </c>
      <c r="G26" t="s">
        <v>4360</v>
      </c>
      <c r="H26" t="s">
        <v>4360</v>
      </c>
      <c r="I26" s="21" t="s">
        <v>6489</v>
      </c>
      <c r="J26" t="s">
        <v>4360</v>
      </c>
      <c r="K26" s="1" t="s">
        <v>6050</v>
      </c>
      <c r="L26" s="1" t="s">
        <v>93</v>
      </c>
      <c r="M26" s="1" t="s">
        <v>105</v>
      </c>
      <c r="N26" s="1" t="s">
        <v>106</v>
      </c>
      <c r="O26" s="1" t="s">
        <v>5808</v>
      </c>
      <c r="P26" s="1">
        <v>2023</v>
      </c>
      <c r="Q26" s="1">
        <v>45000</v>
      </c>
      <c r="R26" s="1" t="s">
        <v>6051</v>
      </c>
      <c r="S26" s="1" t="s">
        <v>107</v>
      </c>
      <c r="T26" s="1" t="s">
        <v>5557</v>
      </c>
      <c r="U26" s="1" t="s">
        <v>5911</v>
      </c>
      <c r="V26" s="1" t="s">
        <v>5559</v>
      </c>
      <c r="W26" s="1">
        <v>19990000</v>
      </c>
      <c r="X26" s="1" t="s">
        <v>5560</v>
      </c>
      <c r="Y26" s="1">
        <v>125</v>
      </c>
      <c r="Z26" s="1" t="s">
        <v>28</v>
      </c>
      <c r="AA26" s="1" t="s">
        <v>5594</v>
      </c>
      <c r="AB26" s="1" t="s">
        <v>5616</v>
      </c>
      <c r="AC26" s="1" t="s">
        <v>6052</v>
      </c>
      <c r="AD26" s="1" t="s">
        <v>6050</v>
      </c>
      <c r="AE26" s="1" t="s">
        <v>6053</v>
      </c>
      <c r="AF26" s="21" t="s">
        <v>6490</v>
      </c>
      <c r="AG26" s="1">
        <v>1</v>
      </c>
      <c r="AH26" s="21" t="s">
        <v>6490</v>
      </c>
      <c r="AI26" s="21" t="s">
        <v>6491</v>
      </c>
      <c r="AJ26" t="s">
        <v>4360</v>
      </c>
      <c r="AK26" s="1">
        <v>1</v>
      </c>
      <c r="AL26" s="1">
        <v>0</v>
      </c>
      <c r="AM26" t="s">
        <v>4360</v>
      </c>
      <c r="AN26" s="1">
        <v>0</v>
      </c>
      <c r="AO26" s="1">
        <v>17500000</v>
      </c>
      <c r="AP26" s="1">
        <v>388530</v>
      </c>
      <c r="AQ26" s="1">
        <v>0</v>
      </c>
      <c r="AR26" s="1">
        <v>17888530</v>
      </c>
      <c r="AS26" s="1">
        <v>19990000</v>
      </c>
      <c r="AT26" s="1">
        <v>2101470</v>
      </c>
      <c r="AU26" s="1">
        <v>1051</v>
      </c>
    </row>
    <row r="27" spans="1:47" ht="13.5" customHeight="1" x14ac:dyDescent="0.3">
      <c r="A27" s="1" t="s">
        <v>5554</v>
      </c>
      <c r="B27" s="1" t="s">
        <v>5589</v>
      </c>
      <c r="C27" s="1">
        <v>0</v>
      </c>
      <c r="D27" s="1">
        <v>0</v>
      </c>
      <c r="E27" t="s">
        <v>4360</v>
      </c>
      <c r="F27" t="s">
        <v>4360</v>
      </c>
      <c r="G27" t="s">
        <v>4360</v>
      </c>
      <c r="H27" t="s">
        <v>4360</v>
      </c>
      <c r="I27" s="21" t="s">
        <v>6621</v>
      </c>
      <c r="J27" t="s">
        <v>4360</v>
      </c>
      <c r="K27" s="1" t="s">
        <v>5724</v>
      </c>
      <c r="L27" s="1" t="s">
        <v>303</v>
      </c>
      <c r="M27" s="1" t="s">
        <v>304</v>
      </c>
      <c r="N27" s="1" t="s">
        <v>309</v>
      </c>
      <c r="O27" s="1" t="s">
        <v>5725</v>
      </c>
      <c r="P27" s="1">
        <v>2025</v>
      </c>
      <c r="Q27" s="1">
        <v>16869</v>
      </c>
      <c r="R27" s="1" t="s">
        <v>5726</v>
      </c>
      <c r="S27" s="1" t="s">
        <v>310</v>
      </c>
      <c r="T27" s="1" t="s">
        <v>5557</v>
      </c>
      <c r="U27" s="1" t="s">
        <v>5727</v>
      </c>
      <c r="V27" s="1" t="s">
        <v>5559</v>
      </c>
      <c r="W27" s="1">
        <v>31590000</v>
      </c>
      <c r="X27" s="1" t="s">
        <v>5560</v>
      </c>
      <c r="Y27" s="1">
        <v>116</v>
      </c>
      <c r="Z27" s="1" t="s">
        <v>28</v>
      </c>
      <c r="AA27" s="1" t="s">
        <v>5594</v>
      </c>
      <c r="AB27" t="s">
        <v>5728</v>
      </c>
      <c r="AC27" s="1" t="s">
        <v>6622</v>
      </c>
      <c r="AD27" s="1" t="s">
        <v>5724</v>
      </c>
      <c r="AE27" s="1" t="s">
        <v>5729</v>
      </c>
      <c r="AF27" s="21" t="s">
        <v>6623</v>
      </c>
      <c r="AG27" s="1">
        <v>60226</v>
      </c>
      <c r="AH27" s="21" t="s">
        <v>6623</v>
      </c>
      <c r="AI27" s="21" t="s">
        <v>6624</v>
      </c>
      <c r="AJ27" t="s">
        <v>4360</v>
      </c>
      <c r="AK27" s="1">
        <v>0</v>
      </c>
      <c r="AL27" s="1">
        <v>0</v>
      </c>
      <c r="AM27" t="s">
        <v>4360</v>
      </c>
      <c r="AN27" s="1">
        <v>0</v>
      </c>
      <c r="AO27" s="1">
        <v>29000000</v>
      </c>
      <c r="AP27" s="1">
        <v>561030</v>
      </c>
      <c r="AQ27" s="1">
        <v>0</v>
      </c>
      <c r="AR27" s="1">
        <v>29561030</v>
      </c>
      <c r="AS27" s="1">
        <v>31590000</v>
      </c>
      <c r="AT27" s="1">
        <v>2028970</v>
      </c>
      <c r="AU27" s="1">
        <v>642</v>
      </c>
    </row>
    <row r="28" spans="1:47" ht="13.5" customHeight="1" x14ac:dyDescent="0.3">
      <c r="A28" s="1" t="s">
        <v>5554</v>
      </c>
      <c r="B28" s="1" t="s">
        <v>5555</v>
      </c>
      <c r="C28" s="1">
        <v>0</v>
      </c>
      <c r="D28" s="1">
        <v>0</v>
      </c>
      <c r="E28" t="s">
        <v>4360</v>
      </c>
      <c r="F28" t="s">
        <v>4360</v>
      </c>
      <c r="G28" t="s">
        <v>4360</v>
      </c>
      <c r="H28" t="s">
        <v>4360</v>
      </c>
      <c r="I28" s="21" t="s">
        <v>6582</v>
      </c>
      <c r="J28" t="s">
        <v>4360</v>
      </c>
      <c r="K28" s="1" t="s">
        <v>6060</v>
      </c>
      <c r="L28" s="1" t="s">
        <v>188</v>
      </c>
      <c r="M28" s="1" t="s">
        <v>4835</v>
      </c>
      <c r="N28" s="1" t="s">
        <v>191</v>
      </c>
      <c r="O28" s="1" t="s">
        <v>5745</v>
      </c>
      <c r="P28" s="1">
        <v>2025</v>
      </c>
      <c r="Q28" s="1">
        <v>7500</v>
      </c>
      <c r="R28" s="1" t="s">
        <v>6061</v>
      </c>
      <c r="S28" s="1" t="s">
        <v>192</v>
      </c>
      <c r="T28" s="1" t="s">
        <v>5557</v>
      </c>
      <c r="U28" s="1" t="s">
        <v>6062</v>
      </c>
      <c r="V28" s="1" t="s">
        <v>5559</v>
      </c>
      <c r="W28" s="1">
        <v>17490000</v>
      </c>
      <c r="X28" s="1" t="s">
        <v>5560</v>
      </c>
      <c r="Y28" s="1">
        <v>94</v>
      </c>
      <c r="Z28" s="1" t="s">
        <v>28</v>
      </c>
      <c r="AA28" s="1" t="s">
        <v>5561</v>
      </c>
      <c r="AB28" s="1" t="s">
        <v>6063</v>
      </c>
      <c r="AC28" s="1" t="s">
        <v>6064</v>
      </c>
      <c r="AD28" s="1" t="s">
        <v>6060</v>
      </c>
      <c r="AE28" s="1" t="s">
        <v>6065</v>
      </c>
      <c r="AF28" s="21" t="s">
        <v>6233</v>
      </c>
      <c r="AG28" s="1">
        <v>1</v>
      </c>
      <c r="AH28" s="21" t="s">
        <v>6233</v>
      </c>
      <c r="AI28" s="21" t="s">
        <v>6583</v>
      </c>
      <c r="AJ28" t="s">
        <v>4360</v>
      </c>
      <c r="AK28" s="1">
        <v>0</v>
      </c>
      <c r="AL28" s="1">
        <v>0</v>
      </c>
      <c r="AM28" t="s">
        <v>4360</v>
      </c>
      <c r="AN28" s="1">
        <v>0</v>
      </c>
      <c r="AO28" s="1">
        <v>15500000</v>
      </c>
      <c r="AP28" s="1">
        <v>358530</v>
      </c>
      <c r="AQ28" s="1">
        <v>0</v>
      </c>
      <c r="AR28" s="1">
        <v>15858530</v>
      </c>
      <c r="AS28" s="1">
        <v>17490000</v>
      </c>
      <c r="AT28" s="1">
        <v>1631470</v>
      </c>
      <c r="AU28" s="1">
        <v>933</v>
      </c>
    </row>
    <row r="29" spans="1:47" ht="13.5" customHeight="1" x14ac:dyDescent="0.3">
      <c r="A29" s="1" t="s">
        <v>5554</v>
      </c>
      <c r="B29" s="1" t="s">
        <v>5555</v>
      </c>
      <c r="C29" s="1">
        <v>0</v>
      </c>
      <c r="D29" s="1">
        <v>0</v>
      </c>
      <c r="E29" t="s">
        <v>4360</v>
      </c>
      <c r="F29" t="s">
        <v>4360</v>
      </c>
      <c r="G29" t="s">
        <v>4360</v>
      </c>
      <c r="H29" t="s">
        <v>4360</v>
      </c>
      <c r="I29" s="21" t="s">
        <v>6348</v>
      </c>
      <c r="J29" t="s">
        <v>4360</v>
      </c>
      <c r="K29" s="1" t="s">
        <v>5839</v>
      </c>
      <c r="L29" s="1" t="s">
        <v>19</v>
      </c>
      <c r="M29" s="1" t="s">
        <v>26</v>
      </c>
      <c r="N29" s="1" t="s">
        <v>27</v>
      </c>
      <c r="O29" s="1" t="s">
        <v>5840</v>
      </c>
      <c r="P29" s="1">
        <v>2024</v>
      </c>
      <c r="Q29" s="1">
        <v>30000</v>
      </c>
      <c r="R29" s="1" t="s">
        <v>5841</v>
      </c>
      <c r="S29" s="1" t="s">
        <v>29</v>
      </c>
      <c r="T29" s="1" t="s">
        <v>5557</v>
      </c>
      <c r="U29" s="1" t="s">
        <v>5842</v>
      </c>
      <c r="V29" s="1" t="s">
        <v>5559</v>
      </c>
      <c r="W29" s="1">
        <v>20990000</v>
      </c>
      <c r="X29" s="1" t="s">
        <v>5560</v>
      </c>
      <c r="Y29" s="1">
        <v>145</v>
      </c>
      <c r="Z29" s="1" t="s">
        <v>28</v>
      </c>
      <c r="AA29" s="1" t="s">
        <v>5561</v>
      </c>
      <c r="AB29" s="1" t="s">
        <v>5843</v>
      </c>
      <c r="AC29" s="1" t="s">
        <v>5844</v>
      </c>
      <c r="AD29" s="1" t="s">
        <v>5839</v>
      </c>
      <c r="AE29" s="1" t="s">
        <v>5845</v>
      </c>
      <c r="AF29" s="21" t="s">
        <v>6349</v>
      </c>
      <c r="AG29" s="1">
        <v>1</v>
      </c>
      <c r="AH29" s="21" t="s">
        <v>6349</v>
      </c>
      <c r="AI29" s="21" t="s">
        <v>6350</v>
      </c>
      <c r="AJ29" t="s">
        <v>4360</v>
      </c>
      <c r="AK29" s="1">
        <v>1</v>
      </c>
      <c r="AL29" s="1">
        <v>0</v>
      </c>
      <c r="AM29" t="s">
        <v>4360</v>
      </c>
      <c r="AN29" s="1">
        <v>0</v>
      </c>
      <c r="AO29" s="1">
        <v>20000000</v>
      </c>
      <c r="AP29" s="1">
        <v>524003</v>
      </c>
      <c r="AQ29" s="1">
        <v>0</v>
      </c>
      <c r="AR29" s="1">
        <v>20524003</v>
      </c>
      <c r="AS29" s="1">
        <v>20990000</v>
      </c>
      <c r="AT29" s="1">
        <v>465997</v>
      </c>
      <c r="AU29" s="1">
        <v>222</v>
      </c>
    </row>
    <row r="30" spans="1:47" ht="13.5" customHeight="1" x14ac:dyDescent="0.3">
      <c r="A30" s="1" t="s">
        <v>5554</v>
      </c>
      <c r="B30" s="1" t="s">
        <v>5610</v>
      </c>
      <c r="C30" s="1">
        <v>0</v>
      </c>
      <c r="D30" s="1">
        <v>0</v>
      </c>
      <c r="E30" t="s">
        <v>4360</v>
      </c>
      <c r="F30" t="s">
        <v>4360</v>
      </c>
      <c r="G30" t="s">
        <v>4360</v>
      </c>
      <c r="H30" t="s">
        <v>4360</v>
      </c>
      <c r="I30" s="21" t="s">
        <v>6547</v>
      </c>
      <c r="J30" t="s">
        <v>4360</v>
      </c>
      <c r="K30" s="1" t="s">
        <v>5921</v>
      </c>
      <c r="L30" s="1" t="s">
        <v>264</v>
      </c>
      <c r="M30" s="1" t="s">
        <v>5203</v>
      </c>
      <c r="N30" s="1" t="s">
        <v>272</v>
      </c>
      <c r="O30" s="1" t="s">
        <v>5922</v>
      </c>
      <c r="P30" s="1">
        <v>2018</v>
      </c>
      <c r="Q30" s="1">
        <v>120000</v>
      </c>
      <c r="R30" s="1" t="s">
        <v>5923</v>
      </c>
      <c r="S30" s="1" t="s">
        <v>273</v>
      </c>
      <c r="T30" s="1" t="s">
        <v>5557</v>
      </c>
      <c r="U30" s="1" t="s">
        <v>5924</v>
      </c>
      <c r="V30" s="1" t="s">
        <v>5559</v>
      </c>
      <c r="W30" s="1">
        <v>14390000</v>
      </c>
      <c r="X30" s="1" t="s">
        <v>5560</v>
      </c>
      <c r="Y30" s="1">
        <v>1566</v>
      </c>
      <c r="Z30" s="1" t="s">
        <v>43</v>
      </c>
      <c r="AA30" s="1" t="s">
        <v>5611</v>
      </c>
      <c r="AB30" s="1" t="s">
        <v>5925</v>
      </c>
      <c r="AC30" s="1" t="s">
        <v>5926</v>
      </c>
      <c r="AD30" s="1" t="s">
        <v>5921</v>
      </c>
      <c r="AE30" s="1" t="s">
        <v>5927</v>
      </c>
      <c r="AF30" s="21" t="s">
        <v>6548</v>
      </c>
      <c r="AG30" s="1">
        <v>1</v>
      </c>
      <c r="AH30" s="21" t="s">
        <v>6549</v>
      </c>
      <c r="AI30" s="21" t="s">
        <v>6549</v>
      </c>
      <c r="AJ30" t="s">
        <v>4360</v>
      </c>
      <c r="AK30" s="1">
        <v>0</v>
      </c>
      <c r="AL30" s="1">
        <v>0</v>
      </c>
      <c r="AM30" t="s">
        <v>4360</v>
      </c>
      <c r="AN30" s="1">
        <v>0</v>
      </c>
      <c r="AO30" s="1">
        <v>17650000</v>
      </c>
      <c r="AP30" s="1">
        <v>753678</v>
      </c>
      <c r="AQ30" s="1">
        <v>0</v>
      </c>
      <c r="AR30" s="1">
        <v>18403678</v>
      </c>
      <c r="AS30" s="1">
        <v>14390000</v>
      </c>
      <c r="AT30" s="1">
        <v>-4013678</v>
      </c>
      <c r="AU30" s="1">
        <v>-2789</v>
      </c>
    </row>
    <row r="31" spans="1:47" ht="13.5" customHeight="1" x14ac:dyDescent="0.3">
      <c r="A31" s="1" t="s">
        <v>5554</v>
      </c>
      <c r="B31" s="1" t="s">
        <v>5555</v>
      </c>
      <c r="C31" s="1">
        <v>0</v>
      </c>
      <c r="D31" s="1">
        <v>0</v>
      </c>
      <c r="E31" t="s">
        <v>4360</v>
      </c>
      <c r="F31" t="s">
        <v>4360</v>
      </c>
      <c r="G31" t="s">
        <v>4360</v>
      </c>
      <c r="H31" t="s">
        <v>4360</v>
      </c>
      <c r="I31" s="21" t="s">
        <v>6470</v>
      </c>
      <c r="J31" t="s">
        <v>4360</v>
      </c>
      <c r="K31" s="1" t="s">
        <v>5886</v>
      </c>
      <c r="L31" s="1" t="s">
        <v>93</v>
      </c>
      <c r="M31" s="1" t="s">
        <v>100</v>
      </c>
      <c r="N31" s="1" t="s">
        <v>103</v>
      </c>
      <c r="O31" s="1" t="s">
        <v>5887</v>
      </c>
      <c r="P31" s="1">
        <v>2020</v>
      </c>
      <c r="Q31" s="1">
        <v>55000</v>
      </c>
      <c r="R31" s="1" t="s">
        <v>5888</v>
      </c>
      <c r="S31" s="1" t="s">
        <v>104</v>
      </c>
      <c r="T31" s="1" t="s">
        <v>5557</v>
      </c>
      <c r="U31" s="1" t="s">
        <v>5566</v>
      </c>
      <c r="V31" s="1" t="s">
        <v>5559</v>
      </c>
      <c r="W31" s="1">
        <v>18490000</v>
      </c>
      <c r="X31" s="1" t="s">
        <v>5560</v>
      </c>
      <c r="Y31" s="1">
        <v>1176</v>
      </c>
      <c r="Z31" s="1" t="s">
        <v>43</v>
      </c>
      <c r="AA31" s="1" t="s">
        <v>5561</v>
      </c>
      <c r="AB31" s="1" t="s">
        <v>5889</v>
      </c>
      <c r="AC31" s="1" t="s">
        <v>5890</v>
      </c>
      <c r="AD31" s="1" t="s">
        <v>5886</v>
      </c>
      <c r="AE31" s="1" t="s">
        <v>5891</v>
      </c>
      <c r="AF31" s="21" t="s">
        <v>6471</v>
      </c>
      <c r="AG31" s="1">
        <v>1</v>
      </c>
      <c r="AH31" s="21" t="s">
        <v>6471</v>
      </c>
      <c r="AI31" s="21" t="s">
        <v>6472</v>
      </c>
      <c r="AJ31" s="21" t="s">
        <v>4360</v>
      </c>
      <c r="AK31" s="1">
        <v>0</v>
      </c>
      <c r="AL31" s="1">
        <v>0</v>
      </c>
      <c r="AM31" t="s">
        <v>4360</v>
      </c>
      <c r="AN31" s="1">
        <v>0</v>
      </c>
      <c r="AO31" s="1">
        <v>18000000</v>
      </c>
      <c r="AP31" s="1">
        <v>673380</v>
      </c>
      <c r="AQ31" s="1">
        <v>0</v>
      </c>
      <c r="AR31" s="1">
        <v>18673380</v>
      </c>
      <c r="AS31" s="1">
        <v>18490000</v>
      </c>
      <c r="AT31" s="1">
        <v>-183380</v>
      </c>
      <c r="AU31" s="1">
        <v>-99</v>
      </c>
    </row>
    <row r="32" spans="1:47" ht="13.5" customHeight="1" x14ac:dyDescent="0.3">
      <c r="A32" s="1" t="s">
        <v>5554</v>
      </c>
      <c r="B32" s="1" t="s">
        <v>5589</v>
      </c>
      <c r="C32" s="1">
        <v>0</v>
      </c>
      <c r="D32" s="1">
        <v>0</v>
      </c>
      <c r="E32" t="s">
        <v>4360</v>
      </c>
      <c r="F32" t="s">
        <v>4360</v>
      </c>
      <c r="G32" t="s">
        <v>4360</v>
      </c>
      <c r="H32" t="s">
        <v>4360</v>
      </c>
      <c r="I32" s="21" t="s">
        <v>6315</v>
      </c>
      <c r="J32" t="s">
        <v>4360</v>
      </c>
      <c r="K32" s="1" t="s">
        <v>5986</v>
      </c>
      <c r="L32" s="1" t="s">
        <v>201</v>
      </c>
      <c r="M32" s="1" t="s">
        <v>215</v>
      </c>
      <c r="N32" s="1" t="s">
        <v>216</v>
      </c>
      <c r="O32" s="1" t="s">
        <v>5987</v>
      </c>
      <c r="P32" s="1">
        <v>2024</v>
      </c>
      <c r="Q32" s="1">
        <v>37000</v>
      </c>
      <c r="R32" s="1" t="s">
        <v>5988</v>
      </c>
      <c r="S32" s="1" t="s">
        <v>217</v>
      </c>
      <c r="T32" s="1" t="s">
        <v>5557</v>
      </c>
      <c r="U32" s="1" t="s">
        <v>5989</v>
      </c>
      <c r="V32" s="1" t="s">
        <v>5559</v>
      </c>
      <c r="W32" s="1">
        <v>33490000</v>
      </c>
      <c r="X32" s="1" t="s">
        <v>5560</v>
      </c>
      <c r="Y32" s="1">
        <v>131</v>
      </c>
      <c r="Z32" s="1" t="s">
        <v>28</v>
      </c>
      <c r="AA32" s="1" t="s">
        <v>5594</v>
      </c>
      <c r="AB32" s="1" t="s">
        <v>5567</v>
      </c>
      <c r="AC32" s="1" t="s">
        <v>5990</v>
      </c>
      <c r="AD32" s="1" t="s">
        <v>5986</v>
      </c>
      <c r="AE32" s="1" t="s">
        <v>5991</v>
      </c>
      <c r="AF32" s="21" t="s">
        <v>6316</v>
      </c>
      <c r="AG32" s="1">
        <v>1</v>
      </c>
      <c r="AH32" s="21" t="s">
        <v>6316</v>
      </c>
      <c r="AI32" s="21" t="s">
        <v>6317</v>
      </c>
      <c r="AJ32" t="s">
        <v>4360</v>
      </c>
      <c r="AK32" s="1">
        <v>1</v>
      </c>
      <c r="AL32" s="1">
        <v>0</v>
      </c>
      <c r="AM32" t="s">
        <v>4360</v>
      </c>
      <c r="AN32" s="1">
        <v>0</v>
      </c>
      <c r="AO32" s="1">
        <v>28000000</v>
      </c>
      <c r="AP32" s="1">
        <v>1142194</v>
      </c>
      <c r="AQ32" s="1">
        <v>0</v>
      </c>
      <c r="AR32" s="1">
        <v>29142194</v>
      </c>
      <c r="AS32" s="1">
        <v>33490000</v>
      </c>
      <c r="AT32" s="1">
        <v>4347806</v>
      </c>
      <c r="AU32" s="1">
        <v>1298</v>
      </c>
    </row>
    <row r="33" spans="1:47" ht="13.5" customHeight="1" x14ac:dyDescent="0.3">
      <c r="A33" s="1" t="s">
        <v>5554</v>
      </c>
      <c r="B33" s="1" t="s">
        <v>5555</v>
      </c>
      <c r="C33" s="1">
        <v>0</v>
      </c>
      <c r="D33" s="1">
        <v>0</v>
      </c>
      <c r="E33" t="s">
        <v>4360</v>
      </c>
      <c r="F33" t="s">
        <v>4360</v>
      </c>
      <c r="G33" t="s">
        <v>4360</v>
      </c>
      <c r="H33" t="s">
        <v>4360</v>
      </c>
      <c r="I33" s="21" t="s">
        <v>6252</v>
      </c>
      <c r="J33" t="s">
        <v>4360</v>
      </c>
      <c r="K33" s="1" t="s">
        <v>5775</v>
      </c>
      <c r="L33" s="1" t="s">
        <v>19</v>
      </c>
      <c r="M33" s="1" t="s">
        <v>20</v>
      </c>
      <c r="N33" s="1" t="s">
        <v>21</v>
      </c>
      <c r="O33" s="1" t="s">
        <v>5776</v>
      </c>
      <c r="P33" s="1">
        <v>2025</v>
      </c>
      <c r="Q33" s="1">
        <v>20000</v>
      </c>
      <c r="R33" s="1" t="s">
        <v>5777</v>
      </c>
      <c r="S33" s="1" t="s">
        <v>24</v>
      </c>
      <c r="T33" s="1" t="s">
        <v>5557</v>
      </c>
      <c r="U33" s="1" t="s">
        <v>5606</v>
      </c>
      <c r="V33" s="1" t="s">
        <v>5559</v>
      </c>
      <c r="W33" s="1">
        <v>36990000</v>
      </c>
      <c r="X33" s="1" t="s">
        <v>5560</v>
      </c>
      <c r="Y33" s="1">
        <v>57</v>
      </c>
      <c r="Z33" s="1" t="s">
        <v>22</v>
      </c>
      <c r="AA33" s="1" t="s">
        <v>5561</v>
      </c>
      <c r="AB33" s="1" t="s">
        <v>5778</v>
      </c>
      <c r="AC33" s="1" t="s">
        <v>5779</v>
      </c>
      <c r="AD33" s="1" t="s">
        <v>5775</v>
      </c>
      <c r="AE33" s="1" t="s">
        <v>5572</v>
      </c>
      <c r="AF33" s="21" t="s">
        <v>6236</v>
      </c>
      <c r="AG33" s="1">
        <v>1</v>
      </c>
      <c r="AH33" s="21" t="s">
        <v>6236</v>
      </c>
      <c r="AI33" s="21" t="s">
        <v>6253</v>
      </c>
      <c r="AJ33" t="s">
        <v>4360</v>
      </c>
      <c r="AK33" s="1">
        <v>1</v>
      </c>
      <c r="AL33" s="1">
        <v>0</v>
      </c>
      <c r="AM33" t="s">
        <v>4360</v>
      </c>
      <c r="AN33" s="1">
        <v>0</v>
      </c>
      <c r="AO33" s="1">
        <v>31627180</v>
      </c>
      <c r="AP33" s="1">
        <v>603648</v>
      </c>
      <c r="AQ33" s="1">
        <v>0</v>
      </c>
      <c r="AR33" s="1">
        <v>32230828</v>
      </c>
      <c r="AS33" s="1">
        <v>36990000</v>
      </c>
      <c r="AT33" s="1">
        <v>4759172</v>
      </c>
      <c r="AU33" s="1">
        <v>1287</v>
      </c>
    </row>
    <row r="34" spans="1:47" ht="13.5" customHeight="1" x14ac:dyDescent="0.3">
      <c r="A34" s="1" t="s">
        <v>5554</v>
      </c>
      <c r="B34" s="1" t="s">
        <v>5589</v>
      </c>
      <c r="C34" s="1">
        <v>0</v>
      </c>
      <c r="D34" s="1">
        <v>0</v>
      </c>
      <c r="E34" t="s">
        <v>4360</v>
      </c>
      <c r="F34" t="s">
        <v>4360</v>
      </c>
      <c r="G34" t="s">
        <v>4360</v>
      </c>
      <c r="H34" t="s">
        <v>4360</v>
      </c>
      <c r="I34" s="21" t="s">
        <v>6660</v>
      </c>
      <c r="J34" t="s">
        <v>4360</v>
      </c>
      <c r="K34" s="1" t="s">
        <v>6152</v>
      </c>
      <c r="L34" s="1" t="s">
        <v>167</v>
      </c>
      <c r="M34" s="1" t="s">
        <v>167</v>
      </c>
      <c r="N34" s="1" t="s">
        <v>168</v>
      </c>
      <c r="O34" s="1" t="s">
        <v>6153</v>
      </c>
      <c r="P34" s="1">
        <v>2025</v>
      </c>
      <c r="Q34" s="1">
        <v>7193</v>
      </c>
      <c r="R34" s="1" t="s">
        <v>6154</v>
      </c>
      <c r="S34" s="1" t="s">
        <v>169</v>
      </c>
      <c r="T34" s="1" t="s">
        <v>5557</v>
      </c>
      <c r="U34" s="1" t="s">
        <v>5803</v>
      </c>
      <c r="V34" s="1" t="s">
        <v>5559</v>
      </c>
      <c r="W34" s="1">
        <v>12890000</v>
      </c>
      <c r="X34" s="1" t="s">
        <v>5560</v>
      </c>
      <c r="Y34" s="1">
        <v>33</v>
      </c>
      <c r="Z34" s="1" t="s">
        <v>22</v>
      </c>
      <c r="AA34" s="1" t="s">
        <v>5594</v>
      </c>
      <c r="AB34" s="1" t="s">
        <v>5562</v>
      </c>
      <c r="AC34" s="1" t="s">
        <v>6155</v>
      </c>
      <c r="AD34" s="1" t="s">
        <v>6152</v>
      </c>
      <c r="AE34" s="1" t="s">
        <v>6156</v>
      </c>
      <c r="AF34" s="21" t="s">
        <v>6224</v>
      </c>
      <c r="AG34" s="1">
        <v>1</v>
      </c>
      <c r="AH34" s="21" t="s">
        <v>6224</v>
      </c>
      <c r="AI34" s="21" t="s">
        <v>6661</v>
      </c>
      <c r="AJ34" s="21" t="s">
        <v>4360</v>
      </c>
      <c r="AK34" s="1">
        <v>1</v>
      </c>
      <c r="AL34" s="1">
        <v>0</v>
      </c>
      <c r="AM34" t="s">
        <v>4360</v>
      </c>
      <c r="AN34" s="1">
        <v>0</v>
      </c>
      <c r="AO34" s="1">
        <v>10350000</v>
      </c>
      <c r="AP34" s="1">
        <v>284490</v>
      </c>
      <c r="AQ34" s="1">
        <v>0</v>
      </c>
      <c r="AR34" s="1">
        <v>10634490</v>
      </c>
      <c r="AS34" s="1">
        <v>12890000</v>
      </c>
      <c r="AT34" s="1">
        <v>2255510</v>
      </c>
      <c r="AU34" s="1">
        <v>175</v>
      </c>
    </row>
    <row r="35" spans="1:47" ht="13.5" customHeight="1" x14ac:dyDescent="0.3">
      <c r="A35" s="1" t="s">
        <v>5554</v>
      </c>
      <c r="B35" s="1" t="s">
        <v>5555</v>
      </c>
      <c r="C35" s="1">
        <v>0</v>
      </c>
      <c r="D35" s="1">
        <v>0</v>
      </c>
      <c r="E35" t="s">
        <v>4360</v>
      </c>
      <c r="F35" t="s">
        <v>4360</v>
      </c>
      <c r="G35" t="s">
        <v>4360</v>
      </c>
      <c r="H35" t="s">
        <v>4360</v>
      </c>
      <c r="I35" s="21" t="s">
        <v>6268</v>
      </c>
      <c r="J35" t="s">
        <v>4360</v>
      </c>
      <c r="K35" s="1" t="s">
        <v>5737</v>
      </c>
      <c r="L35" s="1" t="s">
        <v>93</v>
      </c>
      <c r="M35" s="1" t="s">
        <v>118</v>
      </c>
      <c r="N35" s="1" t="s">
        <v>121</v>
      </c>
      <c r="O35" s="1" t="s">
        <v>5738</v>
      </c>
      <c r="P35" s="1">
        <v>2021</v>
      </c>
      <c r="Q35" s="1">
        <v>47500</v>
      </c>
      <c r="R35" s="1" t="s">
        <v>5739</v>
      </c>
      <c r="S35" s="1" t="s">
        <v>122</v>
      </c>
      <c r="T35" s="1" t="s">
        <v>5557</v>
      </c>
      <c r="U35" s="1" t="s">
        <v>5740</v>
      </c>
      <c r="V35" s="1" t="s">
        <v>5559</v>
      </c>
      <c r="W35" s="1">
        <v>31990000</v>
      </c>
      <c r="X35" s="1" t="s">
        <v>5560</v>
      </c>
      <c r="Y35" s="1">
        <v>57</v>
      </c>
      <c r="Z35" s="1" t="s">
        <v>43</v>
      </c>
      <c r="AA35" s="1" t="s">
        <v>5561</v>
      </c>
      <c r="AB35" s="1" t="s">
        <v>5741</v>
      </c>
      <c r="AC35" s="1" t="s">
        <v>5742</v>
      </c>
      <c r="AD35" s="1" t="s">
        <v>5737</v>
      </c>
      <c r="AE35" s="1" t="s">
        <v>5743</v>
      </c>
      <c r="AF35" s="21" t="s">
        <v>6236</v>
      </c>
      <c r="AG35" s="1">
        <v>1</v>
      </c>
      <c r="AH35" s="21" t="s">
        <v>6236</v>
      </c>
      <c r="AI35" s="21" t="s">
        <v>6269</v>
      </c>
      <c r="AJ35" t="s">
        <v>6270</v>
      </c>
      <c r="AK35" s="1">
        <v>1</v>
      </c>
      <c r="AL35" s="1">
        <v>0</v>
      </c>
      <c r="AM35" t="s">
        <v>4360</v>
      </c>
      <c r="AN35" s="1">
        <v>0</v>
      </c>
      <c r="AO35" s="1">
        <v>20000000</v>
      </c>
      <c r="AP35" s="1">
        <v>429240</v>
      </c>
      <c r="AQ35" s="1">
        <v>0</v>
      </c>
      <c r="AR35" s="1">
        <v>20429240</v>
      </c>
      <c r="AS35" s="1">
        <v>31990000</v>
      </c>
      <c r="AT35" s="1">
        <v>11560760</v>
      </c>
      <c r="AU35" s="1">
        <v>3614</v>
      </c>
    </row>
    <row r="36" spans="1:47" ht="13.5" customHeight="1" x14ac:dyDescent="0.3">
      <c r="A36" s="1" t="s">
        <v>5554</v>
      </c>
      <c r="B36" s="1" t="s">
        <v>5555</v>
      </c>
      <c r="C36" s="1">
        <v>0</v>
      </c>
      <c r="D36" s="1">
        <v>0</v>
      </c>
      <c r="E36" t="s">
        <v>4360</v>
      </c>
      <c r="F36" t="s">
        <v>4360</v>
      </c>
      <c r="G36" t="s">
        <v>4360</v>
      </c>
      <c r="H36" t="s">
        <v>4360</v>
      </c>
      <c r="I36" s="21" t="s">
        <v>6318</v>
      </c>
      <c r="J36" t="s">
        <v>4360</v>
      </c>
      <c r="K36" s="1" t="s">
        <v>6026</v>
      </c>
      <c r="L36" s="1" t="s">
        <v>93</v>
      </c>
      <c r="M36" s="1" t="s">
        <v>131</v>
      </c>
      <c r="N36" s="1" t="s">
        <v>132</v>
      </c>
      <c r="O36" s="1" t="s">
        <v>6027</v>
      </c>
      <c r="P36" s="1">
        <v>2024</v>
      </c>
      <c r="Q36" s="1">
        <v>69690</v>
      </c>
      <c r="R36" s="1" t="s">
        <v>6028</v>
      </c>
      <c r="S36" s="1" t="s">
        <v>133</v>
      </c>
      <c r="T36" s="1" t="s">
        <v>5557</v>
      </c>
      <c r="U36" s="1" t="s">
        <v>6029</v>
      </c>
      <c r="V36" s="1" t="s">
        <v>5559</v>
      </c>
      <c r="W36" s="1">
        <v>34990000</v>
      </c>
      <c r="X36" s="1" t="s">
        <v>5560</v>
      </c>
      <c r="Y36" s="1">
        <v>251</v>
      </c>
      <c r="Z36" s="1" t="s">
        <v>28</v>
      </c>
      <c r="AA36" s="1" t="s">
        <v>5561</v>
      </c>
      <c r="AB36" s="1" t="s">
        <v>5562</v>
      </c>
      <c r="AC36" s="1" t="s">
        <v>6030</v>
      </c>
      <c r="AD36" s="1" t="s">
        <v>6026</v>
      </c>
      <c r="AE36" s="1" t="s">
        <v>6031</v>
      </c>
      <c r="AF36" s="21" t="s">
        <v>6319</v>
      </c>
      <c r="AG36" s="1">
        <v>1</v>
      </c>
      <c r="AH36" s="21" t="s">
        <v>6319</v>
      </c>
      <c r="AI36" s="21" t="s">
        <v>6320</v>
      </c>
      <c r="AJ36" t="s">
        <v>4360</v>
      </c>
      <c r="AK36" s="1">
        <v>1</v>
      </c>
      <c r="AL36" s="1">
        <v>0</v>
      </c>
      <c r="AM36" t="s">
        <v>4360</v>
      </c>
      <c r="AN36" s="1">
        <v>0</v>
      </c>
      <c r="AO36" s="1">
        <v>34000000</v>
      </c>
      <c r="AP36" s="1">
        <v>1178778</v>
      </c>
      <c r="AQ36" s="1">
        <v>0</v>
      </c>
      <c r="AR36" s="1">
        <v>35178778</v>
      </c>
      <c r="AS36" s="1">
        <v>34990000</v>
      </c>
      <c r="AT36" s="1">
        <v>-188778</v>
      </c>
      <c r="AU36" s="1">
        <v>-54</v>
      </c>
    </row>
    <row r="37" spans="1:47" ht="13.5" customHeight="1" x14ac:dyDescent="0.3">
      <c r="A37" s="1" t="s">
        <v>5554</v>
      </c>
      <c r="B37" s="1" t="s">
        <v>5580</v>
      </c>
      <c r="C37" s="1">
        <v>0</v>
      </c>
      <c r="D37" s="1">
        <v>0</v>
      </c>
      <c r="E37" t="s">
        <v>4360</v>
      </c>
      <c r="F37" t="s">
        <v>4360</v>
      </c>
      <c r="G37" t="s">
        <v>4360</v>
      </c>
      <c r="H37" t="s">
        <v>4360</v>
      </c>
      <c r="I37" s="21" t="s">
        <v>6289</v>
      </c>
      <c r="J37" t="s">
        <v>4360</v>
      </c>
      <c r="K37" s="1" t="s">
        <v>5581</v>
      </c>
      <c r="L37" s="1" t="s">
        <v>264</v>
      </c>
      <c r="M37" s="1" t="s">
        <v>5203</v>
      </c>
      <c r="N37" s="1" t="s">
        <v>268</v>
      </c>
      <c r="O37" s="1" t="s">
        <v>5582</v>
      </c>
      <c r="P37" s="1">
        <v>2018</v>
      </c>
      <c r="Q37" s="1">
        <v>95984</v>
      </c>
      <c r="R37" s="1" t="s">
        <v>5583</v>
      </c>
      <c r="S37" s="1" t="s">
        <v>269</v>
      </c>
      <c r="T37" s="1" t="s">
        <v>5557</v>
      </c>
      <c r="U37" s="1" t="s">
        <v>5584</v>
      </c>
      <c r="V37" s="1" t="s">
        <v>5559</v>
      </c>
      <c r="W37" s="1">
        <v>10490000</v>
      </c>
      <c r="X37" s="1" t="s">
        <v>5560</v>
      </c>
      <c r="Y37" s="1">
        <v>151</v>
      </c>
      <c r="Z37" s="1" t="s">
        <v>43</v>
      </c>
      <c r="AA37" s="1" t="s">
        <v>5585</v>
      </c>
      <c r="AB37" s="1" t="s">
        <v>5586</v>
      </c>
      <c r="AC37" s="1" t="s">
        <v>5587</v>
      </c>
      <c r="AD37" s="1" t="s">
        <v>5581</v>
      </c>
      <c r="AE37" s="1" t="s">
        <v>5588</v>
      </c>
      <c r="AF37" s="21" t="s">
        <v>6290</v>
      </c>
      <c r="AG37" s="1">
        <v>1</v>
      </c>
      <c r="AH37" s="21" t="s">
        <v>6291</v>
      </c>
      <c r="AI37" s="21" t="s">
        <v>6291</v>
      </c>
      <c r="AJ37" t="s">
        <v>6292</v>
      </c>
      <c r="AK37" s="1">
        <v>1</v>
      </c>
      <c r="AL37" s="1">
        <v>0</v>
      </c>
      <c r="AM37" t="s">
        <v>4360</v>
      </c>
      <c r="AN37" s="1">
        <v>0</v>
      </c>
      <c r="AO37" s="1">
        <v>8800000</v>
      </c>
      <c r="AP37" s="1">
        <v>258030</v>
      </c>
      <c r="AQ37" s="1">
        <v>0</v>
      </c>
      <c r="AR37" s="1">
        <v>9058030</v>
      </c>
      <c r="AS37" s="1">
        <v>10490000</v>
      </c>
      <c r="AT37" s="1">
        <v>1431970</v>
      </c>
      <c r="AU37" s="1">
        <v>1365</v>
      </c>
    </row>
    <row r="38" spans="1:47" ht="13.5" customHeight="1" x14ac:dyDescent="0.3">
      <c r="A38" s="1" t="s">
        <v>5554</v>
      </c>
      <c r="B38" s="1" t="s">
        <v>5589</v>
      </c>
      <c r="C38" s="1">
        <v>0</v>
      </c>
      <c r="D38" s="1">
        <v>0</v>
      </c>
      <c r="E38" t="s">
        <v>4360</v>
      </c>
      <c r="F38" t="s">
        <v>4360</v>
      </c>
      <c r="G38" t="s">
        <v>4360</v>
      </c>
      <c r="H38" t="s">
        <v>4360</v>
      </c>
      <c r="I38" s="21" t="s">
        <v>6467</v>
      </c>
      <c r="J38" t="s">
        <v>4360</v>
      </c>
      <c r="K38" s="1" t="s">
        <v>5997</v>
      </c>
      <c r="L38" s="1" t="s">
        <v>30</v>
      </c>
      <c r="M38" s="1" t="s">
        <v>34</v>
      </c>
      <c r="N38" s="1" t="s">
        <v>35</v>
      </c>
      <c r="O38" s="1" t="s">
        <v>5998</v>
      </c>
      <c r="P38" s="1">
        <v>2021</v>
      </c>
      <c r="Q38" s="1">
        <v>40095</v>
      </c>
      <c r="R38" s="1" t="s">
        <v>5999</v>
      </c>
      <c r="S38" s="1" t="s">
        <v>37</v>
      </c>
      <c r="T38" s="1" t="s">
        <v>5557</v>
      </c>
      <c r="U38" s="1" t="s">
        <v>6000</v>
      </c>
      <c r="V38" s="1" t="s">
        <v>5559</v>
      </c>
      <c r="W38" s="1">
        <v>8190000</v>
      </c>
      <c r="X38" s="1" t="s">
        <v>5560</v>
      </c>
      <c r="Y38" s="1">
        <v>223</v>
      </c>
      <c r="Z38" s="1" t="s">
        <v>36</v>
      </c>
      <c r="AA38" s="1" t="s">
        <v>5594</v>
      </c>
      <c r="AB38" s="1" t="s">
        <v>6001</v>
      </c>
      <c r="AC38" s="1" t="s">
        <v>6002</v>
      </c>
      <c r="AD38" s="1" t="s">
        <v>5997</v>
      </c>
      <c r="AE38" s="1" t="s">
        <v>6003</v>
      </c>
      <c r="AF38" s="21" t="s">
        <v>6468</v>
      </c>
      <c r="AG38" s="1">
        <v>1</v>
      </c>
      <c r="AH38" s="21" t="s">
        <v>6468</v>
      </c>
      <c r="AI38" s="21" t="s">
        <v>6469</v>
      </c>
      <c r="AJ38" t="s">
        <v>6224</v>
      </c>
      <c r="AK38" s="1">
        <v>1</v>
      </c>
      <c r="AL38" s="1">
        <v>0</v>
      </c>
      <c r="AM38" t="s">
        <v>4360</v>
      </c>
      <c r="AN38" s="1">
        <v>0</v>
      </c>
      <c r="AO38" s="1">
        <v>6200000</v>
      </c>
      <c r="AP38" s="1">
        <v>219030</v>
      </c>
      <c r="AQ38" s="1">
        <v>0</v>
      </c>
      <c r="AR38" s="1">
        <v>6419030</v>
      </c>
      <c r="AS38" s="1">
        <v>8190000</v>
      </c>
      <c r="AT38" s="1">
        <v>1770970</v>
      </c>
      <c r="AU38" s="1">
        <v>2162</v>
      </c>
    </row>
    <row r="39" spans="1:47" ht="13.5" customHeight="1" x14ac:dyDescent="0.3">
      <c r="A39" s="1" t="s">
        <v>5554</v>
      </c>
      <c r="B39" s="1" t="s">
        <v>5555</v>
      </c>
      <c r="C39" s="1">
        <v>0</v>
      </c>
      <c r="D39" s="1">
        <v>0</v>
      </c>
      <c r="E39" t="s">
        <v>4360</v>
      </c>
      <c r="F39" t="s">
        <v>4360</v>
      </c>
      <c r="G39" t="s">
        <v>4360</v>
      </c>
      <c r="H39" t="s">
        <v>4360</v>
      </c>
      <c r="I39" s="21" t="s">
        <v>6564</v>
      </c>
      <c r="J39" t="s">
        <v>4360</v>
      </c>
      <c r="K39" s="1" t="s">
        <v>5597</v>
      </c>
      <c r="L39" s="1" t="s">
        <v>264</v>
      </c>
      <c r="M39" s="1" t="s">
        <v>5203</v>
      </c>
      <c r="N39" s="1" t="s">
        <v>276</v>
      </c>
      <c r="O39" s="1" t="s">
        <v>5598</v>
      </c>
      <c r="P39" s="1">
        <v>2020</v>
      </c>
      <c r="Q39" s="1">
        <v>31000</v>
      </c>
      <c r="R39" s="1" t="s">
        <v>5599</v>
      </c>
      <c r="S39" s="1" t="s">
        <v>277</v>
      </c>
      <c r="T39" s="1" t="s">
        <v>5557</v>
      </c>
      <c r="U39" s="1" t="s">
        <v>5576</v>
      </c>
      <c r="V39" s="1" t="s">
        <v>5559</v>
      </c>
      <c r="W39" s="1">
        <v>14990000</v>
      </c>
      <c r="X39" s="1" t="s">
        <v>5560</v>
      </c>
      <c r="Y39" s="1">
        <v>1492</v>
      </c>
      <c r="Z39" s="1" t="s">
        <v>43</v>
      </c>
      <c r="AA39" s="1" t="s">
        <v>5561</v>
      </c>
      <c r="AB39" s="1" t="s">
        <v>5600</v>
      </c>
      <c r="AC39" s="1" t="s">
        <v>5601</v>
      </c>
      <c r="AD39" s="1" t="s">
        <v>5597</v>
      </c>
      <c r="AE39" s="1" t="s">
        <v>5602</v>
      </c>
      <c r="AF39" s="21" t="s">
        <v>6565</v>
      </c>
      <c r="AG39" s="1">
        <v>1</v>
      </c>
      <c r="AH39" s="21" t="s">
        <v>6566</v>
      </c>
      <c r="AI39" s="21" t="s">
        <v>6566</v>
      </c>
      <c r="AJ39" t="s">
        <v>4360</v>
      </c>
      <c r="AK39" s="1">
        <v>0</v>
      </c>
      <c r="AL39" s="1">
        <v>0</v>
      </c>
      <c r="AM39" t="s">
        <v>4360</v>
      </c>
      <c r="AN39" s="1">
        <v>7</v>
      </c>
      <c r="AO39" s="1">
        <v>20000000</v>
      </c>
      <c r="AP39" s="1">
        <v>1051072</v>
      </c>
      <c r="AQ39" s="1">
        <v>0</v>
      </c>
      <c r="AR39" s="1">
        <v>21051072</v>
      </c>
      <c r="AS39" s="1">
        <v>14990000</v>
      </c>
      <c r="AT39" s="1">
        <v>-6061072</v>
      </c>
      <c r="AU39" s="1">
        <v>-4043</v>
      </c>
    </row>
    <row r="40" spans="1:47" ht="13.5" customHeight="1" x14ac:dyDescent="0.3">
      <c r="A40" s="1" t="s">
        <v>5554</v>
      </c>
      <c r="B40" s="1" t="s">
        <v>5626</v>
      </c>
      <c r="C40" s="1">
        <v>0</v>
      </c>
      <c r="D40" s="1">
        <v>0</v>
      </c>
      <c r="E40" t="s">
        <v>4360</v>
      </c>
      <c r="F40" t="s">
        <v>4360</v>
      </c>
      <c r="G40" t="s">
        <v>4360</v>
      </c>
      <c r="H40" t="s">
        <v>4360</v>
      </c>
      <c r="I40" s="21" t="s">
        <v>6386</v>
      </c>
      <c r="J40" t="s">
        <v>4360</v>
      </c>
      <c r="K40" s="1" t="s">
        <v>5892</v>
      </c>
      <c r="L40" s="1" t="s">
        <v>201</v>
      </c>
      <c r="M40" s="1" t="s">
        <v>206</v>
      </c>
      <c r="N40" s="1" t="s">
        <v>207</v>
      </c>
      <c r="O40" s="1" t="s">
        <v>5893</v>
      </c>
      <c r="P40" s="1">
        <v>2014</v>
      </c>
      <c r="Q40" s="1">
        <v>50000</v>
      </c>
      <c r="R40" s="1" t="s">
        <v>5894</v>
      </c>
      <c r="S40" s="1" t="s">
        <v>208</v>
      </c>
      <c r="T40" s="1" t="s">
        <v>5557</v>
      </c>
      <c r="U40" s="1" t="s">
        <v>5895</v>
      </c>
      <c r="V40" s="1" t="s">
        <v>5559</v>
      </c>
      <c r="W40" s="1">
        <v>4390000</v>
      </c>
      <c r="X40" s="1" t="s">
        <v>5560</v>
      </c>
      <c r="Y40" s="1">
        <v>2849</v>
      </c>
      <c r="Z40" s="1" t="s">
        <v>204</v>
      </c>
      <c r="AA40" s="1" t="s">
        <v>5632</v>
      </c>
      <c r="AB40" s="1" t="s">
        <v>4360</v>
      </c>
      <c r="AC40" s="1" t="s">
        <v>5896</v>
      </c>
      <c r="AD40" s="1" t="s">
        <v>5892</v>
      </c>
      <c r="AE40" s="1" t="s">
        <v>5897</v>
      </c>
      <c r="AF40" s="21" t="s">
        <v>6387</v>
      </c>
      <c r="AG40" s="1">
        <v>0</v>
      </c>
      <c r="AH40" s="21" t="s">
        <v>4360</v>
      </c>
      <c r="AI40" s="21" t="s">
        <v>4360</v>
      </c>
      <c r="AJ40" s="21" t="s">
        <v>4360</v>
      </c>
      <c r="AK40" s="1">
        <v>0</v>
      </c>
      <c r="AL40" s="1">
        <v>0</v>
      </c>
      <c r="AM40" t="s">
        <v>4360</v>
      </c>
      <c r="AN40" s="1">
        <v>1</v>
      </c>
      <c r="AO40" s="1">
        <v>0</v>
      </c>
      <c r="AP40" s="1">
        <v>1812732</v>
      </c>
      <c r="AQ40" s="1">
        <v>0</v>
      </c>
      <c r="AR40" s="1">
        <v>1812732</v>
      </c>
      <c r="AS40" s="1">
        <v>4390000</v>
      </c>
      <c r="AT40" s="1">
        <v>2577268</v>
      </c>
      <c r="AU40" s="1">
        <v>5871</v>
      </c>
    </row>
    <row r="41" spans="1:47" ht="13.5" customHeight="1" x14ac:dyDescent="0.3">
      <c r="A41" s="1" t="s">
        <v>5554</v>
      </c>
      <c r="B41" s="1" t="s">
        <v>5555</v>
      </c>
      <c r="C41" s="1">
        <v>0</v>
      </c>
      <c r="D41" s="1">
        <v>0</v>
      </c>
      <c r="E41" t="s">
        <v>4360</v>
      </c>
      <c r="F41" t="s">
        <v>4360</v>
      </c>
      <c r="G41" t="s">
        <v>4360</v>
      </c>
      <c r="H41" t="s">
        <v>4360</v>
      </c>
      <c r="I41" s="21" t="s">
        <v>6408</v>
      </c>
      <c r="J41" t="s">
        <v>4360</v>
      </c>
      <c r="K41" s="1" t="s">
        <v>5832</v>
      </c>
      <c r="L41" s="1" t="s">
        <v>93</v>
      </c>
      <c r="M41" s="1" t="s">
        <v>110</v>
      </c>
      <c r="N41" s="1" t="s">
        <v>111</v>
      </c>
      <c r="O41" s="1" t="s">
        <v>5833</v>
      </c>
      <c r="P41" s="1">
        <v>2017</v>
      </c>
      <c r="Q41" s="1">
        <v>107300</v>
      </c>
      <c r="R41" s="1" t="s">
        <v>5834</v>
      </c>
      <c r="S41" s="1" t="s">
        <v>112</v>
      </c>
      <c r="T41" s="1" t="s">
        <v>5557</v>
      </c>
      <c r="U41" s="1" t="s">
        <v>5835</v>
      </c>
      <c r="V41" s="1" t="s">
        <v>5559</v>
      </c>
      <c r="W41" s="1">
        <v>15290000</v>
      </c>
      <c r="X41" s="1" t="s">
        <v>5560</v>
      </c>
      <c r="Y41" s="1">
        <v>938</v>
      </c>
      <c r="Z41" s="1" t="s">
        <v>28</v>
      </c>
      <c r="AA41" s="1" t="s">
        <v>5561</v>
      </c>
      <c r="AB41" s="1" t="s">
        <v>5836</v>
      </c>
      <c r="AC41" s="1" t="s">
        <v>5837</v>
      </c>
      <c r="AD41" s="1" t="s">
        <v>5832</v>
      </c>
      <c r="AE41" s="1" t="s">
        <v>5838</v>
      </c>
      <c r="AF41" s="21" t="s">
        <v>6409</v>
      </c>
      <c r="AG41" s="1">
        <v>1</v>
      </c>
      <c r="AH41" s="21" t="s">
        <v>6410</v>
      </c>
      <c r="AI41" s="21" t="s">
        <v>6410</v>
      </c>
      <c r="AJ41" t="s">
        <v>4360</v>
      </c>
      <c r="AK41" s="1">
        <v>0</v>
      </c>
      <c r="AL41" s="1">
        <v>0</v>
      </c>
      <c r="AM41" t="s">
        <v>4360</v>
      </c>
      <c r="AN41" s="1">
        <v>0</v>
      </c>
      <c r="AO41" s="1">
        <v>18000000</v>
      </c>
      <c r="AP41" s="1">
        <v>961786</v>
      </c>
      <c r="AQ41" s="1">
        <v>0</v>
      </c>
      <c r="AR41" s="1">
        <v>18961786</v>
      </c>
      <c r="AS41" s="1">
        <v>15290000</v>
      </c>
      <c r="AT41" s="1">
        <v>-3671786</v>
      </c>
      <c r="AU41" s="1">
        <v>-2401</v>
      </c>
    </row>
    <row r="42" spans="1:47" ht="13.5" customHeight="1" x14ac:dyDescent="0.3">
      <c r="A42" s="1" t="s">
        <v>5554</v>
      </c>
      <c r="B42" s="1" t="s">
        <v>5555</v>
      </c>
      <c r="C42" s="1">
        <v>0</v>
      </c>
      <c r="D42" s="1">
        <v>0</v>
      </c>
      <c r="E42" t="s">
        <v>4360</v>
      </c>
      <c r="F42" t="s">
        <v>4360</v>
      </c>
      <c r="G42" t="s">
        <v>4360</v>
      </c>
      <c r="H42" t="s">
        <v>4360</v>
      </c>
      <c r="I42" s="21" t="s">
        <v>6411</v>
      </c>
      <c r="J42" t="s">
        <v>4360</v>
      </c>
      <c r="K42" s="1" t="s">
        <v>6010</v>
      </c>
      <c r="L42" s="1" t="s">
        <v>48</v>
      </c>
      <c r="M42" s="1" t="s">
        <v>52</v>
      </c>
      <c r="N42" s="1" t="s">
        <v>53</v>
      </c>
      <c r="O42" s="1" t="s">
        <v>6011</v>
      </c>
      <c r="P42" s="1">
        <v>2023</v>
      </c>
      <c r="Q42" s="1">
        <v>44495</v>
      </c>
      <c r="R42" s="1" t="s">
        <v>6012</v>
      </c>
      <c r="S42" s="1" t="s">
        <v>54</v>
      </c>
      <c r="T42" s="1" t="s">
        <v>5557</v>
      </c>
      <c r="U42" s="1" t="s">
        <v>5733</v>
      </c>
      <c r="V42" s="1" t="s">
        <v>5559</v>
      </c>
      <c r="W42" s="1">
        <v>49990000</v>
      </c>
      <c r="X42" s="1" t="s">
        <v>5560</v>
      </c>
      <c r="Y42" s="1">
        <v>222</v>
      </c>
      <c r="Z42" s="1" t="s">
        <v>28</v>
      </c>
      <c r="AA42" s="1" t="s">
        <v>5561</v>
      </c>
      <c r="AB42" s="1" t="s">
        <v>4360</v>
      </c>
      <c r="AC42" s="1" t="s">
        <v>6013</v>
      </c>
      <c r="AD42" s="1" t="s">
        <v>6014</v>
      </c>
      <c r="AE42" s="1" t="s">
        <v>5554</v>
      </c>
      <c r="AF42" s="21" t="s">
        <v>6412</v>
      </c>
      <c r="AG42" s="1">
        <v>1</v>
      </c>
      <c r="AH42" s="21" t="s">
        <v>6413</v>
      </c>
      <c r="AI42" s="21" t="s">
        <v>6414</v>
      </c>
      <c r="AJ42" t="s">
        <v>4360</v>
      </c>
      <c r="AK42" s="1">
        <v>4</v>
      </c>
      <c r="AL42" s="1">
        <v>0</v>
      </c>
      <c r="AM42" t="s">
        <v>4360</v>
      </c>
      <c r="AN42" s="1">
        <v>0</v>
      </c>
      <c r="AO42" s="1">
        <v>48000000</v>
      </c>
      <c r="AP42" s="1">
        <v>846030</v>
      </c>
      <c r="AQ42" s="1">
        <v>0</v>
      </c>
      <c r="AR42" s="1">
        <v>48846030</v>
      </c>
      <c r="AS42" s="1">
        <v>49990000</v>
      </c>
      <c r="AT42" s="1">
        <v>1143970</v>
      </c>
      <c r="AU42" s="1">
        <v>229</v>
      </c>
    </row>
    <row r="43" spans="1:47" ht="13.5" customHeight="1" x14ac:dyDescent="0.3">
      <c r="A43" s="1" t="s">
        <v>5554</v>
      </c>
      <c r="B43" s="1" t="s">
        <v>5580</v>
      </c>
      <c r="C43" s="1">
        <v>0</v>
      </c>
      <c r="D43" s="1">
        <v>0</v>
      </c>
      <c r="E43" t="s">
        <v>4360</v>
      </c>
      <c r="F43" t="s">
        <v>4360</v>
      </c>
      <c r="G43" t="s">
        <v>4360</v>
      </c>
      <c r="H43" t="s">
        <v>4360</v>
      </c>
      <c r="I43" s="21" t="s">
        <v>6541</v>
      </c>
      <c r="J43" t="s">
        <v>4360</v>
      </c>
      <c r="K43" s="1" t="s">
        <v>5992</v>
      </c>
      <c r="L43" s="1" t="s">
        <v>167</v>
      </c>
      <c r="M43" s="1" t="s">
        <v>167</v>
      </c>
      <c r="N43" s="1" t="s">
        <v>176</v>
      </c>
      <c r="O43" s="1" t="s">
        <v>5993</v>
      </c>
      <c r="P43" s="1">
        <v>2024</v>
      </c>
      <c r="Q43" s="1">
        <v>25840</v>
      </c>
      <c r="R43" s="1" t="s">
        <v>5994</v>
      </c>
      <c r="S43" s="1" t="s">
        <v>177</v>
      </c>
      <c r="T43" s="1" t="s">
        <v>5557</v>
      </c>
      <c r="U43" s="1" t="s">
        <v>5733</v>
      </c>
      <c r="V43" s="1" t="s">
        <v>5559</v>
      </c>
      <c r="W43" s="1">
        <v>19990000</v>
      </c>
      <c r="X43" s="1" t="s">
        <v>5560</v>
      </c>
      <c r="Y43" s="1">
        <v>41</v>
      </c>
      <c r="Z43" s="1" t="s">
        <v>28</v>
      </c>
      <c r="AA43" s="1" t="s">
        <v>5585</v>
      </c>
      <c r="AB43" s="1" t="s">
        <v>5616</v>
      </c>
      <c r="AC43" s="1" t="s">
        <v>5995</v>
      </c>
      <c r="AD43" s="1" t="s">
        <v>5992</v>
      </c>
      <c r="AE43" s="1" t="s">
        <v>5996</v>
      </c>
      <c r="AF43" s="21" t="s">
        <v>6542</v>
      </c>
      <c r="AG43" s="1">
        <v>1</v>
      </c>
      <c r="AH43" s="21" t="s">
        <v>6542</v>
      </c>
      <c r="AI43" s="21" t="s">
        <v>6543</v>
      </c>
      <c r="AJ43" t="s">
        <v>4360</v>
      </c>
      <c r="AK43" s="1">
        <v>1</v>
      </c>
      <c r="AL43" s="1">
        <v>0</v>
      </c>
      <c r="AM43" t="s">
        <v>4360</v>
      </c>
      <c r="AN43" s="1">
        <v>0</v>
      </c>
      <c r="AO43" s="1">
        <v>17200000</v>
      </c>
      <c r="AP43" s="1">
        <v>387240</v>
      </c>
      <c r="AQ43" s="1">
        <v>0</v>
      </c>
      <c r="AR43" s="1">
        <v>17587240</v>
      </c>
      <c r="AS43" s="1">
        <v>19990000</v>
      </c>
      <c r="AT43" s="1">
        <v>2402760</v>
      </c>
      <c r="AU43" s="1">
        <v>1202</v>
      </c>
    </row>
    <row r="44" spans="1:47" ht="13.5" customHeight="1" x14ac:dyDescent="0.3">
      <c r="A44" s="1" t="s">
        <v>5554</v>
      </c>
      <c r="B44" s="1" t="s">
        <v>5555</v>
      </c>
      <c r="C44" s="1">
        <v>0</v>
      </c>
      <c r="D44" s="1">
        <v>0</v>
      </c>
      <c r="E44" t="s">
        <v>4360</v>
      </c>
      <c r="F44" t="s">
        <v>4360</v>
      </c>
      <c r="G44" t="s">
        <v>4360</v>
      </c>
      <c r="H44" t="s">
        <v>4360</v>
      </c>
      <c r="I44" s="21" t="s">
        <v>6312</v>
      </c>
      <c r="J44" t="s">
        <v>4360</v>
      </c>
      <c r="K44" s="1" t="s">
        <v>5807</v>
      </c>
      <c r="L44" s="1" t="s">
        <v>93</v>
      </c>
      <c r="M44" s="1" t="s">
        <v>105</v>
      </c>
      <c r="N44" s="1" t="s">
        <v>106</v>
      </c>
      <c r="O44" s="1" t="s">
        <v>5808</v>
      </c>
      <c r="P44" s="1">
        <v>2024</v>
      </c>
      <c r="Q44" s="1">
        <v>52000</v>
      </c>
      <c r="R44" s="1" t="s">
        <v>5809</v>
      </c>
      <c r="S44" s="1" t="s">
        <v>109</v>
      </c>
      <c r="T44" s="1" t="s">
        <v>5557</v>
      </c>
      <c r="U44" s="1" t="s">
        <v>5810</v>
      </c>
      <c r="V44" s="1" t="s">
        <v>5559</v>
      </c>
      <c r="W44" s="1">
        <v>23590000</v>
      </c>
      <c r="X44" s="1" t="s">
        <v>5560</v>
      </c>
      <c r="Y44" s="1">
        <v>27</v>
      </c>
      <c r="Z44" s="1" t="s">
        <v>43</v>
      </c>
      <c r="AA44" s="1" t="s">
        <v>5561</v>
      </c>
      <c r="AB44" s="1" t="s">
        <v>5811</v>
      </c>
      <c r="AC44" s="1" t="s">
        <v>5812</v>
      </c>
      <c r="AD44" s="1" t="s">
        <v>5807</v>
      </c>
      <c r="AE44" s="1" t="s">
        <v>5813</v>
      </c>
      <c r="AF44" s="21" t="s">
        <v>6313</v>
      </c>
      <c r="AG44" s="1">
        <v>1</v>
      </c>
      <c r="AH44" s="21" t="s">
        <v>6313</v>
      </c>
      <c r="AI44" s="21" t="s">
        <v>6314</v>
      </c>
      <c r="AJ44" t="s">
        <v>4360</v>
      </c>
      <c r="AK44" s="1">
        <v>1</v>
      </c>
      <c r="AL44" s="1">
        <v>0</v>
      </c>
      <c r="AM44" t="s">
        <v>4360</v>
      </c>
      <c r="AN44" s="1">
        <v>0</v>
      </c>
      <c r="AO44" s="1">
        <v>18900000</v>
      </c>
      <c r="AP44" s="1">
        <v>412740</v>
      </c>
      <c r="AQ44" s="1">
        <v>0</v>
      </c>
      <c r="AR44" s="1">
        <v>19312740</v>
      </c>
      <c r="AS44" s="1">
        <v>23590000</v>
      </c>
      <c r="AT44" s="1">
        <v>4277260</v>
      </c>
      <c r="AU44" s="1">
        <v>1813</v>
      </c>
    </row>
    <row r="45" spans="1:47" ht="13.5" customHeight="1" x14ac:dyDescent="0.3">
      <c r="A45" s="1" t="s">
        <v>5554</v>
      </c>
      <c r="B45" s="1" t="s">
        <v>5589</v>
      </c>
      <c r="C45" s="1">
        <v>0</v>
      </c>
      <c r="D45" s="1">
        <v>0</v>
      </c>
      <c r="E45" t="s">
        <v>4360</v>
      </c>
      <c r="F45" t="s">
        <v>4360</v>
      </c>
      <c r="G45" t="s">
        <v>4360</v>
      </c>
      <c r="H45" t="s">
        <v>4360</v>
      </c>
      <c r="I45" s="21" t="s">
        <v>6275</v>
      </c>
      <c r="J45" t="s">
        <v>4360</v>
      </c>
      <c r="K45" s="1" t="s">
        <v>5730</v>
      </c>
      <c r="L45" s="1" t="s">
        <v>327</v>
      </c>
      <c r="M45" s="1" t="s">
        <v>328</v>
      </c>
      <c r="N45" s="1" t="s">
        <v>329</v>
      </c>
      <c r="O45" s="1" t="s">
        <v>5731</v>
      </c>
      <c r="P45" s="1">
        <v>2019</v>
      </c>
      <c r="Q45" s="1">
        <v>63000</v>
      </c>
      <c r="R45" s="1" t="s">
        <v>5732</v>
      </c>
      <c r="S45" s="1" t="s">
        <v>330</v>
      </c>
      <c r="T45" s="1" t="s">
        <v>5557</v>
      </c>
      <c r="U45" s="1" t="s">
        <v>5733</v>
      </c>
      <c r="V45" s="1" t="s">
        <v>5559</v>
      </c>
      <c r="W45" s="1">
        <v>11990000</v>
      </c>
      <c r="X45" s="1" t="s">
        <v>5560</v>
      </c>
      <c r="Y45" s="1">
        <v>57</v>
      </c>
      <c r="Z45" s="1" t="s">
        <v>28</v>
      </c>
      <c r="AA45" s="1" t="s">
        <v>5594</v>
      </c>
      <c r="AB45" s="1" t="s">
        <v>5734</v>
      </c>
      <c r="AC45" s="1" t="s">
        <v>5735</v>
      </c>
      <c r="AD45" s="1" t="s">
        <v>5730</v>
      </c>
      <c r="AE45" s="1" t="s">
        <v>5736</v>
      </c>
      <c r="AF45" s="21" t="s">
        <v>6236</v>
      </c>
      <c r="AG45" s="1">
        <v>1</v>
      </c>
      <c r="AH45" s="21" t="s">
        <v>6236</v>
      </c>
      <c r="AI45" s="21" t="s">
        <v>6276</v>
      </c>
      <c r="AJ45" t="s">
        <v>4360</v>
      </c>
      <c r="AK45" s="1">
        <v>1</v>
      </c>
      <c r="AL45" s="1">
        <v>0</v>
      </c>
      <c r="AM45" t="s">
        <v>4360</v>
      </c>
      <c r="AN45" s="1">
        <v>0</v>
      </c>
      <c r="AO45" s="1">
        <v>9100000</v>
      </c>
      <c r="AP45" s="1">
        <v>265740</v>
      </c>
      <c r="AQ45" s="1">
        <v>0</v>
      </c>
      <c r="AR45" s="1">
        <v>9365740</v>
      </c>
      <c r="AS45" s="1">
        <v>11990000</v>
      </c>
      <c r="AT45" s="1">
        <v>2624260</v>
      </c>
      <c r="AU45" s="1">
        <v>2189</v>
      </c>
    </row>
    <row r="46" spans="1:47" ht="13.5" customHeight="1" x14ac:dyDescent="0.3">
      <c r="A46" s="1" t="s">
        <v>5554</v>
      </c>
      <c r="B46" s="1" t="s">
        <v>5589</v>
      </c>
      <c r="C46" s="1">
        <v>0</v>
      </c>
      <c r="D46" s="1">
        <v>0</v>
      </c>
      <c r="E46" t="s">
        <v>4360</v>
      </c>
      <c r="F46" t="s">
        <v>4360</v>
      </c>
      <c r="G46" t="s">
        <v>4360</v>
      </c>
      <c r="H46" t="s">
        <v>4360</v>
      </c>
      <c r="I46" s="21" t="s">
        <v>8866</v>
      </c>
      <c r="J46" t="s">
        <v>4360</v>
      </c>
      <c r="K46" s="1" t="s">
        <v>8867</v>
      </c>
      <c r="L46" s="1" t="s">
        <v>2906</v>
      </c>
      <c r="M46" s="1" t="s">
        <v>2906</v>
      </c>
      <c r="N46" s="1" t="s">
        <v>4413</v>
      </c>
      <c r="O46" s="1" t="s">
        <v>4360</v>
      </c>
      <c r="P46" s="1">
        <v>2022</v>
      </c>
      <c r="Q46" s="1">
        <v>75000</v>
      </c>
      <c r="R46" s="1" t="s">
        <v>8868</v>
      </c>
      <c r="S46" s="1" t="s">
        <v>8702</v>
      </c>
      <c r="T46" s="1" t="s">
        <v>5557</v>
      </c>
      <c r="U46" s="1" t="s">
        <v>5606</v>
      </c>
      <c r="V46" s="1" t="s">
        <v>5559</v>
      </c>
      <c r="W46" s="1">
        <v>9490000</v>
      </c>
      <c r="X46" s="1" t="s">
        <v>5560</v>
      </c>
      <c r="Y46" s="1">
        <v>1</v>
      </c>
      <c r="Z46" s="1" t="s">
        <v>17</v>
      </c>
      <c r="AA46" s="1" t="s">
        <v>5594</v>
      </c>
      <c r="AB46" s="1" t="s">
        <v>8869</v>
      </c>
      <c r="AC46" s="1" t="s">
        <v>8870</v>
      </c>
      <c r="AD46" s="1" t="s">
        <v>8867</v>
      </c>
      <c r="AE46" s="1" t="s">
        <v>8871</v>
      </c>
      <c r="AF46" s="21" t="s">
        <v>8831</v>
      </c>
      <c r="AG46" s="1">
        <v>1</v>
      </c>
      <c r="AH46" s="21" t="s">
        <v>8831</v>
      </c>
      <c r="AI46" s="21" t="s">
        <v>8872</v>
      </c>
      <c r="AJ46" t="s">
        <v>4360</v>
      </c>
      <c r="AK46" s="1">
        <v>1</v>
      </c>
      <c r="AL46" s="1">
        <v>0</v>
      </c>
      <c r="AM46" t="s">
        <v>4360</v>
      </c>
      <c r="AN46" s="1">
        <v>0</v>
      </c>
      <c r="AO46" s="1">
        <v>7100000</v>
      </c>
      <c r="AP46" s="1">
        <v>0</v>
      </c>
      <c r="AQ46" s="1">
        <v>0</v>
      </c>
      <c r="AR46" s="1">
        <v>7100000</v>
      </c>
      <c r="AS46" s="1">
        <v>9490000</v>
      </c>
      <c r="AT46" s="1">
        <v>2390000</v>
      </c>
      <c r="AU46" s="1">
        <v>2518</v>
      </c>
    </row>
    <row r="47" spans="1:47" ht="13.5" customHeight="1" x14ac:dyDescent="0.3">
      <c r="A47" s="1" t="s">
        <v>5554</v>
      </c>
      <c r="B47" s="1" t="s">
        <v>5555</v>
      </c>
      <c r="C47" s="1">
        <v>0</v>
      </c>
      <c r="D47" s="1">
        <v>0</v>
      </c>
      <c r="E47" t="s">
        <v>4360</v>
      </c>
      <c r="F47" t="s">
        <v>4360</v>
      </c>
      <c r="G47" t="s">
        <v>4360</v>
      </c>
      <c r="H47" t="s">
        <v>4360</v>
      </c>
      <c r="I47" s="21" t="s">
        <v>6297</v>
      </c>
      <c r="J47" t="s">
        <v>4360</v>
      </c>
      <c r="K47" s="1" t="s">
        <v>5780</v>
      </c>
      <c r="L47" s="1" t="s">
        <v>93</v>
      </c>
      <c r="M47" s="1" t="s">
        <v>118</v>
      </c>
      <c r="N47" s="1" t="s">
        <v>129</v>
      </c>
      <c r="O47" s="1" t="s">
        <v>5781</v>
      </c>
      <c r="P47" s="1">
        <v>2024</v>
      </c>
      <c r="Q47" s="1">
        <v>13800</v>
      </c>
      <c r="R47" s="1" t="s">
        <v>5782</v>
      </c>
      <c r="S47" s="1" t="s">
        <v>130</v>
      </c>
      <c r="T47" s="1" t="s">
        <v>5557</v>
      </c>
      <c r="U47" s="1" t="s">
        <v>5783</v>
      </c>
      <c r="V47" s="1" t="s">
        <v>5559</v>
      </c>
      <c r="W47" s="1">
        <v>36490000</v>
      </c>
      <c r="X47" s="1" t="s">
        <v>5560</v>
      </c>
      <c r="Y47" s="1">
        <v>57</v>
      </c>
      <c r="Z47" s="1" t="s">
        <v>28</v>
      </c>
      <c r="AA47" s="1" t="s">
        <v>5561</v>
      </c>
      <c r="AB47" s="1" t="s">
        <v>5784</v>
      </c>
      <c r="AC47" s="1" t="s">
        <v>5785</v>
      </c>
      <c r="AD47" s="1" t="s">
        <v>5780</v>
      </c>
      <c r="AE47" s="1" t="s">
        <v>5786</v>
      </c>
      <c r="AF47" s="21" t="s">
        <v>6236</v>
      </c>
      <c r="AG47" s="1">
        <v>1</v>
      </c>
      <c r="AH47" s="21" t="s">
        <v>6236</v>
      </c>
      <c r="AI47" s="21" t="s">
        <v>6298</v>
      </c>
      <c r="AJ47" t="s">
        <v>4360</v>
      </c>
      <c r="AK47" s="1">
        <v>1</v>
      </c>
      <c r="AL47" s="1">
        <v>0</v>
      </c>
      <c r="AM47" t="s">
        <v>4360</v>
      </c>
      <c r="AN47" s="1">
        <v>0</v>
      </c>
      <c r="AO47" s="1">
        <v>31300000</v>
      </c>
      <c r="AP47" s="1">
        <v>598740</v>
      </c>
      <c r="AQ47" s="1">
        <v>0</v>
      </c>
      <c r="AR47" s="1">
        <v>31898740</v>
      </c>
      <c r="AS47" s="1">
        <v>36490000</v>
      </c>
      <c r="AT47" s="1">
        <v>4591260</v>
      </c>
      <c r="AU47" s="1">
        <v>1258</v>
      </c>
    </row>
    <row r="48" spans="1:47" ht="13.5" customHeight="1" x14ac:dyDescent="0.3">
      <c r="A48" s="1" t="s">
        <v>5554</v>
      </c>
      <c r="B48" s="1" t="s">
        <v>5619</v>
      </c>
      <c r="C48" s="1">
        <v>0</v>
      </c>
      <c r="D48" s="1">
        <v>0</v>
      </c>
      <c r="E48" t="s">
        <v>4360</v>
      </c>
      <c r="F48" t="s">
        <v>4360</v>
      </c>
      <c r="G48" t="s">
        <v>4360</v>
      </c>
      <c r="H48" t="s">
        <v>4360</v>
      </c>
      <c r="I48" s="21" t="s">
        <v>6439</v>
      </c>
      <c r="J48" t="s">
        <v>4360</v>
      </c>
      <c r="K48" s="1" t="s">
        <v>5915</v>
      </c>
      <c r="L48" s="1" t="s">
        <v>181</v>
      </c>
      <c r="M48" s="1" t="s">
        <v>182</v>
      </c>
      <c r="N48" s="1" t="s">
        <v>183</v>
      </c>
      <c r="O48" s="1" t="s">
        <v>5916</v>
      </c>
      <c r="P48" s="1">
        <v>2024</v>
      </c>
      <c r="Q48" s="1">
        <v>8249</v>
      </c>
      <c r="R48" s="1" t="s">
        <v>5917</v>
      </c>
      <c r="S48" s="1" t="s">
        <v>184</v>
      </c>
      <c r="T48" s="1" t="s">
        <v>5557</v>
      </c>
      <c r="U48" s="1" t="s">
        <v>5842</v>
      </c>
      <c r="V48" s="1" t="s">
        <v>5559</v>
      </c>
      <c r="W48" s="1">
        <v>10490000</v>
      </c>
      <c r="X48" s="1" t="s">
        <v>5560</v>
      </c>
      <c r="Y48" s="1">
        <v>17</v>
      </c>
      <c r="Z48" s="1" t="s">
        <v>28</v>
      </c>
      <c r="AA48" s="1" t="s">
        <v>5611</v>
      </c>
      <c r="AB48" s="1" t="s">
        <v>5843</v>
      </c>
      <c r="AC48" s="1" t="s">
        <v>5918</v>
      </c>
      <c r="AD48" s="1" t="s">
        <v>5919</v>
      </c>
      <c r="AE48" s="1" t="s">
        <v>5920</v>
      </c>
      <c r="AF48" s="21" t="s">
        <v>6251</v>
      </c>
      <c r="AG48" s="1">
        <v>1</v>
      </c>
      <c r="AH48" s="21" t="s">
        <v>6251</v>
      </c>
      <c r="AI48" s="21" t="s">
        <v>6440</v>
      </c>
      <c r="AJ48" s="21" t="s">
        <v>4360</v>
      </c>
      <c r="AK48" s="1">
        <v>1</v>
      </c>
      <c r="AL48" s="1">
        <v>0</v>
      </c>
      <c r="AM48" t="s">
        <v>4360</v>
      </c>
      <c r="AN48" s="1">
        <v>0</v>
      </c>
      <c r="AO48" s="1">
        <v>8500000</v>
      </c>
      <c r="AP48" s="1">
        <v>0</v>
      </c>
      <c r="AQ48" s="1">
        <v>0</v>
      </c>
      <c r="AR48" s="1">
        <v>8500000</v>
      </c>
      <c r="AS48" s="1">
        <v>10490000</v>
      </c>
      <c r="AT48" s="1">
        <v>1990000</v>
      </c>
      <c r="AU48" s="1">
        <v>1897</v>
      </c>
    </row>
    <row r="49" spans="1:47" ht="13.5" customHeight="1" x14ac:dyDescent="0.3">
      <c r="A49" s="1" t="s">
        <v>5554</v>
      </c>
      <c r="B49" s="1" t="s">
        <v>5555</v>
      </c>
      <c r="C49" s="1">
        <v>0</v>
      </c>
      <c r="D49" s="1">
        <v>0</v>
      </c>
      <c r="E49" t="s">
        <v>4360</v>
      </c>
      <c r="F49" t="s">
        <v>4360</v>
      </c>
      <c r="G49" t="s">
        <v>4360</v>
      </c>
      <c r="H49" t="s">
        <v>4360</v>
      </c>
      <c r="I49" s="21" t="s">
        <v>6646</v>
      </c>
      <c r="J49" t="s">
        <v>4360</v>
      </c>
      <c r="K49" s="1" t="s">
        <v>6192</v>
      </c>
      <c r="L49" s="1" t="s">
        <v>242</v>
      </c>
      <c r="M49" s="1" t="s">
        <v>246</v>
      </c>
      <c r="N49" s="1" t="s">
        <v>247</v>
      </c>
      <c r="O49" s="1" t="s">
        <v>6099</v>
      </c>
      <c r="P49" s="1">
        <v>2023</v>
      </c>
      <c r="Q49" s="1">
        <v>45836</v>
      </c>
      <c r="R49" s="1" t="s">
        <v>6193</v>
      </c>
      <c r="S49" s="1" t="s">
        <v>250</v>
      </c>
      <c r="T49" s="1" t="s">
        <v>5557</v>
      </c>
      <c r="U49" s="1" t="s">
        <v>5566</v>
      </c>
      <c r="V49" s="1" t="s">
        <v>5559</v>
      </c>
      <c r="W49" s="1">
        <v>17290000</v>
      </c>
      <c r="X49" s="1" t="s">
        <v>5560</v>
      </c>
      <c r="Y49" s="1">
        <v>368</v>
      </c>
      <c r="Z49" s="1" t="s">
        <v>28</v>
      </c>
      <c r="AA49" s="1" t="s">
        <v>5561</v>
      </c>
      <c r="AB49" s="1" t="s">
        <v>6194</v>
      </c>
      <c r="AC49" s="1" t="s">
        <v>6195</v>
      </c>
      <c r="AD49" s="1" t="s">
        <v>6196</v>
      </c>
      <c r="AE49" s="1" t="s">
        <v>6197</v>
      </c>
      <c r="AF49" s="21" t="s">
        <v>6647</v>
      </c>
      <c r="AG49" s="1">
        <v>1</v>
      </c>
      <c r="AH49" s="22" t="s">
        <v>6647</v>
      </c>
      <c r="AI49" s="22" t="s">
        <v>6648</v>
      </c>
      <c r="AJ49" t="s">
        <v>4360</v>
      </c>
      <c r="AK49" s="1">
        <v>1</v>
      </c>
      <c r="AL49" s="1">
        <v>0</v>
      </c>
      <c r="AM49" t="s">
        <v>4360</v>
      </c>
      <c r="AN49" s="1">
        <v>0</v>
      </c>
      <c r="AO49" s="1">
        <v>17500000</v>
      </c>
      <c r="AP49" s="1">
        <v>598467</v>
      </c>
      <c r="AQ49" s="1">
        <v>0</v>
      </c>
      <c r="AR49" s="1">
        <v>18098467</v>
      </c>
      <c r="AS49" s="1">
        <v>17290000</v>
      </c>
      <c r="AT49" s="1">
        <v>-808467</v>
      </c>
      <c r="AU49" s="1">
        <v>-468</v>
      </c>
    </row>
    <row r="50" spans="1:47" ht="13.5" customHeight="1" x14ac:dyDescent="0.3">
      <c r="A50" s="1" t="s">
        <v>5554</v>
      </c>
      <c r="B50" s="1" t="s">
        <v>5555</v>
      </c>
      <c r="C50" s="1">
        <v>0</v>
      </c>
      <c r="D50" s="1">
        <v>0</v>
      </c>
      <c r="E50" t="s">
        <v>4360</v>
      </c>
      <c r="F50" t="s">
        <v>4360</v>
      </c>
      <c r="G50" t="s">
        <v>4360</v>
      </c>
      <c r="H50" t="s">
        <v>4360</v>
      </c>
      <c r="I50" s="21" t="s">
        <v>6649</v>
      </c>
      <c r="J50" t="s">
        <v>4360</v>
      </c>
      <c r="K50" s="1" t="s">
        <v>5814</v>
      </c>
      <c r="L50" s="1" t="s">
        <v>93</v>
      </c>
      <c r="M50" s="1" t="s">
        <v>131</v>
      </c>
      <c r="N50" s="1" t="s">
        <v>136</v>
      </c>
      <c r="O50" s="1" t="s">
        <v>5815</v>
      </c>
      <c r="P50" s="1">
        <v>2024</v>
      </c>
      <c r="Q50" s="1">
        <v>30900</v>
      </c>
      <c r="R50" s="1" t="s">
        <v>5816</v>
      </c>
      <c r="S50" s="1" t="s">
        <v>137</v>
      </c>
      <c r="T50" s="1" t="s">
        <v>5557</v>
      </c>
      <c r="U50" s="1" t="s">
        <v>5817</v>
      </c>
      <c r="V50" s="1" t="s">
        <v>5559</v>
      </c>
      <c r="W50" s="1">
        <v>43990000</v>
      </c>
      <c r="X50" s="1" t="s">
        <v>5560</v>
      </c>
      <c r="Y50" s="1">
        <v>146</v>
      </c>
      <c r="Z50" s="1" t="s">
        <v>28</v>
      </c>
      <c r="AA50" s="1" t="s">
        <v>5561</v>
      </c>
      <c r="AB50" s="1" t="s">
        <v>5595</v>
      </c>
      <c r="AC50" s="1" t="s">
        <v>5818</v>
      </c>
      <c r="AD50" s="1" t="s">
        <v>5814</v>
      </c>
      <c r="AE50" s="1" t="s">
        <v>5819</v>
      </c>
      <c r="AF50" s="21" t="s">
        <v>6445</v>
      </c>
      <c r="AG50" s="1">
        <v>1</v>
      </c>
      <c r="AH50" s="21" t="s">
        <v>6445</v>
      </c>
      <c r="AI50" s="21" t="s">
        <v>6650</v>
      </c>
      <c r="AJ50" t="s">
        <v>4360</v>
      </c>
      <c r="AK50" s="1">
        <v>1</v>
      </c>
      <c r="AL50" s="1">
        <v>0</v>
      </c>
      <c r="AM50" t="s">
        <v>4360</v>
      </c>
      <c r="AN50" s="1">
        <v>0</v>
      </c>
      <c r="AO50" s="1">
        <v>39300000</v>
      </c>
      <c r="AP50" s="1">
        <v>718740</v>
      </c>
      <c r="AQ50" s="1">
        <v>0</v>
      </c>
      <c r="AR50" s="1">
        <v>40018740</v>
      </c>
      <c r="AS50" s="1">
        <v>43990000</v>
      </c>
      <c r="AT50" s="1">
        <v>3971260</v>
      </c>
      <c r="AU50" s="1">
        <v>903</v>
      </c>
    </row>
    <row r="51" spans="1:47" ht="13.5" customHeight="1" x14ac:dyDescent="0.3">
      <c r="A51" s="1" t="s">
        <v>5554</v>
      </c>
      <c r="B51" s="1" t="s">
        <v>5589</v>
      </c>
      <c r="C51" s="1">
        <v>0</v>
      </c>
      <c r="D51" s="1">
        <v>0</v>
      </c>
      <c r="E51" t="s">
        <v>4360</v>
      </c>
      <c r="F51" t="s">
        <v>4360</v>
      </c>
      <c r="G51" t="s">
        <v>4360</v>
      </c>
      <c r="H51" t="s">
        <v>4360</v>
      </c>
      <c r="I51" s="21" t="s">
        <v>6641</v>
      </c>
      <c r="J51" t="s">
        <v>4360</v>
      </c>
      <c r="K51" s="1" t="s">
        <v>5590</v>
      </c>
      <c r="L51" s="1" t="s">
        <v>317</v>
      </c>
      <c r="M51" s="1" t="s">
        <v>324</v>
      </c>
      <c r="N51" s="1" t="s">
        <v>325</v>
      </c>
      <c r="O51" s="1" t="s">
        <v>5591</v>
      </c>
      <c r="P51" s="1">
        <v>2024</v>
      </c>
      <c r="Q51" s="1">
        <v>35150</v>
      </c>
      <c r="R51" s="1" t="s">
        <v>5592</v>
      </c>
      <c r="S51" s="1" t="s">
        <v>326</v>
      </c>
      <c r="T51" s="1" t="s">
        <v>5557</v>
      </c>
      <c r="U51" s="1" t="s">
        <v>5593</v>
      </c>
      <c r="V51" s="1" t="s">
        <v>5559</v>
      </c>
      <c r="W51" s="1">
        <v>18690000</v>
      </c>
      <c r="X51" s="1" t="s">
        <v>5560</v>
      </c>
      <c r="Y51" s="1">
        <v>151</v>
      </c>
      <c r="Z51" s="1" t="s">
        <v>28</v>
      </c>
      <c r="AA51" s="1" t="s">
        <v>5594</v>
      </c>
      <c r="AB51" s="1" t="s">
        <v>5595</v>
      </c>
      <c r="AC51" s="1" t="s">
        <v>6642</v>
      </c>
      <c r="AD51" s="1" t="s">
        <v>5590</v>
      </c>
      <c r="AE51" s="1" t="s">
        <v>5596</v>
      </c>
      <c r="AF51" s="21" t="s">
        <v>6290</v>
      </c>
      <c r="AG51" s="1">
        <v>1</v>
      </c>
      <c r="AH51" s="21" t="s">
        <v>6290</v>
      </c>
      <c r="AI51" s="21" t="s">
        <v>6643</v>
      </c>
      <c r="AJ51" t="s">
        <v>4360</v>
      </c>
      <c r="AK51" s="1">
        <v>1</v>
      </c>
      <c r="AL51" s="1">
        <v>0</v>
      </c>
      <c r="AM51" t="s">
        <v>4360</v>
      </c>
      <c r="AN51" s="1">
        <v>0</v>
      </c>
      <c r="AO51" s="1">
        <v>16400000</v>
      </c>
      <c r="AP51" s="1">
        <v>372030</v>
      </c>
      <c r="AQ51" s="1">
        <v>0</v>
      </c>
      <c r="AR51" s="1">
        <v>16772030</v>
      </c>
      <c r="AS51" s="1">
        <v>18690000</v>
      </c>
      <c r="AT51" s="1">
        <v>1917970</v>
      </c>
      <c r="AU51" s="1">
        <v>1026</v>
      </c>
    </row>
    <row r="52" spans="1:47" ht="13.5" customHeight="1" x14ac:dyDescent="0.3">
      <c r="A52" s="1" t="s">
        <v>5554</v>
      </c>
      <c r="B52" s="1" t="s">
        <v>5589</v>
      </c>
      <c r="C52" s="1">
        <v>0</v>
      </c>
      <c r="D52" s="1">
        <v>0</v>
      </c>
      <c r="E52" t="s">
        <v>4360</v>
      </c>
      <c r="F52" t="s">
        <v>4360</v>
      </c>
      <c r="G52" t="s">
        <v>4360</v>
      </c>
      <c r="H52" t="s">
        <v>4360</v>
      </c>
      <c r="I52" s="21" t="s">
        <v>6369</v>
      </c>
      <c r="J52" t="s">
        <v>4360</v>
      </c>
      <c r="K52" s="1" t="s">
        <v>6020</v>
      </c>
      <c r="L52" s="1" t="s">
        <v>201</v>
      </c>
      <c r="M52" s="1" t="s">
        <v>218</v>
      </c>
      <c r="N52" s="1" t="s">
        <v>219</v>
      </c>
      <c r="O52" s="1" t="s">
        <v>6021</v>
      </c>
      <c r="P52" s="1">
        <v>2023</v>
      </c>
      <c r="Q52" s="1">
        <v>43000</v>
      </c>
      <c r="R52" s="1" t="s">
        <v>6022</v>
      </c>
      <c r="S52" s="1" t="s">
        <v>220</v>
      </c>
      <c r="T52" s="1" t="s">
        <v>5557</v>
      </c>
      <c r="U52" s="1" t="s">
        <v>5989</v>
      </c>
      <c r="V52" s="1" t="s">
        <v>5559</v>
      </c>
      <c r="W52" s="1">
        <v>19990000</v>
      </c>
      <c r="X52" s="1" t="s">
        <v>5560</v>
      </c>
      <c r="Y52" s="1">
        <v>39</v>
      </c>
      <c r="Z52" s="1" t="s">
        <v>22</v>
      </c>
      <c r="AA52" s="1" t="s">
        <v>5594</v>
      </c>
      <c r="AB52" t="s">
        <v>5562</v>
      </c>
      <c r="AC52" s="1" t="s">
        <v>6023</v>
      </c>
      <c r="AD52" s="1" t="s">
        <v>6020</v>
      </c>
      <c r="AE52" s="1" t="s">
        <v>6024</v>
      </c>
      <c r="AF52" s="21" t="s">
        <v>6370</v>
      </c>
      <c r="AG52" s="1">
        <v>1</v>
      </c>
      <c r="AH52" s="21" t="s">
        <v>6370</v>
      </c>
      <c r="AI52" s="21" t="s">
        <v>6371</v>
      </c>
      <c r="AJ52" t="s">
        <v>6372</v>
      </c>
      <c r="AK52" s="1">
        <v>1</v>
      </c>
      <c r="AL52" s="1">
        <v>0</v>
      </c>
      <c r="AM52" t="s">
        <v>4360</v>
      </c>
      <c r="AN52" s="1">
        <v>0</v>
      </c>
      <c r="AO52" s="1">
        <v>17000000</v>
      </c>
      <c r="AP52" s="1">
        <v>384240</v>
      </c>
      <c r="AQ52" s="1">
        <v>0</v>
      </c>
      <c r="AR52" s="1">
        <v>17384240</v>
      </c>
      <c r="AS52" s="1">
        <v>19990000</v>
      </c>
      <c r="AT52" s="1">
        <v>2605760</v>
      </c>
      <c r="AU52" s="1">
        <v>1304</v>
      </c>
    </row>
    <row r="53" spans="1:47" ht="13.5" customHeight="1" x14ac:dyDescent="0.3">
      <c r="A53" s="1" t="s">
        <v>5554</v>
      </c>
      <c r="B53" s="1" t="s">
        <v>5555</v>
      </c>
      <c r="C53" s="1">
        <v>0</v>
      </c>
      <c r="D53" s="1">
        <v>0</v>
      </c>
      <c r="E53" t="s">
        <v>4360</v>
      </c>
      <c r="F53" t="s">
        <v>4360</v>
      </c>
      <c r="G53" t="s">
        <v>4360</v>
      </c>
      <c r="H53" t="s">
        <v>4360</v>
      </c>
      <c r="I53" s="21" t="s">
        <v>6327</v>
      </c>
      <c r="J53" t="s">
        <v>4360</v>
      </c>
      <c r="K53" s="1" t="s">
        <v>5934</v>
      </c>
      <c r="L53" s="1" t="s">
        <v>303</v>
      </c>
      <c r="M53" s="1" t="s">
        <v>304</v>
      </c>
      <c r="N53" s="1" t="s">
        <v>307</v>
      </c>
      <c r="O53" s="1" t="s">
        <v>5935</v>
      </c>
      <c r="P53" s="1">
        <v>2022</v>
      </c>
      <c r="Q53" s="1">
        <v>72237</v>
      </c>
      <c r="R53" s="1" t="s">
        <v>5936</v>
      </c>
      <c r="S53" s="1" t="s">
        <v>308</v>
      </c>
      <c r="T53" s="1" t="s">
        <v>5557</v>
      </c>
      <c r="U53" s="1" t="s">
        <v>5937</v>
      </c>
      <c r="V53" s="1" t="s">
        <v>5559</v>
      </c>
      <c r="W53" s="1">
        <v>35990000</v>
      </c>
      <c r="X53" s="1" t="s">
        <v>5560</v>
      </c>
      <c r="Y53" s="1">
        <v>104</v>
      </c>
      <c r="Z53" s="1" t="s">
        <v>28</v>
      </c>
      <c r="AA53" s="1" t="s">
        <v>5561</v>
      </c>
      <c r="AB53" s="1" t="s">
        <v>4360</v>
      </c>
      <c r="AC53" s="1" t="s">
        <v>5938</v>
      </c>
      <c r="AD53" s="1" t="s">
        <v>5939</v>
      </c>
      <c r="AE53" s="1" t="s">
        <v>5940</v>
      </c>
      <c r="AF53" s="21" t="s">
        <v>6328</v>
      </c>
      <c r="AG53" s="1">
        <v>1</v>
      </c>
      <c r="AH53" s="21" t="s">
        <v>6328</v>
      </c>
      <c r="AI53" s="21" t="s">
        <v>6329</v>
      </c>
      <c r="AJ53" t="s">
        <v>4360</v>
      </c>
      <c r="AK53" s="1">
        <v>0</v>
      </c>
      <c r="AL53" s="1">
        <v>0</v>
      </c>
      <c r="AM53" t="s">
        <v>4360</v>
      </c>
      <c r="AN53" s="1">
        <v>0</v>
      </c>
      <c r="AO53" s="1">
        <v>30400000</v>
      </c>
      <c r="AP53" s="1">
        <v>582030</v>
      </c>
      <c r="AQ53" s="1">
        <v>0</v>
      </c>
      <c r="AR53" s="1">
        <v>30982030</v>
      </c>
      <c r="AS53" s="1">
        <v>35990000</v>
      </c>
      <c r="AT53" s="1">
        <v>5007970</v>
      </c>
      <c r="AU53" s="1">
        <v>1391</v>
      </c>
    </row>
    <row r="54" spans="1:47" ht="13.5" customHeight="1" x14ac:dyDescent="0.3">
      <c r="A54" s="1" t="s">
        <v>5554</v>
      </c>
      <c r="B54" s="1" t="s">
        <v>5555</v>
      </c>
      <c r="C54" s="1">
        <v>0</v>
      </c>
      <c r="D54" s="1">
        <v>0</v>
      </c>
      <c r="E54" t="s">
        <v>4360</v>
      </c>
      <c r="F54" t="s">
        <v>4360</v>
      </c>
      <c r="G54" t="s">
        <v>4360</v>
      </c>
      <c r="H54" t="s">
        <v>4360</v>
      </c>
      <c r="I54" s="21" t="s">
        <v>8873</v>
      </c>
      <c r="J54" t="s">
        <v>4360</v>
      </c>
      <c r="K54" s="1" t="s">
        <v>8874</v>
      </c>
      <c r="L54" s="1" t="s">
        <v>30</v>
      </c>
      <c r="M54" s="1" t="s">
        <v>45</v>
      </c>
      <c r="N54" s="1" t="s">
        <v>46</v>
      </c>
      <c r="O54" s="1" t="s">
        <v>8875</v>
      </c>
      <c r="P54" s="1">
        <v>2022</v>
      </c>
      <c r="Q54" s="1">
        <v>30000</v>
      </c>
      <c r="R54" s="1" t="s">
        <v>8876</v>
      </c>
      <c r="S54" s="1" t="s">
        <v>47</v>
      </c>
      <c r="T54" s="1" t="s">
        <v>5557</v>
      </c>
      <c r="U54" s="1" t="s">
        <v>8877</v>
      </c>
      <c r="V54" s="1" t="s">
        <v>5559</v>
      </c>
      <c r="W54" s="1">
        <v>11490000</v>
      </c>
      <c r="X54" s="1" t="s">
        <v>5560</v>
      </c>
      <c r="Y54" s="1">
        <v>26</v>
      </c>
      <c r="Z54" s="1" t="s">
        <v>17</v>
      </c>
      <c r="AA54" s="1" t="s">
        <v>5561</v>
      </c>
      <c r="AB54" s="1" t="s">
        <v>8878</v>
      </c>
      <c r="AC54" s="1" t="s">
        <v>8879</v>
      </c>
      <c r="AD54" s="1" t="s">
        <v>8874</v>
      </c>
      <c r="AE54" s="1" t="s">
        <v>8880</v>
      </c>
      <c r="AF54" s="21" t="s">
        <v>6511</v>
      </c>
      <c r="AG54" s="1">
        <v>1</v>
      </c>
      <c r="AH54" s="21" t="s">
        <v>6511</v>
      </c>
      <c r="AI54" s="21" t="s">
        <v>8881</v>
      </c>
      <c r="AJ54" t="s">
        <v>4360</v>
      </c>
      <c r="AK54" s="1">
        <v>1</v>
      </c>
      <c r="AL54" s="1">
        <v>0</v>
      </c>
      <c r="AM54" t="s">
        <v>4360</v>
      </c>
      <c r="AN54" s="1">
        <v>0</v>
      </c>
      <c r="AO54" s="1">
        <v>9500000</v>
      </c>
      <c r="AP54" s="1">
        <v>271740</v>
      </c>
      <c r="AQ54" s="1">
        <v>0</v>
      </c>
      <c r="AR54" s="1">
        <v>9771740</v>
      </c>
      <c r="AS54" s="1">
        <v>11490000</v>
      </c>
      <c r="AT54" s="1">
        <v>1718260</v>
      </c>
      <c r="AU54" s="1">
        <v>1495</v>
      </c>
    </row>
    <row r="55" spans="1:47" ht="13.5" customHeight="1" x14ac:dyDescent="0.3">
      <c r="A55" s="1" t="s">
        <v>5554</v>
      </c>
      <c r="B55" s="1" t="s">
        <v>5589</v>
      </c>
      <c r="C55" s="1">
        <v>0</v>
      </c>
      <c r="D55" s="1">
        <v>0</v>
      </c>
      <c r="E55" t="s">
        <v>4360</v>
      </c>
      <c r="F55" t="s">
        <v>4360</v>
      </c>
      <c r="G55" t="s">
        <v>4360</v>
      </c>
      <c r="H55" t="s">
        <v>4360</v>
      </c>
      <c r="I55" s="22" t="s">
        <v>6602</v>
      </c>
      <c r="J55" t="s">
        <v>4360</v>
      </c>
      <c r="K55" s="1" t="s">
        <v>5903</v>
      </c>
      <c r="L55" s="1" t="s">
        <v>317</v>
      </c>
      <c r="M55" s="1" t="s">
        <v>318</v>
      </c>
      <c r="N55" s="1" t="s">
        <v>319</v>
      </c>
      <c r="O55" s="1" t="s">
        <v>5904</v>
      </c>
      <c r="P55" s="1">
        <v>2021</v>
      </c>
      <c r="Q55" s="1">
        <v>75000</v>
      </c>
      <c r="R55" s="1" t="s">
        <v>5905</v>
      </c>
      <c r="S55" s="1" t="s">
        <v>320</v>
      </c>
      <c r="T55" s="1" t="s">
        <v>5557</v>
      </c>
      <c r="U55" s="1" t="s">
        <v>5606</v>
      </c>
      <c r="V55" s="1" t="s">
        <v>5559</v>
      </c>
      <c r="W55" s="1">
        <v>12990000</v>
      </c>
      <c r="X55" s="1" t="s">
        <v>5560</v>
      </c>
      <c r="Y55" s="1">
        <v>322</v>
      </c>
      <c r="Z55" s="1" t="s">
        <v>43</v>
      </c>
      <c r="AA55" s="1" t="s">
        <v>5594</v>
      </c>
      <c r="AB55" s="1" t="s">
        <v>5906</v>
      </c>
      <c r="AC55" s="1" t="s">
        <v>6603</v>
      </c>
      <c r="AD55" s="1" t="s">
        <v>5903</v>
      </c>
      <c r="AE55" s="1" t="s">
        <v>5907</v>
      </c>
      <c r="AF55" s="22" t="s">
        <v>6604</v>
      </c>
      <c r="AG55" s="1">
        <v>1</v>
      </c>
      <c r="AH55" s="22" t="s">
        <v>6604</v>
      </c>
      <c r="AI55" s="22" t="s">
        <v>6605</v>
      </c>
      <c r="AJ55" t="s">
        <v>6224</v>
      </c>
      <c r="AK55" s="1">
        <v>2</v>
      </c>
      <c r="AL55" s="1">
        <v>0</v>
      </c>
      <c r="AM55" t="s">
        <v>4360</v>
      </c>
      <c r="AN55" s="1">
        <v>0</v>
      </c>
      <c r="AO55" s="1">
        <v>11000000</v>
      </c>
      <c r="AP55" s="1">
        <v>443877</v>
      </c>
      <c r="AQ55" s="1">
        <v>0</v>
      </c>
      <c r="AR55" s="1">
        <v>11443877</v>
      </c>
      <c r="AS55" s="1">
        <v>12990000</v>
      </c>
      <c r="AT55" s="1">
        <v>1546123</v>
      </c>
      <c r="AU55" s="1">
        <v>119</v>
      </c>
    </row>
    <row r="56" spans="1:47" ht="13.5" customHeight="1" x14ac:dyDescent="0.3">
      <c r="A56" s="1" t="s">
        <v>5554</v>
      </c>
      <c r="B56" s="1" t="s">
        <v>5555</v>
      </c>
      <c r="C56" s="1">
        <v>0</v>
      </c>
      <c r="D56" s="1">
        <v>0</v>
      </c>
      <c r="E56" t="s">
        <v>4360</v>
      </c>
      <c r="F56" t="s">
        <v>4360</v>
      </c>
      <c r="G56" t="s">
        <v>4360</v>
      </c>
      <c r="H56" t="s">
        <v>4360</v>
      </c>
      <c r="I56" s="21" t="s">
        <v>6403</v>
      </c>
      <c r="J56" t="s">
        <v>4360</v>
      </c>
      <c r="K56" s="1" t="s">
        <v>5962</v>
      </c>
      <c r="L56" s="1" t="s">
        <v>93</v>
      </c>
      <c r="M56" s="1" t="s">
        <v>131</v>
      </c>
      <c r="N56" s="1" t="s">
        <v>141</v>
      </c>
      <c r="O56" s="1" t="s">
        <v>5963</v>
      </c>
      <c r="P56" s="1">
        <v>2023</v>
      </c>
      <c r="Q56" s="1">
        <v>70000</v>
      </c>
      <c r="R56" s="1" t="s">
        <v>5964</v>
      </c>
      <c r="S56" s="1" t="s">
        <v>142</v>
      </c>
      <c r="T56" s="1" t="s">
        <v>5557</v>
      </c>
      <c r="U56" s="1" t="s">
        <v>5606</v>
      </c>
      <c r="V56" s="1" t="s">
        <v>5559</v>
      </c>
      <c r="W56" s="1">
        <v>17990000</v>
      </c>
      <c r="X56" s="1" t="s">
        <v>5560</v>
      </c>
      <c r="Y56" s="1">
        <v>76</v>
      </c>
      <c r="Z56" s="1" t="s">
        <v>28</v>
      </c>
      <c r="AA56" s="1" t="s">
        <v>5561</v>
      </c>
      <c r="AB56" t="s">
        <v>5965</v>
      </c>
      <c r="AC56" s="1" t="s">
        <v>5966</v>
      </c>
      <c r="AD56" s="1" t="s">
        <v>5962</v>
      </c>
      <c r="AE56" s="1" t="s">
        <v>5967</v>
      </c>
      <c r="AF56" s="21" t="s">
        <v>6272</v>
      </c>
      <c r="AG56" s="1">
        <v>1</v>
      </c>
      <c r="AH56" s="21" t="s">
        <v>6272</v>
      </c>
      <c r="AI56" s="21" t="s">
        <v>6404</v>
      </c>
      <c r="AJ56" t="s">
        <v>6224</v>
      </c>
      <c r="AK56" s="1">
        <v>1</v>
      </c>
      <c r="AL56" s="1">
        <v>0</v>
      </c>
      <c r="AM56" t="s">
        <v>4360</v>
      </c>
      <c r="AN56" s="1">
        <v>0</v>
      </c>
      <c r="AO56" s="1">
        <v>14500000</v>
      </c>
      <c r="AP56" s="1">
        <v>343530</v>
      </c>
      <c r="AQ56" s="1">
        <v>0</v>
      </c>
      <c r="AR56" s="1">
        <v>14843530</v>
      </c>
      <c r="AS56" s="1">
        <v>17990000</v>
      </c>
      <c r="AT56" s="1">
        <v>3146470</v>
      </c>
      <c r="AU56" s="1">
        <v>1749</v>
      </c>
    </row>
    <row r="57" spans="1:47" ht="13.5" customHeight="1" x14ac:dyDescent="0.3">
      <c r="A57" s="1" t="s">
        <v>5554</v>
      </c>
      <c r="B57" s="1" t="s">
        <v>5589</v>
      </c>
      <c r="C57" s="1">
        <v>0</v>
      </c>
      <c r="D57" s="1">
        <v>0</v>
      </c>
      <c r="E57" t="s">
        <v>4360</v>
      </c>
      <c r="F57" t="s">
        <v>4360</v>
      </c>
      <c r="G57" t="s">
        <v>4360</v>
      </c>
      <c r="H57" t="s">
        <v>4360</v>
      </c>
      <c r="I57" s="21" t="s">
        <v>6238</v>
      </c>
      <c r="J57" t="s">
        <v>4360</v>
      </c>
      <c r="K57" s="1" t="s">
        <v>6168</v>
      </c>
      <c r="L57" s="1" t="s">
        <v>157</v>
      </c>
      <c r="M57" s="1" t="s">
        <v>164</v>
      </c>
      <c r="N57" s="1" t="s">
        <v>165</v>
      </c>
      <c r="O57" s="1" t="s">
        <v>6169</v>
      </c>
      <c r="P57" s="1">
        <v>2022</v>
      </c>
      <c r="Q57" s="1">
        <v>58239</v>
      </c>
      <c r="R57" s="1" t="s">
        <v>6170</v>
      </c>
      <c r="S57" s="1" t="s">
        <v>166</v>
      </c>
      <c r="T57" s="1" t="s">
        <v>5557</v>
      </c>
      <c r="U57" s="1" t="s">
        <v>5842</v>
      </c>
      <c r="V57" s="1" t="s">
        <v>5559</v>
      </c>
      <c r="W57" s="1">
        <v>12490000</v>
      </c>
      <c r="X57" s="1" t="s">
        <v>5560</v>
      </c>
      <c r="Y57" s="1">
        <v>33</v>
      </c>
      <c r="Z57" s="1" t="s">
        <v>28</v>
      </c>
      <c r="AA57" s="1" t="s">
        <v>5594</v>
      </c>
      <c r="AB57" t="s">
        <v>5562</v>
      </c>
      <c r="AC57" s="1" t="s">
        <v>6171</v>
      </c>
      <c r="AD57" s="1" t="s">
        <v>6168</v>
      </c>
      <c r="AE57" s="1" t="s">
        <v>6172</v>
      </c>
      <c r="AF57" s="21" t="s">
        <v>6224</v>
      </c>
      <c r="AG57" s="1">
        <v>1</v>
      </c>
      <c r="AH57" s="21" t="s">
        <v>6224</v>
      </c>
      <c r="AI57" s="21" t="s">
        <v>6239</v>
      </c>
      <c r="AJ57" t="s">
        <v>4360</v>
      </c>
      <c r="AK57" s="1">
        <v>1</v>
      </c>
      <c r="AL57" s="1">
        <v>0</v>
      </c>
      <c r="AM57" t="s">
        <v>4360</v>
      </c>
      <c r="AN57" s="1">
        <v>0</v>
      </c>
      <c r="AO57" s="1">
        <v>10100000</v>
      </c>
      <c r="AP57" s="1">
        <v>280740</v>
      </c>
      <c r="AQ57" s="1">
        <v>0</v>
      </c>
      <c r="AR57" s="1">
        <v>10380740</v>
      </c>
      <c r="AS57" s="1">
        <v>12490000</v>
      </c>
      <c r="AT57" s="1">
        <v>2109260</v>
      </c>
      <c r="AU57" s="1">
        <v>1689</v>
      </c>
    </row>
    <row r="58" spans="1:47" ht="13.5" customHeight="1" x14ac:dyDescent="0.3">
      <c r="A58" s="1" t="s">
        <v>5554</v>
      </c>
      <c r="B58" s="1" t="s">
        <v>5555</v>
      </c>
      <c r="C58" s="1">
        <v>0</v>
      </c>
      <c r="D58" s="1">
        <v>0</v>
      </c>
      <c r="E58" t="s">
        <v>4360</v>
      </c>
      <c r="F58" t="s">
        <v>4360</v>
      </c>
      <c r="G58" t="s">
        <v>4360</v>
      </c>
      <c r="H58" t="s">
        <v>4360</v>
      </c>
      <c r="I58" s="21" t="s">
        <v>6500</v>
      </c>
      <c r="J58" t="s">
        <v>4360</v>
      </c>
      <c r="K58" s="1" t="s">
        <v>5744</v>
      </c>
      <c r="L58" s="1" t="s">
        <v>188</v>
      </c>
      <c r="M58" s="1" t="s">
        <v>4835</v>
      </c>
      <c r="N58" s="1" t="s">
        <v>191</v>
      </c>
      <c r="O58" s="1" t="s">
        <v>5745</v>
      </c>
      <c r="P58" s="1">
        <v>2026</v>
      </c>
      <c r="Q58" s="1">
        <v>6400</v>
      </c>
      <c r="R58" s="1" t="s">
        <v>5746</v>
      </c>
      <c r="S58" s="1" t="s">
        <v>193</v>
      </c>
      <c r="T58" s="1" t="s">
        <v>5557</v>
      </c>
      <c r="U58" s="1" t="s">
        <v>5747</v>
      </c>
      <c r="V58" s="1" t="s">
        <v>5559</v>
      </c>
      <c r="W58" s="1">
        <v>16490000</v>
      </c>
      <c r="X58" s="1" t="s">
        <v>5560</v>
      </c>
      <c r="Y58" s="1">
        <v>57</v>
      </c>
      <c r="Z58" s="1" t="s">
        <v>28</v>
      </c>
      <c r="AA58" s="1" t="s">
        <v>5561</v>
      </c>
      <c r="AB58" t="s">
        <v>5748</v>
      </c>
      <c r="AC58" s="1" t="s">
        <v>5749</v>
      </c>
      <c r="AD58" s="1" t="s">
        <v>5750</v>
      </c>
      <c r="AE58" s="1" t="s">
        <v>5751</v>
      </c>
      <c r="AF58" s="21" t="s">
        <v>6236</v>
      </c>
      <c r="AG58" s="1">
        <v>1</v>
      </c>
      <c r="AH58" s="21" t="s">
        <v>6236</v>
      </c>
      <c r="AI58" s="21" t="s">
        <v>6501</v>
      </c>
      <c r="AJ58" t="s">
        <v>4360</v>
      </c>
      <c r="AK58" s="1">
        <v>1</v>
      </c>
      <c r="AL58" s="1">
        <v>0</v>
      </c>
      <c r="AM58" t="s">
        <v>4360</v>
      </c>
      <c r="AN58" s="1">
        <v>0</v>
      </c>
      <c r="AO58" s="1">
        <v>14500000</v>
      </c>
      <c r="AP58" s="1">
        <v>346740</v>
      </c>
      <c r="AQ58" s="1">
        <v>0</v>
      </c>
      <c r="AR58" s="1">
        <v>14846740</v>
      </c>
      <c r="AS58" s="1">
        <v>16490000</v>
      </c>
      <c r="AT58" s="1">
        <v>1643260</v>
      </c>
      <c r="AU58" s="1">
        <v>997</v>
      </c>
    </row>
    <row r="59" spans="1:47" ht="13.5" customHeight="1" x14ac:dyDescent="0.3">
      <c r="A59" s="1" t="s">
        <v>5554</v>
      </c>
      <c r="B59" s="1" t="s">
        <v>5626</v>
      </c>
      <c r="C59" s="1">
        <v>0</v>
      </c>
      <c r="D59" s="1">
        <v>0</v>
      </c>
      <c r="E59" t="s">
        <v>4360</v>
      </c>
      <c r="F59" t="s">
        <v>4360</v>
      </c>
      <c r="G59" t="s">
        <v>4360</v>
      </c>
      <c r="H59" t="s">
        <v>4360</v>
      </c>
      <c r="I59" s="21" t="s">
        <v>6299</v>
      </c>
      <c r="J59" t="s">
        <v>4360</v>
      </c>
      <c r="K59" s="1" t="s">
        <v>5627</v>
      </c>
      <c r="L59" s="1" t="s">
        <v>201</v>
      </c>
      <c r="M59" s="1" t="s">
        <v>202</v>
      </c>
      <c r="N59" s="1" t="s">
        <v>203</v>
      </c>
      <c r="O59" s="1" t="s">
        <v>5628</v>
      </c>
      <c r="P59" s="1">
        <v>2016</v>
      </c>
      <c r="Q59" s="1">
        <v>0</v>
      </c>
      <c r="R59" s="1" t="s">
        <v>5629</v>
      </c>
      <c r="S59" s="1" t="s">
        <v>205</v>
      </c>
      <c r="T59" s="1" t="s">
        <v>5557</v>
      </c>
      <c r="U59" s="1" t="s">
        <v>5630</v>
      </c>
      <c r="V59" s="1" t="s">
        <v>5631</v>
      </c>
      <c r="W59" s="1">
        <v>14800000</v>
      </c>
      <c r="X59" s="1" t="s">
        <v>5560</v>
      </c>
      <c r="Y59" s="1">
        <v>3858</v>
      </c>
      <c r="Z59" s="1" t="s">
        <v>204</v>
      </c>
      <c r="AA59" s="1" t="s">
        <v>5632</v>
      </c>
      <c r="AB59" s="1" t="s">
        <v>4360</v>
      </c>
      <c r="AC59" s="1" t="s">
        <v>5633</v>
      </c>
      <c r="AD59" s="1" t="s">
        <v>5627</v>
      </c>
      <c r="AE59" s="1" t="s">
        <v>5634</v>
      </c>
      <c r="AF59" s="21" t="s">
        <v>6300</v>
      </c>
      <c r="AG59" s="1">
        <v>23832</v>
      </c>
      <c r="AH59" s="21" t="s">
        <v>6301</v>
      </c>
      <c r="AI59" s="21" t="s">
        <v>6302</v>
      </c>
      <c r="AJ59" t="s">
        <v>6300</v>
      </c>
      <c r="AK59" s="1">
        <v>0</v>
      </c>
      <c r="AL59" s="1">
        <v>0</v>
      </c>
      <c r="AM59" t="s">
        <v>4360</v>
      </c>
      <c r="AN59" s="1">
        <v>0</v>
      </c>
      <c r="AO59" s="1">
        <v>323597</v>
      </c>
      <c r="AP59" s="1">
        <v>3165631</v>
      </c>
      <c r="AQ59" s="1">
        <v>0</v>
      </c>
      <c r="AR59" s="1">
        <v>3489228</v>
      </c>
      <c r="AS59" s="1">
        <v>14800000</v>
      </c>
      <c r="AT59" s="1">
        <v>11310772</v>
      </c>
      <c r="AU59" s="1">
        <v>7642</v>
      </c>
    </row>
    <row r="60" spans="1:47" ht="13.5" customHeight="1" x14ac:dyDescent="0.3">
      <c r="A60" s="1" t="s">
        <v>5554</v>
      </c>
      <c r="B60" s="1" t="s">
        <v>5619</v>
      </c>
      <c r="C60" s="1">
        <v>0</v>
      </c>
      <c r="D60" s="1">
        <v>0</v>
      </c>
      <c r="E60" t="s">
        <v>4360</v>
      </c>
      <c r="F60" t="s">
        <v>4360</v>
      </c>
      <c r="G60" t="s">
        <v>4360</v>
      </c>
      <c r="H60" t="s">
        <v>4360</v>
      </c>
      <c r="I60" s="22" t="s">
        <v>6606</v>
      </c>
      <c r="J60" t="s">
        <v>4360</v>
      </c>
      <c r="K60" s="1" t="s">
        <v>6163</v>
      </c>
      <c r="L60" s="1" t="s">
        <v>30</v>
      </c>
      <c r="M60" s="1" t="s">
        <v>38</v>
      </c>
      <c r="N60" s="1" t="s">
        <v>39</v>
      </c>
      <c r="O60" s="1" t="s">
        <v>6164</v>
      </c>
      <c r="P60" s="1">
        <v>2026</v>
      </c>
      <c r="Q60" s="1">
        <v>22255</v>
      </c>
      <c r="R60" s="1" t="s">
        <v>6165</v>
      </c>
      <c r="S60" s="1" t="s">
        <v>40</v>
      </c>
      <c r="T60" s="1" t="s">
        <v>5557</v>
      </c>
      <c r="U60" s="1" t="s">
        <v>6166</v>
      </c>
      <c r="V60" s="1" t="s">
        <v>5559</v>
      </c>
      <c r="W60" s="1">
        <v>11690000</v>
      </c>
      <c r="X60" s="1" t="s">
        <v>5560</v>
      </c>
      <c r="Y60" s="1">
        <v>33</v>
      </c>
      <c r="Z60" s="1" t="s">
        <v>28</v>
      </c>
      <c r="AA60" s="1" t="s">
        <v>5611</v>
      </c>
      <c r="AB60" s="1" t="s">
        <v>4360</v>
      </c>
      <c r="AC60" s="1" t="s">
        <v>6167</v>
      </c>
      <c r="AD60" s="1" t="s">
        <v>6163</v>
      </c>
      <c r="AE60" s="1" t="s">
        <v>5687</v>
      </c>
      <c r="AF60" s="22" t="s">
        <v>6224</v>
      </c>
      <c r="AG60" s="1">
        <v>1</v>
      </c>
      <c r="AH60" s="22" t="s">
        <v>6224</v>
      </c>
      <c r="AI60" s="22" t="s">
        <v>6607</v>
      </c>
      <c r="AJ60" s="21" t="s">
        <v>4360</v>
      </c>
      <c r="AK60" s="1">
        <v>1</v>
      </c>
      <c r="AL60" s="1">
        <v>0</v>
      </c>
      <c r="AM60" t="s">
        <v>4360</v>
      </c>
      <c r="AN60" s="1">
        <v>0</v>
      </c>
      <c r="AO60" s="1">
        <v>10000000</v>
      </c>
      <c r="AP60" s="1">
        <v>279240</v>
      </c>
      <c r="AQ60" s="1">
        <v>0</v>
      </c>
      <c r="AR60" s="1">
        <v>10279240</v>
      </c>
      <c r="AS60" s="1">
        <v>11690000</v>
      </c>
      <c r="AT60" s="1">
        <v>1410760</v>
      </c>
      <c r="AU60" s="1">
        <v>1207</v>
      </c>
    </row>
    <row r="61" spans="1:47" ht="13.5" customHeight="1" x14ac:dyDescent="0.3">
      <c r="A61" s="1" t="s">
        <v>5554</v>
      </c>
      <c r="B61" s="1" t="s">
        <v>5555</v>
      </c>
      <c r="C61" s="1">
        <v>0</v>
      </c>
      <c r="D61" s="1">
        <v>0</v>
      </c>
      <c r="E61" t="s">
        <v>4360</v>
      </c>
      <c r="F61" t="s">
        <v>4360</v>
      </c>
      <c r="G61" t="s">
        <v>4360</v>
      </c>
      <c r="H61" t="s">
        <v>4360</v>
      </c>
      <c r="I61" s="21" t="s">
        <v>6592</v>
      </c>
      <c r="J61" t="s">
        <v>4360</v>
      </c>
      <c r="K61" s="1" t="s">
        <v>5573</v>
      </c>
      <c r="L61" s="1" t="s">
        <v>264</v>
      </c>
      <c r="M61" s="1" t="s">
        <v>5239</v>
      </c>
      <c r="N61" s="1" t="s">
        <v>286</v>
      </c>
      <c r="O61" s="1" t="s">
        <v>5574</v>
      </c>
      <c r="P61" s="1">
        <v>2025</v>
      </c>
      <c r="Q61" s="1">
        <v>20000</v>
      </c>
      <c r="R61" s="1" t="s">
        <v>5575</v>
      </c>
      <c r="S61" s="1" t="s">
        <v>289</v>
      </c>
      <c r="T61" s="1" t="s">
        <v>5557</v>
      </c>
      <c r="U61" s="1" t="s">
        <v>5576</v>
      </c>
      <c r="V61" s="1" t="s">
        <v>5559</v>
      </c>
      <c r="W61" s="1">
        <v>26990000</v>
      </c>
      <c r="X61" s="1" t="s">
        <v>5560</v>
      </c>
      <c r="Y61" s="1">
        <v>62</v>
      </c>
      <c r="Z61" s="1" t="s">
        <v>28</v>
      </c>
      <c r="AA61" s="1" t="s">
        <v>5561</v>
      </c>
      <c r="AB61" s="1" t="s">
        <v>5577</v>
      </c>
      <c r="AC61" s="1" t="s">
        <v>5578</v>
      </c>
      <c r="AD61" s="1" t="s">
        <v>5573</v>
      </c>
      <c r="AE61" s="1" t="s">
        <v>5579</v>
      </c>
      <c r="AF61" s="21" t="s">
        <v>6322</v>
      </c>
      <c r="AG61" s="1">
        <v>1</v>
      </c>
      <c r="AH61" s="21" t="s">
        <v>6322</v>
      </c>
      <c r="AI61" s="21" t="s">
        <v>6593</v>
      </c>
      <c r="AJ61" t="s">
        <v>4360</v>
      </c>
      <c r="AK61" s="1">
        <v>1</v>
      </c>
      <c r="AL61" s="1">
        <v>0</v>
      </c>
      <c r="AM61" t="s">
        <v>4360</v>
      </c>
      <c r="AN61" s="1">
        <v>0</v>
      </c>
      <c r="AO61" s="1">
        <v>23500000</v>
      </c>
      <c r="AP61" s="1">
        <v>481740</v>
      </c>
      <c r="AQ61" s="1">
        <v>0</v>
      </c>
      <c r="AR61" s="1">
        <v>23981740</v>
      </c>
      <c r="AS61" s="1">
        <v>26990000</v>
      </c>
      <c r="AT61" s="1">
        <v>3008260</v>
      </c>
      <c r="AU61" s="1">
        <v>1115</v>
      </c>
    </row>
    <row r="62" spans="1:47" ht="13.5" customHeight="1" x14ac:dyDescent="0.3">
      <c r="A62" s="1" t="s">
        <v>5554</v>
      </c>
      <c r="B62" s="1" t="s">
        <v>5555</v>
      </c>
      <c r="C62" s="1">
        <v>0</v>
      </c>
      <c r="D62" s="1">
        <v>0</v>
      </c>
      <c r="E62" t="s">
        <v>4360</v>
      </c>
      <c r="F62" t="s">
        <v>4360</v>
      </c>
      <c r="G62" t="s">
        <v>4360</v>
      </c>
      <c r="H62" t="s">
        <v>4360</v>
      </c>
      <c r="I62" s="21" t="s">
        <v>6345</v>
      </c>
      <c r="J62" t="s">
        <v>4360</v>
      </c>
      <c r="K62" s="1" t="s">
        <v>5870</v>
      </c>
      <c r="L62" s="1" t="s">
        <v>89</v>
      </c>
      <c r="M62" s="1" t="s">
        <v>90</v>
      </c>
      <c r="N62" s="1" t="s">
        <v>91</v>
      </c>
      <c r="O62" s="1" t="s">
        <v>5871</v>
      </c>
      <c r="P62" s="1">
        <v>2024</v>
      </c>
      <c r="Q62" s="1">
        <v>43000</v>
      </c>
      <c r="R62" s="1" t="s">
        <v>5872</v>
      </c>
      <c r="S62" s="1" t="s">
        <v>92</v>
      </c>
      <c r="T62" s="1" t="s">
        <v>5557</v>
      </c>
      <c r="U62" s="1" t="s">
        <v>5873</v>
      </c>
      <c r="V62" s="1" t="s">
        <v>5559</v>
      </c>
      <c r="W62" s="1">
        <v>13790000</v>
      </c>
      <c r="X62" s="1" t="s">
        <v>5560</v>
      </c>
      <c r="Y62" s="1">
        <v>20</v>
      </c>
      <c r="Z62" s="1" t="s">
        <v>17</v>
      </c>
      <c r="AA62" s="1" t="s">
        <v>5561</v>
      </c>
      <c r="AB62" t="s">
        <v>4360</v>
      </c>
      <c r="AC62" s="1" t="s">
        <v>5874</v>
      </c>
      <c r="AD62" s="1" t="s">
        <v>5870</v>
      </c>
      <c r="AE62" s="1" t="s">
        <v>5875</v>
      </c>
      <c r="AF62" s="21" t="s">
        <v>6346</v>
      </c>
      <c r="AG62" s="1">
        <v>1</v>
      </c>
      <c r="AH62" t="s">
        <v>6346</v>
      </c>
      <c r="AI62" t="s">
        <v>6347</v>
      </c>
      <c r="AJ62" t="s">
        <v>4360</v>
      </c>
      <c r="AK62" s="1">
        <v>1</v>
      </c>
      <c r="AL62" s="1">
        <v>0</v>
      </c>
      <c r="AM62" t="s">
        <v>4360</v>
      </c>
      <c r="AN62" s="1">
        <v>0</v>
      </c>
      <c r="AO62" s="1">
        <v>11300000</v>
      </c>
      <c r="AP62" s="1">
        <v>0</v>
      </c>
      <c r="AQ62" s="1">
        <v>0</v>
      </c>
      <c r="AR62" s="1">
        <v>11300000</v>
      </c>
      <c r="AS62" s="1">
        <v>13790000</v>
      </c>
      <c r="AT62" s="1">
        <v>2490000</v>
      </c>
      <c r="AU62" s="1">
        <v>1806</v>
      </c>
    </row>
    <row r="63" spans="1:47" ht="13.5" customHeight="1" x14ac:dyDescent="0.3">
      <c r="A63" s="1" t="s">
        <v>5554</v>
      </c>
      <c r="B63" s="1" t="s">
        <v>5555</v>
      </c>
      <c r="C63" s="1">
        <v>0</v>
      </c>
      <c r="D63" s="1">
        <v>0</v>
      </c>
      <c r="E63" t="s">
        <v>4360</v>
      </c>
      <c r="F63" t="s">
        <v>4360</v>
      </c>
      <c r="G63" t="s">
        <v>4360</v>
      </c>
      <c r="H63" t="s">
        <v>4360</v>
      </c>
      <c r="I63" s="21" t="s">
        <v>6351</v>
      </c>
      <c r="J63" t="s">
        <v>4360</v>
      </c>
      <c r="K63" s="1" t="s">
        <v>5660</v>
      </c>
      <c r="L63" s="1" t="s">
        <v>167</v>
      </c>
      <c r="M63" s="1" t="s">
        <v>167</v>
      </c>
      <c r="N63" s="1" t="s">
        <v>174</v>
      </c>
      <c r="O63" s="1" t="s">
        <v>5661</v>
      </c>
      <c r="P63" s="1">
        <v>2025</v>
      </c>
      <c r="Q63" s="1">
        <v>17000</v>
      </c>
      <c r="R63" s="1" t="s">
        <v>5662</v>
      </c>
      <c r="S63" s="1" t="s">
        <v>175</v>
      </c>
      <c r="T63" s="1" t="s">
        <v>5557</v>
      </c>
      <c r="U63" s="1" t="s">
        <v>5663</v>
      </c>
      <c r="V63" s="1" t="s">
        <v>5559</v>
      </c>
      <c r="W63" s="1">
        <v>32990000</v>
      </c>
      <c r="X63" s="1" t="s">
        <v>5560</v>
      </c>
      <c r="Y63" s="1">
        <v>242</v>
      </c>
      <c r="Z63" s="1" t="s">
        <v>28</v>
      </c>
      <c r="AA63" s="1" t="s">
        <v>5561</v>
      </c>
      <c r="AB63" s="1" t="s">
        <v>5664</v>
      </c>
      <c r="AC63" s="1" t="s">
        <v>5665</v>
      </c>
      <c r="AD63" s="1" t="s">
        <v>5666</v>
      </c>
      <c r="AE63" s="1" t="s">
        <v>5667</v>
      </c>
      <c r="AF63" s="21" t="s">
        <v>6352</v>
      </c>
      <c r="AG63" s="1">
        <v>1</v>
      </c>
      <c r="AH63" s="21" t="s">
        <v>6352</v>
      </c>
      <c r="AI63" s="21" t="s">
        <v>6353</v>
      </c>
      <c r="AJ63" t="s">
        <v>4360</v>
      </c>
      <c r="AK63" s="1">
        <v>2</v>
      </c>
      <c r="AL63" s="1">
        <v>0</v>
      </c>
      <c r="AM63" t="s">
        <v>4360</v>
      </c>
      <c r="AN63" s="1">
        <v>0</v>
      </c>
      <c r="AO63" s="1">
        <v>28700000</v>
      </c>
      <c r="AP63" s="1">
        <v>1053703</v>
      </c>
      <c r="AQ63" s="1">
        <v>0</v>
      </c>
      <c r="AR63" s="1">
        <v>29753703</v>
      </c>
      <c r="AS63" s="1">
        <v>32990000</v>
      </c>
      <c r="AT63" s="1">
        <v>3236297</v>
      </c>
      <c r="AU63" s="1">
        <v>981</v>
      </c>
    </row>
    <row r="64" spans="1:47" ht="13.5" customHeight="1" x14ac:dyDescent="0.3">
      <c r="A64" s="1" t="s">
        <v>5554</v>
      </c>
      <c r="B64" s="1" t="s">
        <v>5580</v>
      </c>
      <c r="C64" s="1">
        <v>0</v>
      </c>
      <c r="D64" s="1">
        <v>0</v>
      </c>
      <c r="E64" t="s">
        <v>4360</v>
      </c>
      <c r="F64" t="s">
        <v>4360</v>
      </c>
      <c r="G64" t="s">
        <v>4360</v>
      </c>
      <c r="H64" t="s">
        <v>4360</v>
      </c>
      <c r="I64" s="21" t="s">
        <v>6608</v>
      </c>
      <c r="J64" t="s">
        <v>4360</v>
      </c>
      <c r="K64" s="1" t="s">
        <v>6609</v>
      </c>
      <c r="L64" s="1" t="s">
        <v>327</v>
      </c>
      <c r="M64" s="1" t="s">
        <v>3065</v>
      </c>
      <c r="N64" s="1" t="s">
        <v>5382</v>
      </c>
      <c r="O64" s="1" t="s">
        <v>6610</v>
      </c>
      <c r="P64" s="1">
        <v>2024</v>
      </c>
      <c r="Q64" s="1">
        <v>22000</v>
      </c>
      <c r="R64" s="1" t="s">
        <v>6611</v>
      </c>
      <c r="S64" s="1" t="s">
        <v>4328</v>
      </c>
      <c r="T64" s="1" t="s">
        <v>5557</v>
      </c>
      <c r="U64" s="1" t="s">
        <v>6612</v>
      </c>
      <c r="V64" s="1" t="s">
        <v>5559</v>
      </c>
      <c r="W64" s="1">
        <v>12490000</v>
      </c>
      <c r="X64" s="1" t="s">
        <v>5560</v>
      </c>
      <c r="Y64" s="1">
        <v>11</v>
      </c>
      <c r="Z64" s="1" t="s">
        <v>17</v>
      </c>
      <c r="AA64" s="1" t="s">
        <v>5585</v>
      </c>
      <c r="AB64" s="1" t="s">
        <v>6613</v>
      </c>
      <c r="AC64" s="1" t="s">
        <v>6614</v>
      </c>
      <c r="AD64" s="1" t="s">
        <v>6615</v>
      </c>
      <c r="AE64" s="1" t="s">
        <v>6616</v>
      </c>
      <c r="AF64" s="21" t="s">
        <v>6284</v>
      </c>
      <c r="AG64" s="1">
        <v>1</v>
      </c>
      <c r="AH64" s="21" t="s">
        <v>6284</v>
      </c>
      <c r="AI64" s="21" t="s">
        <v>6617</v>
      </c>
      <c r="AJ64" s="21" t="s">
        <v>4360</v>
      </c>
      <c r="AK64" s="1">
        <v>1</v>
      </c>
      <c r="AL64" s="1">
        <v>0</v>
      </c>
      <c r="AM64" t="s">
        <v>4360</v>
      </c>
      <c r="AN64" s="1">
        <v>0</v>
      </c>
      <c r="AO64" s="1">
        <v>10300000</v>
      </c>
      <c r="AP64" s="1">
        <v>0</v>
      </c>
      <c r="AQ64" s="1">
        <v>0</v>
      </c>
      <c r="AR64" s="1">
        <v>10300000</v>
      </c>
      <c r="AS64" s="1">
        <v>12490000</v>
      </c>
      <c r="AT64" s="1">
        <v>2190000</v>
      </c>
      <c r="AU64" s="1">
        <v>1753</v>
      </c>
    </row>
    <row r="65" spans="1:47" ht="13.5" customHeight="1" x14ac:dyDescent="0.3">
      <c r="A65" s="1" t="s">
        <v>5554</v>
      </c>
      <c r="B65" s="1" t="s">
        <v>5589</v>
      </c>
      <c r="C65" s="1">
        <v>0</v>
      </c>
      <c r="D65" s="1">
        <v>0</v>
      </c>
      <c r="E65" t="s">
        <v>4360</v>
      </c>
      <c r="F65" t="s">
        <v>4360</v>
      </c>
      <c r="G65" t="s">
        <v>4360</v>
      </c>
      <c r="H65" t="s">
        <v>4360</v>
      </c>
      <c r="I65" s="21" t="s">
        <v>6496</v>
      </c>
      <c r="J65" t="s">
        <v>4360</v>
      </c>
      <c r="K65" s="1" t="s">
        <v>5898</v>
      </c>
      <c r="L65" s="1" t="s">
        <v>317</v>
      </c>
      <c r="M65" s="1" t="s">
        <v>321</v>
      </c>
      <c r="N65" s="1" t="s">
        <v>322</v>
      </c>
      <c r="O65" s="1" t="s">
        <v>5899</v>
      </c>
      <c r="P65" s="1">
        <v>2015</v>
      </c>
      <c r="Q65" s="1">
        <v>169000</v>
      </c>
      <c r="R65" s="1" t="s">
        <v>5900</v>
      </c>
      <c r="S65" s="1" t="s">
        <v>323</v>
      </c>
      <c r="T65" s="1" t="s">
        <v>5557</v>
      </c>
      <c r="U65" s="1" t="s">
        <v>5733</v>
      </c>
      <c r="V65" s="1" t="s">
        <v>5559</v>
      </c>
      <c r="W65" s="1">
        <v>8490000</v>
      </c>
      <c r="X65" s="1" t="s">
        <v>5560</v>
      </c>
      <c r="Y65" s="1">
        <v>1540</v>
      </c>
      <c r="Z65" s="1" t="s">
        <v>67</v>
      </c>
      <c r="AA65" s="1" t="s">
        <v>5594</v>
      </c>
      <c r="AB65" s="1" t="s">
        <v>5901</v>
      </c>
      <c r="AC65" s="1" t="s">
        <v>6497</v>
      </c>
      <c r="AD65" s="1" t="s">
        <v>5898</v>
      </c>
      <c r="AE65" s="1" t="s">
        <v>5902</v>
      </c>
      <c r="AF65" s="21" t="s">
        <v>6498</v>
      </c>
      <c r="AG65" s="1">
        <v>1</v>
      </c>
      <c r="AH65" s="21" t="s">
        <v>6498</v>
      </c>
      <c r="AI65" s="21" t="s">
        <v>6499</v>
      </c>
      <c r="AJ65" t="s">
        <v>4360</v>
      </c>
      <c r="AK65" s="1">
        <v>0</v>
      </c>
      <c r="AL65" s="1">
        <v>0</v>
      </c>
      <c r="AM65" t="s">
        <v>4360</v>
      </c>
      <c r="AN65" s="1">
        <v>0</v>
      </c>
      <c r="AO65" s="1">
        <v>10500000</v>
      </c>
      <c r="AP65" s="1">
        <v>461694</v>
      </c>
      <c r="AQ65" s="1">
        <v>0</v>
      </c>
      <c r="AR65" s="1">
        <v>10961694</v>
      </c>
      <c r="AS65" s="1">
        <v>8490000</v>
      </c>
      <c r="AT65" s="1">
        <v>-2471694</v>
      </c>
      <c r="AU65" s="1">
        <v>-2911</v>
      </c>
    </row>
    <row r="66" spans="1:47" ht="13.5" customHeight="1" x14ac:dyDescent="0.3">
      <c r="A66" s="1" t="s">
        <v>5554</v>
      </c>
      <c r="B66" s="1" t="s">
        <v>5580</v>
      </c>
      <c r="C66" s="1">
        <v>0</v>
      </c>
      <c r="D66" s="1">
        <v>0</v>
      </c>
      <c r="E66" t="s">
        <v>4360</v>
      </c>
      <c r="F66" t="s">
        <v>4360</v>
      </c>
      <c r="G66" t="s">
        <v>4360</v>
      </c>
      <c r="H66" t="s">
        <v>4360</v>
      </c>
      <c r="I66" s="21" t="s">
        <v>6527</v>
      </c>
      <c r="J66" t="s">
        <v>4360</v>
      </c>
      <c r="K66" s="1" t="s">
        <v>6157</v>
      </c>
      <c r="L66" s="1" t="s">
        <v>72</v>
      </c>
      <c r="M66" s="1" t="s">
        <v>4546</v>
      </c>
      <c r="N66" s="1" t="s">
        <v>75</v>
      </c>
      <c r="O66" s="1" t="s">
        <v>6158</v>
      </c>
      <c r="P66" s="1">
        <v>2023</v>
      </c>
      <c r="Q66" s="1">
        <v>31487</v>
      </c>
      <c r="R66" s="1" t="s">
        <v>6159</v>
      </c>
      <c r="S66" s="1" t="s">
        <v>76</v>
      </c>
      <c r="T66" s="1" t="s">
        <v>5557</v>
      </c>
      <c r="U66" s="1" t="s">
        <v>6160</v>
      </c>
      <c r="V66" s="1" t="s">
        <v>5559</v>
      </c>
      <c r="W66" s="1">
        <v>8990000</v>
      </c>
      <c r="X66" s="1" t="s">
        <v>5560</v>
      </c>
      <c r="Y66" s="1">
        <v>33</v>
      </c>
      <c r="Z66" s="1" t="s">
        <v>22</v>
      </c>
      <c r="AA66" s="1" t="s">
        <v>5585</v>
      </c>
      <c r="AB66" s="1" t="s">
        <v>4360</v>
      </c>
      <c r="AC66" s="1" t="s">
        <v>6161</v>
      </c>
      <c r="AD66" s="1" t="s">
        <v>6157</v>
      </c>
      <c r="AE66" s="1" t="s">
        <v>6162</v>
      </c>
      <c r="AF66" s="21" t="s">
        <v>6224</v>
      </c>
      <c r="AG66" s="1">
        <v>1</v>
      </c>
      <c r="AH66" s="21" t="s">
        <v>6224</v>
      </c>
      <c r="AI66" s="21" t="s">
        <v>6528</v>
      </c>
      <c r="AJ66" t="s">
        <v>4360</v>
      </c>
      <c r="AK66" s="1">
        <v>3</v>
      </c>
      <c r="AL66" s="1">
        <v>0</v>
      </c>
      <c r="AM66" t="s">
        <v>4360</v>
      </c>
      <c r="AN66" s="1">
        <v>0</v>
      </c>
      <c r="AO66" s="1">
        <v>7300000</v>
      </c>
      <c r="AP66" s="1">
        <v>0</v>
      </c>
      <c r="AQ66" s="1">
        <v>0</v>
      </c>
      <c r="AR66" s="1">
        <v>7300000</v>
      </c>
      <c r="AS66" s="1">
        <v>8990000</v>
      </c>
      <c r="AT66" s="1">
        <v>1690000</v>
      </c>
      <c r="AU66" s="1">
        <v>188</v>
      </c>
    </row>
    <row r="67" spans="1:47" ht="13.5" customHeight="1" x14ac:dyDescent="0.3">
      <c r="A67" s="1" t="s">
        <v>5554</v>
      </c>
      <c r="B67" s="1" t="s">
        <v>5555</v>
      </c>
      <c r="C67" s="1">
        <v>0</v>
      </c>
      <c r="D67" s="1">
        <v>0</v>
      </c>
      <c r="E67" t="s">
        <v>4360</v>
      </c>
      <c r="F67" t="s">
        <v>4360</v>
      </c>
      <c r="G67" t="s">
        <v>4360</v>
      </c>
      <c r="H67" t="s">
        <v>4360</v>
      </c>
      <c r="I67" s="21" t="s">
        <v>6321</v>
      </c>
      <c r="J67" t="s">
        <v>4360</v>
      </c>
      <c r="K67" s="1" t="s">
        <v>5563</v>
      </c>
      <c r="L67" s="1" t="s">
        <v>48</v>
      </c>
      <c r="M67" s="1" t="s">
        <v>58</v>
      </c>
      <c r="N67" s="1" t="s">
        <v>59</v>
      </c>
      <c r="O67" s="1" t="s">
        <v>5564</v>
      </c>
      <c r="P67" s="1">
        <v>2020</v>
      </c>
      <c r="Q67" s="1">
        <v>85300</v>
      </c>
      <c r="R67" s="1" t="s">
        <v>5565</v>
      </c>
      <c r="S67" s="1" t="s">
        <v>60</v>
      </c>
      <c r="T67" s="1" t="s">
        <v>5557</v>
      </c>
      <c r="U67" s="1" t="s">
        <v>5566</v>
      </c>
      <c r="V67" s="1" t="s">
        <v>5559</v>
      </c>
      <c r="W67" s="1">
        <v>28990000</v>
      </c>
      <c r="X67" s="1" t="s">
        <v>5560</v>
      </c>
      <c r="Y67" s="1">
        <v>62</v>
      </c>
      <c r="Z67" s="1" t="s">
        <v>28</v>
      </c>
      <c r="AA67" s="1" t="s">
        <v>5561</v>
      </c>
      <c r="AB67" s="1" t="s">
        <v>5567</v>
      </c>
      <c r="AC67" s="1" t="s">
        <v>5568</v>
      </c>
      <c r="AD67" s="1" t="s">
        <v>5563</v>
      </c>
      <c r="AE67" s="1" t="s">
        <v>5569</v>
      </c>
      <c r="AF67" s="21" t="s">
        <v>6322</v>
      </c>
      <c r="AG67" s="1">
        <v>1</v>
      </c>
      <c r="AH67" s="21" t="s">
        <v>6322</v>
      </c>
      <c r="AI67" s="21" t="s">
        <v>6323</v>
      </c>
      <c r="AJ67" t="s">
        <v>6324</v>
      </c>
      <c r="AK67" s="1">
        <v>3</v>
      </c>
      <c r="AL67" s="1">
        <v>0</v>
      </c>
      <c r="AM67" t="s">
        <v>4360</v>
      </c>
      <c r="AN67" s="1">
        <v>0</v>
      </c>
      <c r="AO67" s="1">
        <v>24500000</v>
      </c>
      <c r="AP67" s="1">
        <v>496740</v>
      </c>
      <c r="AQ67" s="1">
        <v>0</v>
      </c>
      <c r="AR67" s="1">
        <v>24996740</v>
      </c>
      <c r="AS67" s="1">
        <v>28990000</v>
      </c>
      <c r="AT67" s="1">
        <v>3993260</v>
      </c>
      <c r="AU67" s="1">
        <v>1377</v>
      </c>
    </row>
    <row r="68" spans="1:47" ht="13.5" customHeight="1" x14ac:dyDescent="0.3">
      <c r="A68" s="1" t="s">
        <v>5554</v>
      </c>
      <c r="B68" s="1" t="s">
        <v>5619</v>
      </c>
      <c r="C68" s="1">
        <v>0</v>
      </c>
      <c r="D68" s="1">
        <v>0</v>
      </c>
      <c r="E68" t="s">
        <v>4360</v>
      </c>
      <c r="F68" t="s">
        <v>4360</v>
      </c>
      <c r="G68" t="s">
        <v>4360</v>
      </c>
      <c r="H68" t="s">
        <v>4360</v>
      </c>
      <c r="I68" s="21" t="s">
        <v>6577</v>
      </c>
      <c r="J68" t="s">
        <v>4360</v>
      </c>
      <c r="K68" s="1" t="s">
        <v>5620</v>
      </c>
      <c r="L68" s="1" t="s">
        <v>264</v>
      </c>
      <c r="M68" s="1" t="s">
        <v>293</v>
      </c>
      <c r="N68" s="1" t="s">
        <v>296</v>
      </c>
      <c r="O68" s="1" t="s">
        <v>5621</v>
      </c>
      <c r="P68" s="1">
        <v>2025</v>
      </c>
      <c r="Q68" s="1">
        <v>5800</v>
      </c>
      <c r="R68" s="1" t="s">
        <v>5622</v>
      </c>
      <c r="S68" s="1" t="s">
        <v>298</v>
      </c>
      <c r="T68" s="1" t="s">
        <v>5557</v>
      </c>
      <c r="U68" s="1" t="s">
        <v>5623</v>
      </c>
      <c r="V68" s="1" t="s">
        <v>5559</v>
      </c>
      <c r="W68" s="1">
        <v>20990000</v>
      </c>
      <c r="X68" s="1" t="s">
        <v>5560</v>
      </c>
      <c r="Y68" s="1">
        <v>243</v>
      </c>
      <c r="Z68" s="1" t="s">
        <v>28</v>
      </c>
      <c r="AA68" s="1" t="s">
        <v>5611</v>
      </c>
      <c r="AB68" s="1" t="s">
        <v>5562</v>
      </c>
      <c r="AC68" s="1" t="s">
        <v>5624</v>
      </c>
      <c r="AD68" s="1" t="s">
        <v>5620</v>
      </c>
      <c r="AE68" s="1" t="s">
        <v>5625</v>
      </c>
      <c r="AF68" s="21" t="s">
        <v>6487</v>
      </c>
      <c r="AG68" s="1">
        <v>1</v>
      </c>
      <c r="AH68" s="21" t="s">
        <v>6487</v>
      </c>
      <c r="AI68" s="21" t="s">
        <v>6578</v>
      </c>
      <c r="AJ68" t="s">
        <v>4360</v>
      </c>
      <c r="AK68" s="1">
        <v>1</v>
      </c>
      <c r="AL68" s="1">
        <v>0</v>
      </c>
      <c r="AM68" t="s">
        <v>4360</v>
      </c>
      <c r="AN68" s="1">
        <v>0</v>
      </c>
      <c r="AO68" s="1">
        <v>27929100</v>
      </c>
      <c r="AP68" s="1">
        <v>918614</v>
      </c>
      <c r="AQ68" s="1">
        <v>0</v>
      </c>
      <c r="AR68" s="1">
        <v>28847714</v>
      </c>
      <c r="AS68" s="1">
        <v>20990000</v>
      </c>
      <c r="AT68" s="1">
        <v>-7857714</v>
      </c>
      <c r="AU68" s="1">
        <v>-3744</v>
      </c>
    </row>
    <row r="69" spans="1:47" ht="13.5" customHeight="1" x14ac:dyDescent="0.3">
      <c r="A69" s="1" t="s">
        <v>5554</v>
      </c>
      <c r="B69" s="1" t="s">
        <v>5589</v>
      </c>
      <c r="C69" s="1">
        <v>0</v>
      </c>
      <c r="D69" s="1">
        <v>0</v>
      </c>
      <c r="E69" t="s">
        <v>4360</v>
      </c>
      <c r="F69" t="s">
        <v>4360</v>
      </c>
      <c r="G69" t="s">
        <v>4360</v>
      </c>
      <c r="H69" t="s">
        <v>4360</v>
      </c>
      <c r="I69" s="22" t="s">
        <v>6364</v>
      </c>
      <c r="J69" t="s">
        <v>4360</v>
      </c>
      <c r="K69" s="1" t="s">
        <v>5707</v>
      </c>
      <c r="L69" s="1" t="s">
        <v>242</v>
      </c>
      <c r="M69" s="1" t="s">
        <v>257</v>
      </c>
      <c r="N69" s="1" t="s">
        <v>258</v>
      </c>
      <c r="O69" s="1" t="s">
        <v>5708</v>
      </c>
      <c r="P69" s="1">
        <v>2024</v>
      </c>
      <c r="Q69" s="1">
        <v>19000</v>
      </c>
      <c r="R69" s="1" t="s">
        <v>5709</v>
      </c>
      <c r="S69" s="1" t="s">
        <v>259</v>
      </c>
      <c r="T69" s="1" t="s">
        <v>5557</v>
      </c>
      <c r="U69" s="1" t="s">
        <v>5648</v>
      </c>
      <c r="V69" s="1" t="s">
        <v>5559</v>
      </c>
      <c r="W69" s="1">
        <v>21490000</v>
      </c>
      <c r="X69" s="1" t="s">
        <v>5560</v>
      </c>
      <c r="Y69" s="1">
        <v>117</v>
      </c>
      <c r="Z69" s="1" t="s">
        <v>28</v>
      </c>
      <c r="AA69" s="1" t="s">
        <v>5594</v>
      </c>
      <c r="AB69" s="1" t="s">
        <v>5562</v>
      </c>
      <c r="AC69" s="1" t="s">
        <v>5710</v>
      </c>
      <c r="AD69" s="1" t="s">
        <v>5707</v>
      </c>
      <c r="AE69" s="1" t="s">
        <v>5711</v>
      </c>
      <c r="AF69" s="22" t="s">
        <v>6355</v>
      </c>
      <c r="AG69" s="1">
        <v>1</v>
      </c>
      <c r="AH69" s="22" t="s">
        <v>6355</v>
      </c>
      <c r="AI69" s="22" t="s">
        <v>6365</v>
      </c>
      <c r="AJ69" t="s">
        <v>4360</v>
      </c>
      <c r="AK69" s="1">
        <v>1</v>
      </c>
      <c r="AL69" s="1">
        <v>0</v>
      </c>
      <c r="AM69" t="s">
        <v>4360</v>
      </c>
      <c r="AN69" s="1">
        <v>0</v>
      </c>
      <c r="AO69" s="1">
        <v>18500000</v>
      </c>
      <c r="AP69" s="1">
        <v>689954</v>
      </c>
      <c r="AQ69" s="1">
        <v>0</v>
      </c>
      <c r="AR69" s="1">
        <v>19189954</v>
      </c>
      <c r="AS69" s="1">
        <v>21490000</v>
      </c>
      <c r="AT69" s="1">
        <v>2300046</v>
      </c>
      <c r="AU69" s="1">
        <v>107</v>
      </c>
    </row>
    <row r="70" spans="1:47" ht="13.5" customHeight="1" x14ac:dyDescent="0.3">
      <c r="A70" s="1" t="s">
        <v>5554</v>
      </c>
      <c r="B70" s="1" t="s">
        <v>5555</v>
      </c>
      <c r="C70" s="1">
        <v>0</v>
      </c>
      <c r="D70" s="1">
        <v>0</v>
      </c>
      <c r="E70" t="s">
        <v>4360</v>
      </c>
      <c r="F70" t="s">
        <v>4360</v>
      </c>
      <c r="G70" t="s">
        <v>4360</v>
      </c>
      <c r="H70" t="s">
        <v>4360</v>
      </c>
      <c r="I70" s="21" t="s">
        <v>6277</v>
      </c>
      <c r="J70" t="s">
        <v>4360</v>
      </c>
      <c r="K70" s="1" t="s">
        <v>6278</v>
      </c>
      <c r="L70" s="1" t="s">
        <v>264</v>
      </c>
      <c r="M70" s="1" t="s">
        <v>5168</v>
      </c>
      <c r="N70" s="1" t="s">
        <v>5170</v>
      </c>
      <c r="O70" s="1" t="s">
        <v>6279</v>
      </c>
      <c r="P70" s="1">
        <v>2025</v>
      </c>
      <c r="Q70" s="1">
        <v>22000</v>
      </c>
      <c r="R70" s="1" t="s">
        <v>6280</v>
      </c>
      <c r="S70" s="1" t="s">
        <v>358</v>
      </c>
      <c r="T70" s="1" t="s">
        <v>5557</v>
      </c>
      <c r="U70" s="1" t="s">
        <v>6281</v>
      </c>
      <c r="V70" s="1" t="s">
        <v>5559</v>
      </c>
      <c r="W70" s="1">
        <v>14990000</v>
      </c>
      <c r="X70" s="1" t="s">
        <v>5560</v>
      </c>
      <c r="Y70" s="1">
        <v>11</v>
      </c>
      <c r="Z70" s="1" t="s">
        <v>17</v>
      </c>
      <c r="AA70" s="1" t="s">
        <v>5561</v>
      </c>
      <c r="AB70" t="s">
        <v>5616</v>
      </c>
      <c r="AC70" s="1" t="s">
        <v>6282</v>
      </c>
      <c r="AD70" s="1" t="s">
        <v>6278</v>
      </c>
      <c r="AE70" s="1" t="s">
        <v>6283</v>
      </c>
      <c r="AF70" s="21" t="s">
        <v>6284</v>
      </c>
      <c r="AG70" s="1">
        <v>1</v>
      </c>
      <c r="AH70" s="21" t="s">
        <v>6284</v>
      </c>
      <c r="AI70" s="21" t="s">
        <v>6285</v>
      </c>
      <c r="AJ70" t="s">
        <v>4360</v>
      </c>
      <c r="AK70" s="1">
        <v>1</v>
      </c>
      <c r="AL70" s="1">
        <v>0</v>
      </c>
      <c r="AM70" t="s">
        <v>4360</v>
      </c>
      <c r="AN70" s="1">
        <v>0</v>
      </c>
      <c r="AO70" s="1">
        <v>12246151</v>
      </c>
      <c r="AP70" s="1">
        <v>0</v>
      </c>
      <c r="AQ70" s="1">
        <v>0</v>
      </c>
      <c r="AR70" s="1">
        <v>12246151</v>
      </c>
      <c r="AS70" s="1">
        <v>14990000</v>
      </c>
      <c r="AT70" s="1">
        <v>2743849</v>
      </c>
      <c r="AU70" s="1">
        <v>183</v>
      </c>
    </row>
    <row r="71" spans="1:47" ht="13.5" customHeight="1" x14ac:dyDescent="0.3">
      <c r="A71" s="1" t="s">
        <v>5554</v>
      </c>
      <c r="B71" s="1" t="s">
        <v>5555</v>
      </c>
      <c r="C71" s="1">
        <v>0</v>
      </c>
      <c r="D71" s="1">
        <v>0</v>
      </c>
      <c r="E71" t="s">
        <v>4360</v>
      </c>
      <c r="F71" t="s">
        <v>4360</v>
      </c>
      <c r="G71" t="s">
        <v>4360</v>
      </c>
      <c r="H71" t="s">
        <v>4360</v>
      </c>
      <c r="I71" s="21" t="s">
        <v>6494</v>
      </c>
      <c r="J71" t="s">
        <v>4360</v>
      </c>
      <c r="K71" s="1" t="s">
        <v>5876</v>
      </c>
      <c r="L71" s="1" t="s">
        <v>151</v>
      </c>
      <c r="M71" s="1" t="s">
        <v>154</v>
      </c>
      <c r="N71" s="1" t="s">
        <v>155</v>
      </c>
      <c r="O71" s="1" t="s">
        <v>5877</v>
      </c>
      <c r="P71" s="1">
        <v>2024</v>
      </c>
      <c r="Q71" s="1">
        <v>19000</v>
      </c>
      <c r="R71" s="1" t="s">
        <v>5878</v>
      </c>
      <c r="S71" s="1" t="s">
        <v>156</v>
      </c>
      <c r="T71" s="1" t="s">
        <v>5557</v>
      </c>
      <c r="U71" s="1" t="s">
        <v>5663</v>
      </c>
      <c r="V71" s="1" t="s">
        <v>5559</v>
      </c>
      <c r="W71" s="1">
        <v>16490000</v>
      </c>
      <c r="X71" s="1" t="s">
        <v>5560</v>
      </c>
      <c r="Y71" s="1">
        <v>20</v>
      </c>
      <c r="Z71" s="1" t="s">
        <v>17</v>
      </c>
      <c r="AA71" s="1" t="s">
        <v>5561</v>
      </c>
      <c r="AB71" s="1" t="s">
        <v>5562</v>
      </c>
      <c r="AC71" s="1" t="s">
        <v>5879</v>
      </c>
      <c r="AD71" s="1" t="s">
        <v>5880</v>
      </c>
      <c r="AE71" s="1" t="s">
        <v>5881</v>
      </c>
      <c r="AF71" s="21" t="s">
        <v>6346</v>
      </c>
      <c r="AG71" s="1">
        <v>1</v>
      </c>
      <c r="AH71" s="21" t="s">
        <v>6346</v>
      </c>
      <c r="AI71" s="21" t="s">
        <v>6495</v>
      </c>
      <c r="AJ71" t="s">
        <v>4360</v>
      </c>
      <c r="AK71" s="1">
        <v>1</v>
      </c>
      <c r="AL71" s="1">
        <v>0</v>
      </c>
      <c r="AM71" t="s">
        <v>4360</v>
      </c>
      <c r="AN71" s="1">
        <v>0</v>
      </c>
      <c r="AO71" s="1">
        <v>13500000</v>
      </c>
      <c r="AP71" s="1">
        <v>0</v>
      </c>
      <c r="AQ71" s="1">
        <v>0</v>
      </c>
      <c r="AR71" s="1">
        <v>13500000</v>
      </c>
      <c r="AS71" s="1">
        <v>16490000</v>
      </c>
      <c r="AT71" s="1">
        <v>2990000</v>
      </c>
      <c r="AU71" s="1">
        <v>1813</v>
      </c>
    </row>
    <row r="72" spans="1:47" ht="13.5" customHeight="1" x14ac:dyDescent="0.3">
      <c r="A72" s="1" t="s">
        <v>5554</v>
      </c>
      <c r="B72" s="1" t="s">
        <v>5589</v>
      </c>
      <c r="C72" s="1">
        <v>0</v>
      </c>
      <c r="D72" s="1">
        <v>0</v>
      </c>
      <c r="E72" t="s">
        <v>4360</v>
      </c>
      <c r="F72" t="s">
        <v>4360</v>
      </c>
      <c r="G72" t="s">
        <v>4360</v>
      </c>
      <c r="H72" t="s">
        <v>4360</v>
      </c>
      <c r="I72" s="21" t="s">
        <v>6522</v>
      </c>
      <c r="J72" t="s">
        <v>4360</v>
      </c>
      <c r="K72" s="1" t="s">
        <v>5645</v>
      </c>
      <c r="L72" s="1" t="s">
        <v>242</v>
      </c>
      <c r="M72" s="1" t="s">
        <v>243</v>
      </c>
      <c r="N72" s="1" t="s">
        <v>244</v>
      </c>
      <c r="O72" s="1" t="s">
        <v>5646</v>
      </c>
      <c r="P72" s="1">
        <v>2015</v>
      </c>
      <c r="Q72" s="1">
        <v>96083</v>
      </c>
      <c r="R72" s="1" t="s">
        <v>5647</v>
      </c>
      <c r="S72" s="1" t="s">
        <v>245</v>
      </c>
      <c r="T72" s="1" t="s">
        <v>5557</v>
      </c>
      <c r="U72" s="1" t="s">
        <v>5648</v>
      </c>
      <c r="V72" s="1" t="s">
        <v>5559</v>
      </c>
      <c r="W72" s="1">
        <v>9890000</v>
      </c>
      <c r="X72" s="1" t="s">
        <v>5560</v>
      </c>
      <c r="Y72" s="1">
        <v>71</v>
      </c>
      <c r="Z72" s="1" t="s">
        <v>28</v>
      </c>
      <c r="AA72" s="1" t="s">
        <v>5594</v>
      </c>
      <c r="AB72" s="1" t="s">
        <v>4360</v>
      </c>
      <c r="AC72" s="1" t="s">
        <v>5649</v>
      </c>
      <c r="AD72" s="1" t="s">
        <v>5650</v>
      </c>
      <c r="AE72" s="1" t="s">
        <v>5651</v>
      </c>
      <c r="AF72" s="21" t="s">
        <v>6523</v>
      </c>
      <c r="AG72" s="1">
        <v>1</v>
      </c>
      <c r="AH72" s="21" t="s">
        <v>6524</v>
      </c>
      <c r="AI72" s="21" t="s">
        <v>6525</v>
      </c>
      <c r="AJ72" t="s">
        <v>4360</v>
      </c>
      <c r="AK72" s="1">
        <v>0</v>
      </c>
      <c r="AL72" s="1">
        <v>0</v>
      </c>
      <c r="AM72" t="s">
        <v>4360</v>
      </c>
      <c r="AN72" s="1">
        <v>0</v>
      </c>
      <c r="AO72" s="1">
        <v>9300000</v>
      </c>
      <c r="AP72" s="1">
        <v>1603570</v>
      </c>
      <c r="AQ72" s="1">
        <v>0</v>
      </c>
      <c r="AR72" s="1">
        <v>10903570</v>
      </c>
      <c r="AS72" s="1">
        <v>9890000</v>
      </c>
      <c r="AT72" s="1">
        <v>-1013570</v>
      </c>
      <c r="AU72" s="1">
        <v>-1025</v>
      </c>
    </row>
    <row r="73" spans="1:47" ht="13.5" customHeight="1" x14ac:dyDescent="0.3">
      <c r="A73" s="1" t="s">
        <v>5554</v>
      </c>
      <c r="B73" s="1" t="s">
        <v>5589</v>
      </c>
      <c r="C73" s="1">
        <v>0</v>
      </c>
      <c r="D73" s="1">
        <v>0</v>
      </c>
      <c r="E73" t="s">
        <v>4360</v>
      </c>
      <c r="F73" t="s">
        <v>4360</v>
      </c>
      <c r="G73" t="s">
        <v>4360</v>
      </c>
      <c r="H73" t="s">
        <v>4360</v>
      </c>
      <c r="I73" s="21" t="s">
        <v>6594</v>
      </c>
      <c r="J73" t="s">
        <v>4360</v>
      </c>
      <c r="K73" s="1" t="s">
        <v>6086</v>
      </c>
      <c r="L73" s="1" t="s">
        <v>188</v>
      </c>
      <c r="M73" s="1" t="s">
        <v>4835</v>
      </c>
      <c r="N73" s="1" t="s">
        <v>189</v>
      </c>
      <c r="O73" s="1" t="s">
        <v>6087</v>
      </c>
      <c r="P73" s="1">
        <v>2025</v>
      </c>
      <c r="Q73" s="1">
        <v>12000</v>
      </c>
      <c r="R73" s="1" t="s">
        <v>6088</v>
      </c>
      <c r="S73" s="1" t="s">
        <v>190</v>
      </c>
      <c r="T73" s="1" t="s">
        <v>5557</v>
      </c>
      <c r="U73" s="1" t="s">
        <v>6089</v>
      </c>
      <c r="V73" s="1" t="s">
        <v>5559</v>
      </c>
      <c r="W73" s="1">
        <v>20990000</v>
      </c>
      <c r="X73" s="1" t="s">
        <v>5560</v>
      </c>
      <c r="Y73" s="1">
        <v>35</v>
      </c>
      <c r="Z73" s="1" t="s">
        <v>22</v>
      </c>
      <c r="AA73" s="1" t="s">
        <v>5594</v>
      </c>
      <c r="AB73" s="1" t="s">
        <v>5595</v>
      </c>
      <c r="AC73" s="1" t="s">
        <v>6090</v>
      </c>
      <c r="AD73" s="1" t="s">
        <v>6086</v>
      </c>
      <c r="AE73" s="1" t="s">
        <v>6091</v>
      </c>
      <c r="AF73" s="21" t="s">
        <v>6374</v>
      </c>
      <c r="AG73" s="1">
        <v>1</v>
      </c>
      <c r="AH73" s="21" t="s">
        <v>6374</v>
      </c>
      <c r="AI73" s="21" t="s">
        <v>6595</v>
      </c>
      <c r="AJ73" t="s">
        <v>4360</v>
      </c>
      <c r="AK73" s="1">
        <v>2</v>
      </c>
      <c r="AL73" s="1">
        <v>0</v>
      </c>
      <c r="AM73" t="s">
        <v>4360</v>
      </c>
      <c r="AN73" s="1">
        <v>0</v>
      </c>
      <c r="AO73" s="1">
        <v>17500000</v>
      </c>
      <c r="AP73" s="1">
        <v>391740</v>
      </c>
      <c r="AQ73" s="1">
        <v>0</v>
      </c>
      <c r="AR73" s="1">
        <v>17891740</v>
      </c>
      <c r="AS73" s="1">
        <v>20990000</v>
      </c>
      <c r="AT73" s="1">
        <v>3098260</v>
      </c>
      <c r="AU73" s="1">
        <v>1476</v>
      </c>
    </row>
    <row r="74" spans="1:47" ht="13.5" customHeight="1" x14ac:dyDescent="0.3">
      <c r="A74" s="1" t="s">
        <v>5554</v>
      </c>
      <c r="B74" s="1" t="s">
        <v>5610</v>
      </c>
      <c r="C74" s="1">
        <v>0</v>
      </c>
      <c r="D74" s="1">
        <v>0</v>
      </c>
      <c r="E74" t="s">
        <v>4360</v>
      </c>
      <c r="F74" t="s">
        <v>4360</v>
      </c>
      <c r="G74" t="s">
        <v>4360</v>
      </c>
      <c r="H74" t="s">
        <v>4360</v>
      </c>
      <c r="I74" s="21" t="s">
        <v>6286</v>
      </c>
      <c r="J74" t="s">
        <v>4360</v>
      </c>
      <c r="K74" s="1" t="s">
        <v>5852</v>
      </c>
      <c r="L74" s="1" t="s">
        <v>188</v>
      </c>
      <c r="M74" s="1" t="s">
        <v>4835</v>
      </c>
      <c r="N74" s="1" t="s">
        <v>191</v>
      </c>
      <c r="O74" s="1" t="s">
        <v>5745</v>
      </c>
      <c r="P74" s="1">
        <v>2025</v>
      </c>
      <c r="Q74" s="1">
        <v>10200</v>
      </c>
      <c r="R74" s="1" t="s">
        <v>5853</v>
      </c>
      <c r="S74" s="1" t="s">
        <v>194</v>
      </c>
      <c r="T74" s="1" t="s">
        <v>5557</v>
      </c>
      <c r="U74" s="1" t="s">
        <v>5854</v>
      </c>
      <c r="V74" s="1" t="s">
        <v>5559</v>
      </c>
      <c r="W74" s="1">
        <v>16490000</v>
      </c>
      <c r="X74" s="1" t="s">
        <v>5560</v>
      </c>
      <c r="Y74" s="1">
        <v>204</v>
      </c>
      <c r="Z74" s="1" t="s">
        <v>36</v>
      </c>
      <c r="AA74" s="1" t="s">
        <v>5611</v>
      </c>
      <c r="AB74" s="1" t="s">
        <v>5616</v>
      </c>
      <c r="AC74" s="1" t="s">
        <v>5855</v>
      </c>
      <c r="AD74" s="1" t="s">
        <v>5856</v>
      </c>
      <c r="AE74" s="1" t="s">
        <v>5857</v>
      </c>
      <c r="AF74" s="21" t="s">
        <v>6287</v>
      </c>
      <c r="AG74" s="1">
        <v>1</v>
      </c>
      <c r="AH74" s="21" t="s">
        <v>6287</v>
      </c>
      <c r="AI74" s="21" t="s">
        <v>6288</v>
      </c>
      <c r="AJ74" s="22" t="s">
        <v>4360</v>
      </c>
      <c r="AK74" s="1">
        <v>1</v>
      </c>
      <c r="AL74" s="1">
        <v>0</v>
      </c>
      <c r="AM74" t="s">
        <v>4360</v>
      </c>
      <c r="AN74" s="1">
        <v>0</v>
      </c>
      <c r="AO74" s="1">
        <v>15500000</v>
      </c>
      <c r="AP74" s="1">
        <v>358530</v>
      </c>
      <c r="AQ74" s="1">
        <v>0</v>
      </c>
      <c r="AR74" s="1">
        <v>15858530</v>
      </c>
      <c r="AS74" s="1">
        <v>16490000</v>
      </c>
      <c r="AT74" s="1">
        <v>631470</v>
      </c>
      <c r="AU74" s="1">
        <v>383</v>
      </c>
    </row>
    <row r="75" spans="1:47" ht="13.5" customHeight="1" x14ac:dyDescent="0.3">
      <c r="A75" s="1" t="s">
        <v>5554</v>
      </c>
      <c r="B75" s="1" t="s">
        <v>5589</v>
      </c>
      <c r="C75" s="1">
        <v>0</v>
      </c>
      <c r="D75" s="1">
        <v>0</v>
      </c>
      <c r="E75" t="s">
        <v>4360</v>
      </c>
      <c r="F75" t="s">
        <v>4360</v>
      </c>
      <c r="G75" t="s">
        <v>4360</v>
      </c>
      <c r="H75" t="s">
        <v>4360</v>
      </c>
      <c r="I75" s="21" t="s">
        <v>6271</v>
      </c>
      <c r="J75" t="s">
        <v>4360</v>
      </c>
      <c r="K75" s="1" t="s">
        <v>5951</v>
      </c>
      <c r="L75" s="1" t="s">
        <v>236</v>
      </c>
      <c r="M75" s="1" t="s">
        <v>237</v>
      </c>
      <c r="N75" s="1" t="s">
        <v>238</v>
      </c>
      <c r="O75" s="1" t="s">
        <v>5952</v>
      </c>
      <c r="P75" s="1">
        <v>2023</v>
      </c>
      <c r="Q75" s="1">
        <v>44000</v>
      </c>
      <c r="R75" s="1" t="s">
        <v>5953</v>
      </c>
      <c r="S75" s="1" t="s">
        <v>239</v>
      </c>
      <c r="T75" s="1" t="s">
        <v>5557</v>
      </c>
      <c r="U75" s="1" t="s">
        <v>5593</v>
      </c>
      <c r="V75" s="1" t="s">
        <v>5559</v>
      </c>
      <c r="W75" s="1">
        <v>18190000</v>
      </c>
      <c r="X75" s="1" t="s">
        <v>5560</v>
      </c>
      <c r="Y75" s="1">
        <v>76</v>
      </c>
      <c r="Z75" s="1" t="s">
        <v>22</v>
      </c>
      <c r="AA75" s="1" t="s">
        <v>5594</v>
      </c>
      <c r="AB75" s="1" t="s">
        <v>5562</v>
      </c>
      <c r="AC75" s="1" t="s">
        <v>5954</v>
      </c>
      <c r="AD75" s="1" t="s">
        <v>5951</v>
      </c>
      <c r="AE75" s="1" t="s">
        <v>5955</v>
      </c>
      <c r="AF75" s="21" t="s">
        <v>6272</v>
      </c>
      <c r="AG75" s="1">
        <v>1</v>
      </c>
      <c r="AH75" s="21" t="s">
        <v>6272</v>
      </c>
      <c r="AI75" s="21" t="s">
        <v>6273</v>
      </c>
      <c r="AJ75" t="s">
        <v>6274</v>
      </c>
      <c r="AK75" s="1">
        <v>1</v>
      </c>
      <c r="AL75" s="1">
        <v>0</v>
      </c>
      <c r="AM75" t="s">
        <v>4360</v>
      </c>
      <c r="AN75" s="1">
        <v>0</v>
      </c>
      <c r="AO75" s="1">
        <v>15200000</v>
      </c>
      <c r="AP75" s="1">
        <v>354030</v>
      </c>
      <c r="AQ75" s="1">
        <v>0</v>
      </c>
      <c r="AR75" s="1">
        <v>15554030</v>
      </c>
      <c r="AS75" s="1">
        <v>18190000</v>
      </c>
      <c r="AT75" s="1">
        <v>2635970</v>
      </c>
      <c r="AU75" s="1">
        <v>1449</v>
      </c>
    </row>
    <row r="76" spans="1:47" ht="13.5" customHeight="1" x14ac:dyDescent="0.3">
      <c r="A76" s="1" t="s">
        <v>5554</v>
      </c>
      <c r="B76" s="1" t="s">
        <v>5610</v>
      </c>
      <c r="C76" s="1">
        <v>0</v>
      </c>
      <c r="D76" s="1">
        <v>0</v>
      </c>
      <c r="E76" t="s">
        <v>4360</v>
      </c>
      <c r="F76" t="s">
        <v>4360</v>
      </c>
      <c r="G76" t="s">
        <v>4360</v>
      </c>
      <c r="H76" t="s">
        <v>4360</v>
      </c>
      <c r="I76" s="21" t="s">
        <v>6254</v>
      </c>
      <c r="J76" t="s">
        <v>4360</v>
      </c>
      <c r="K76" s="1" t="s">
        <v>5981</v>
      </c>
      <c r="L76" s="1" t="s">
        <v>201</v>
      </c>
      <c r="M76" s="1" t="s">
        <v>218</v>
      </c>
      <c r="N76" s="1" t="s">
        <v>223</v>
      </c>
      <c r="O76" s="1" t="s">
        <v>5982</v>
      </c>
      <c r="P76" s="1">
        <v>2014</v>
      </c>
      <c r="Q76" s="1">
        <v>83000</v>
      </c>
      <c r="R76" s="1" t="s">
        <v>5983</v>
      </c>
      <c r="S76" s="1" t="s">
        <v>225</v>
      </c>
      <c r="T76" s="1" t="s">
        <v>5557</v>
      </c>
      <c r="U76" s="1" t="s">
        <v>5984</v>
      </c>
      <c r="V76" s="1" t="s">
        <v>5559</v>
      </c>
      <c r="W76" s="1">
        <v>8490000</v>
      </c>
      <c r="X76" s="1" t="s">
        <v>5560</v>
      </c>
      <c r="Y76" s="1">
        <v>2265</v>
      </c>
      <c r="Z76" s="1" t="s">
        <v>224</v>
      </c>
      <c r="AA76" s="1" t="s">
        <v>5611</v>
      </c>
      <c r="AB76" s="1" t="s">
        <v>4360</v>
      </c>
      <c r="AC76" s="1" t="s">
        <v>5985</v>
      </c>
      <c r="AD76" s="1" t="s">
        <v>5981</v>
      </c>
      <c r="AE76" s="1" t="s">
        <v>5554</v>
      </c>
      <c r="AF76" s="21" t="s">
        <v>6255</v>
      </c>
      <c r="AG76" s="1">
        <v>1</v>
      </c>
      <c r="AH76" s="21" t="s">
        <v>6256</v>
      </c>
      <c r="AI76" s="21" t="s">
        <v>6257</v>
      </c>
      <c r="AJ76" t="s">
        <v>4360</v>
      </c>
      <c r="AK76" s="1">
        <v>0</v>
      </c>
      <c r="AL76" s="1">
        <v>0</v>
      </c>
      <c r="AM76" t="s">
        <v>4360</v>
      </c>
      <c r="AN76" s="1">
        <v>0</v>
      </c>
      <c r="AO76" s="1">
        <v>0</v>
      </c>
      <c r="AP76" s="1">
        <v>2523835</v>
      </c>
      <c r="AQ76" s="1">
        <v>0</v>
      </c>
      <c r="AR76" s="1">
        <v>2523835</v>
      </c>
      <c r="AS76" s="1">
        <v>8490000</v>
      </c>
      <c r="AT76" s="1">
        <v>5966165</v>
      </c>
      <c r="AU76" s="1">
        <v>7027</v>
      </c>
    </row>
    <row r="77" spans="1:47" ht="13.5" customHeight="1" x14ac:dyDescent="0.3">
      <c r="A77" s="1" t="s">
        <v>5554</v>
      </c>
      <c r="B77" s="1" t="s">
        <v>5555</v>
      </c>
      <c r="C77" s="1">
        <v>0</v>
      </c>
      <c r="D77" s="1">
        <v>0</v>
      </c>
      <c r="E77" t="s">
        <v>4360</v>
      </c>
      <c r="F77" t="s">
        <v>4360</v>
      </c>
      <c r="G77" t="s">
        <v>4360</v>
      </c>
      <c r="H77" t="s">
        <v>4360</v>
      </c>
      <c r="I77" s="21" t="s">
        <v>6570</v>
      </c>
      <c r="J77" t="s">
        <v>4360</v>
      </c>
      <c r="K77" s="1" t="s">
        <v>6113</v>
      </c>
      <c r="L77" s="1" t="s">
        <v>229</v>
      </c>
      <c r="M77" s="1" t="s">
        <v>230</v>
      </c>
      <c r="N77" s="1" t="s">
        <v>231</v>
      </c>
      <c r="O77" s="1" t="s">
        <v>6114</v>
      </c>
      <c r="P77" s="1">
        <v>2025</v>
      </c>
      <c r="Q77" s="1">
        <v>39700</v>
      </c>
      <c r="R77" s="1" t="s">
        <v>6115</v>
      </c>
      <c r="S77" s="1" t="s">
        <v>232</v>
      </c>
      <c r="T77" s="1" t="s">
        <v>5557</v>
      </c>
      <c r="U77" s="1" t="s">
        <v>6116</v>
      </c>
      <c r="V77" s="1" t="s">
        <v>5559</v>
      </c>
      <c r="W77" s="1">
        <v>21990000</v>
      </c>
      <c r="X77" s="1" t="s">
        <v>5560</v>
      </c>
      <c r="Y77" s="1">
        <v>34</v>
      </c>
      <c r="Z77" s="1" t="s">
        <v>22</v>
      </c>
      <c r="AA77" s="1" t="s">
        <v>5561</v>
      </c>
      <c r="AB77" s="1" t="s">
        <v>5577</v>
      </c>
      <c r="AC77" s="1" t="s">
        <v>6117</v>
      </c>
      <c r="AD77" s="1" t="s">
        <v>6113</v>
      </c>
      <c r="AE77" s="1" t="s">
        <v>6118</v>
      </c>
      <c r="AF77" s="21" t="s">
        <v>6406</v>
      </c>
      <c r="AG77" s="1">
        <v>1</v>
      </c>
      <c r="AH77" s="21" t="s">
        <v>6406</v>
      </c>
      <c r="AI77" s="21" t="s">
        <v>6571</v>
      </c>
      <c r="AJ77" s="21" t="s">
        <v>4360</v>
      </c>
      <c r="AK77" s="1">
        <v>1</v>
      </c>
      <c r="AL77" s="1">
        <v>0</v>
      </c>
      <c r="AM77" t="s">
        <v>4360</v>
      </c>
      <c r="AN77" s="1">
        <v>0</v>
      </c>
      <c r="AO77" s="1">
        <v>18300000</v>
      </c>
      <c r="AP77" s="1">
        <v>403740</v>
      </c>
      <c r="AQ77" s="1">
        <v>0</v>
      </c>
      <c r="AR77" s="1">
        <v>18703740</v>
      </c>
      <c r="AS77" s="1">
        <v>21990000</v>
      </c>
      <c r="AT77" s="1">
        <v>3286260</v>
      </c>
      <c r="AU77" s="1">
        <v>1494</v>
      </c>
    </row>
    <row r="78" spans="1:47" ht="13.5" customHeight="1" x14ac:dyDescent="0.3">
      <c r="A78" s="1" t="s">
        <v>5554</v>
      </c>
      <c r="B78" s="1" t="s">
        <v>5580</v>
      </c>
      <c r="C78" s="1">
        <v>0</v>
      </c>
      <c r="D78" s="1">
        <v>0</v>
      </c>
      <c r="E78" t="s">
        <v>4360</v>
      </c>
      <c r="F78" t="s">
        <v>4360</v>
      </c>
      <c r="G78" t="s">
        <v>4360</v>
      </c>
      <c r="H78" t="s">
        <v>4360</v>
      </c>
      <c r="I78" s="21" t="s">
        <v>8882</v>
      </c>
      <c r="J78" t="s">
        <v>4360</v>
      </c>
      <c r="K78" s="1" t="s">
        <v>8883</v>
      </c>
      <c r="L78" s="1" t="s">
        <v>30</v>
      </c>
      <c r="M78" s="1" t="s">
        <v>34</v>
      </c>
      <c r="N78" s="1" t="s">
        <v>35</v>
      </c>
      <c r="O78" s="1" t="s">
        <v>5998</v>
      </c>
      <c r="P78" s="1">
        <v>2022</v>
      </c>
      <c r="Q78" s="1">
        <v>94076</v>
      </c>
      <c r="R78" s="1" t="s">
        <v>8884</v>
      </c>
      <c r="S78" s="1" t="s">
        <v>6667</v>
      </c>
      <c r="T78" s="1" t="s">
        <v>5557</v>
      </c>
      <c r="U78" s="1" t="s">
        <v>6166</v>
      </c>
      <c r="V78" s="1" t="s">
        <v>5559</v>
      </c>
      <c r="W78" s="1">
        <v>7990000</v>
      </c>
      <c r="X78" s="1" t="s">
        <v>5560</v>
      </c>
      <c r="Y78" s="1">
        <v>3</v>
      </c>
      <c r="Z78" s="1" t="s">
        <v>17</v>
      </c>
      <c r="AA78" s="1" t="s">
        <v>5585</v>
      </c>
      <c r="AB78" t="s">
        <v>6110</v>
      </c>
      <c r="AC78" s="1" t="s">
        <v>8885</v>
      </c>
      <c r="AD78" s="1" t="s">
        <v>8883</v>
      </c>
      <c r="AE78" s="1" t="s">
        <v>8886</v>
      </c>
      <c r="AF78" s="21" t="s">
        <v>8840</v>
      </c>
      <c r="AG78" s="1">
        <v>1</v>
      </c>
      <c r="AH78" s="21" t="s">
        <v>8840</v>
      </c>
      <c r="AI78" s="21" t="s">
        <v>8887</v>
      </c>
      <c r="AJ78" t="s">
        <v>6311</v>
      </c>
      <c r="AK78" s="1">
        <v>1</v>
      </c>
      <c r="AL78" s="1">
        <v>0</v>
      </c>
      <c r="AM78" t="s">
        <v>4360</v>
      </c>
      <c r="AN78" s="1">
        <v>0</v>
      </c>
      <c r="AO78" s="1">
        <v>6450000</v>
      </c>
      <c r="AP78" s="1">
        <v>0</v>
      </c>
      <c r="AQ78" s="1">
        <v>0</v>
      </c>
      <c r="AR78" s="1">
        <v>6450000</v>
      </c>
      <c r="AS78" s="1">
        <v>7990000</v>
      </c>
      <c r="AT78" s="1">
        <v>1540000</v>
      </c>
      <c r="AU78" s="1">
        <v>1927</v>
      </c>
    </row>
    <row r="79" spans="1:47" ht="13.5" customHeight="1" x14ac:dyDescent="0.3">
      <c r="A79" s="1" t="s">
        <v>5554</v>
      </c>
      <c r="B79" s="1" t="s">
        <v>5610</v>
      </c>
      <c r="C79" s="1">
        <v>0</v>
      </c>
      <c r="D79" s="1">
        <v>0</v>
      </c>
      <c r="E79" t="s">
        <v>4360</v>
      </c>
      <c r="F79" t="s">
        <v>4360</v>
      </c>
      <c r="G79" t="s">
        <v>4360</v>
      </c>
      <c r="H79" t="s">
        <v>4360</v>
      </c>
      <c r="I79" s="21" t="s">
        <v>6366</v>
      </c>
      <c r="J79" t="s">
        <v>4360</v>
      </c>
      <c r="K79" s="1" t="s">
        <v>5688</v>
      </c>
      <c r="L79" s="1" t="s">
        <v>260</v>
      </c>
      <c r="M79" s="1" t="s">
        <v>69</v>
      </c>
      <c r="N79" s="1" t="s">
        <v>261</v>
      </c>
      <c r="O79" s="1" t="s">
        <v>5689</v>
      </c>
      <c r="P79" s="1">
        <v>2025</v>
      </c>
      <c r="Q79" s="1">
        <v>1905</v>
      </c>
      <c r="R79" s="1" t="s">
        <v>5690</v>
      </c>
      <c r="S79" s="1" t="s">
        <v>262</v>
      </c>
      <c r="T79" s="1" t="s">
        <v>5557</v>
      </c>
      <c r="U79" s="1" t="s">
        <v>5606</v>
      </c>
      <c r="V79" s="1" t="s">
        <v>5559</v>
      </c>
      <c r="W79" s="1">
        <v>11290000</v>
      </c>
      <c r="X79" s="1" t="s">
        <v>5560</v>
      </c>
      <c r="Y79" s="1">
        <v>455</v>
      </c>
      <c r="Z79" s="1" t="s">
        <v>43</v>
      </c>
      <c r="AA79" s="1" t="s">
        <v>5611</v>
      </c>
      <c r="AB79" s="1" t="s">
        <v>5691</v>
      </c>
      <c r="AC79" s="1" t="s">
        <v>5692</v>
      </c>
      <c r="AD79" s="1" t="s">
        <v>5688</v>
      </c>
      <c r="AE79" s="1" t="s">
        <v>5693</v>
      </c>
      <c r="AF79" s="21" t="s">
        <v>6367</v>
      </c>
      <c r="AG79" s="1">
        <v>1</v>
      </c>
      <c r="AH79" s="21" t="s">
        <v>6367</v>
      </c>
      <c r="AI79" s="21" t="s">
        <v>6368</v>
      </c>
      <c r="AJ79" s="21" t="s">
        <v>4360</v>
      </c>
      <c r="AK79" s="1">
        <v>1</v>
      </c>
      <c r="AL79" s="1">
        <v>0</v>
      </c>
      <c r="AM79" t="s">
        <v>4360</v>
      </c>
      <c r="AN79" s="1">
        <v>0</v>
      </c>
      <c r="AO79" s="1">
        <v>10300000</v>
      </c>
      <c r="AP79" s="1">
        <v>280530</v>
      </c>
      <c r="AQ79" s="1">
        <v>0</v>
      </c>
      <c r="AR79" s="1">
        <v>10580530</v>
      </c>
      <c r="AS79" s="1">
        <v>11290000</v>
      </c>
      <c r="AT79" s="1">
        <v>709470</v>
      </c>
      <c r="AU79" s="1">
        <v>628</v>
      </c>
    </row>
    <row r="80" spans="1:47" ht="13.5" customHeight="1" x14ac:dyDescent="0.3">
      <c r="A80" s="1" t="s">
        <v>5554</v>
      </c>
      <c r="B80" s="1" t="s">
        <v>5610</v>
      </c>
      <c r="C80" s="1">
        <v>0</v>
      </c>
      <c r="D80" s="1">
        <v>0</v>
      </c>
      <c r="E80" t="s">
        <v>4360</v>
      </c>
      <c r="F80" t="s">
        <v>4360</v>
      </c>
      <c r="G80" t="s">
        <v>4360</v>
      </c>
      <c r="H80" t="s">
        <v>4360</v>
      </c>
      <c r="I80" s="22" t="s">
        <v>6447</v>
      </c>
      <c r="J80" t="s">
        <v>4360</v>
      </c>
      <c r="K80" s="1" t="s">
        <v>5675</v>
      </c>
      <c r="L80" s="1" t="s">
        <v>242</v>
      </c>
      <c r="M80" s="1" t="s">
        <v>251</v>
      </c>
      <c r="N80" s="1" t="s">
        <v>252</v>
      </c>
      <c r="O80" s="1" t="s">
        <v>5676</v>
      </c>
      <c r="P80" s="1">
        <v>2020</v>
      </c>
      <c r="Q80" s="1">
        <v>96000</v>
      </c>
      <c r="R80" s="1" t="s">
        <v>5677</v>
      </c>
      <c r="S80" s="1" t="s">
        <v>253</v>
      </c>
      <c r="T80" s="1" t="s">
        <v>5557</v>
      </c>
      <c r="U80" s="1" t="s">
        <v>5648</v>
      </c>
      <c r="V80" s="1" t="s">
        <v>5559</v>
      </c>
      <c r="W80" s="1">
        <v>10990000</v>
      </c>
      <c r="X80" s="1" t="s">
        <v>5560</v>
      </c>
      <c r="Y80" s="1">
        <v>118</v>
      </c>
      <c r="Z80" s="1" t="s">
        <v>28</v>
      </c>
      <c r="AA80" s="1" t="s">
        <v>5611</v>
      </c>
      <c r="AB80" s="1" t="s">
        <v>5678</v>
      </c>
      <c r="AC80" s="1" t="s">
        <v>5679</v>
      </c>
      <c r="AD80" s="1" t="s">
        <v>5675</v>
      </c>
      <c r="AE80" s="1" t="s">
        <v>5680</v>
      </c>
      <c r="AF80" s="22" t="s">
        <v>6448</v>
      </c>
      <c r="AG80" s="1">
        <v>1</v>
      </c>
      <c r="AH80" s="22" t="s">
        <v>6448</v>
      </c>
      <c r="AI80" s="22" t="s">
        <v>6449</v>
      </c>
      <c r="AJ80" t="s">
        <v>6270</v>
      </c>
      <c r="AK80" s="1">
        <v>4</v>
      </c>
      <c r="AL80" s="1">
        <v>0</v>
      </c>
      <c r="AM80" t="s">
        <v>4360</v>
      </c>
      <c r="AN80" s="1">
        <v>0</v>
      </c>
      <c r="AO80" s="1">
        <v>8500000</v>
      </c>
      <c r="AP80" s="1">
        <v>253530</v>
      </c>
      <c r="AQ80" s="1">
        <v>0</v>
      </c>
      <c r="AR80" s="1">
        <v>8753530</v>
      </c>
      <c r="AS80" s="1">
        <v>10990000</v>
      </c>
      <c r="AT80" s="1">
        <v>2236470</v>
      </c>
      <c r="AU80" s="1">
        <v>2035</v>
      </c>
    </row>
    <row r="81" spans="1:47" ht="13.5" customHeight="1" x14ac:dyDescent="0.3">
      <c r="A81" s="1" t="s">
        <v>5554</v>
      </c>
      <c r="B81" s="1" t="s">
        <v>5555</v>
      </c>
      <c r="C81" s="1">
        <v>0</v>
      </c>
      <c r="D81" s="1">
        <v>0</v>
      </c>
      <c r="E81" t="s">
        <v>4360</v>
      </c>
      <c r="F81" t="s">
        <v>4360</v>
      </c>
      <c r="G81" t="s">
        <v>4360</v>
      </c>
      <c r="H81" t="s">
        <v>4360</v>
      </c>
      <c r="I81" s="21" t="s">
        <v>6662</v>
      </c>
      <c r="J81" t="s">
        <v>4360</v>
      </c>
      <c r="K81" s="1" t="s">
        <v>6209</v>
      </c>
      <c r="L81" s="1" t="s">
        <v>93</v>
      </c>
      <c r="M81" s="1" t="s">
        <v>118</v>
      </c>
      <c r="N81" s="1" t="s">
        <v>123</v>
      </c>
      <c r="O81" s="1" t="s">
        <v>6204</v>
      </c>
      <c r="P81" s="1">
        <v>2020</v>
      </c>
      <c r="Q81" s="1">
        <v>80000</v>
      </c>
      <c r="R81" s="1" t="s">
        <v>6210</v>
      </c>
      <c r="S81" s="1" t="s">
        <v>124</v>
      </c>
      <c r="T81" s="1" t="s">
        <v>5557</v>
      </c>
      <c r="U81" s="1" t="s">
        <v>5783</v>
      </c>
      <c r="V81" s="1" t="s">
        <v>5559</v>
      </c>
      <c r="W81" s="1">
        <v>45990000</v>
      </c>
      <c r="X81" s="1" t="s">
        <v>5560</v>
      </c>
      <c r="Y81" s="1">
        <v>215</v>
      </c>
      <c r="Z81" s="1" t="s">
        <v>28</v>
      </c>
      <c r="AA81" s="1" t="s">
        <v>5561</v>
      </c>
      <c r="AB81" t="s">
        <v>6211</v>
      </c>
      <c r="AC81" s="1" t="s">
        <v>6212</v>
      </c>
      <c r="AD81" s="1" t="s">
        <v>6209</v>
      </c>
      <c r="AE81" s="1" t="s">
        <v>6208</v>
      </c>
      <c r="AF81" s="21" t="s">
        <v>6573</v>
      </c>
      <c r="AG81" s="1">
        <v>1</v>
      </c>
      <c r="AH81" s="21" t="s">
        <v>6663</v>
      </c>
      <c r="AI81" s="21" t="s">
        <v>6663</v>
      </c>
      <c r="AJ81" t="s">
        <v>6664</v>
      </c>
      <c r="AK81" s="1">
        <v>2</v>
      </c>
      <c r="AL81" s="1">
        <v>0</v>
      </c>
      <c r="AM81" t="s">
        <v>4360</v>
      </c>
      <c r="AN81" s="1">
        <v>0</v>
      </c>
      <c r="AO81" s="1">
        <v>37200000</v>
      </c>
      <c r="AP81" s="1">
        <v>684030</v>
      </c>
      <c r="AQ81" s="1">
        <v>0</v>
      </c>
      <c r="AR81" s="1">
        <v>37884030</v>
      </c>
      <c r="AS81" s="1">
        <v>45990000</v>
      </c>
      <c r="AT81" s="1">
        <v>8105970</v>
      </c>
      <c r="AU81" s="1">
        <v>1763</v>
      </c>
    </row>
    <row r="82" spans="1:47" ht="13.5" customHeight="1" x14ac:dyDescent="0.3">
      <c r="A82" s="1" t="s">
        <v>5554</v>
      </c>
      <c r="B82" s="1" t="s">
        <v>5555</v>
      </c>
      <c r="C82" s="1">
        <v>0</v>
      </c>
      <c r="D82" s="1">
        <v>0</v>
      </c>
      <c r="E82" t="s">
        <v>4360</v>
      </c>
      <c r="F82" t="s">
        <v>4360</v>
      </c>
      <c r="G82" t="s">
        <v>4360</v>
      </c>
      <c r="H82" t="s">
        <v>4360</v>
      </c>
      <c r="I82" s="21" t="s">
        <v>6243</v>
      </c>
      <c r="J82" t="s">
        <v>4360</v>
      </c>
      <c r="K82" s="1" t="s">
        <v>6244</v>
      </c>
      <c r="L82" s="1" t="s">
        <v>72</v>
      </c>
      <c r="M82" s="1" t="s">
        <v>4542</v>
      </c>
      <c r="N82" s="1" t="s">
        <v>4543</v>
      </c>
      <c r="O82" s="1" t="s">
        <v>6245</v>
      </c>
      <c r="P82" s="1">
        <v>2025</v>
      </c>
      <c r="Q82" s="1">
        <v>6443</v>
      </c>
      <c r="R82" s="1" t="s">
        <v>6246</v>
      </c>
      <c r="S82" s="1" t="s">
        <v>356</v>
      </c>
      <c r="T82" s="1" t="s">
        <v>5557</v>
      </c>
      <c r="U82" s="1" t="s">
        <v>5606</v>
      </c>
      <c r="V82" s="1" t="s">
        <v>5559</v>
      </c>
      <c r="W82" s="1">
        <v>11290000</v>
      </c>
      <c r="X82" s="1" t="s">
        <v>5560</v>
      </c>
      <c r="Y82" s="1">
        <v>15</v>
      </c>
      <c r="Z82" s="1" t="s">
        <v>43</v>
      </c>
      <c r="AA82" s="1" t="s">
        <v>5561</v>
      </c>
      <c r="AB82" s="1" t="s">
        <v>6036</v>
      </c>
      <c r="AC82" s="1" t="s">
        <v>6247</v>
      </c>
      <c r="AD82" s="1" t="s">
        <v>6244</v>
      </c>
      <c r="AE82" s="1" t="s">
        <v>6248</v>
      </c>
      <c r="AF82" s="21" t="s">
        <v>6249</v>
      </c>
      <c r="AG82" s="1">
        <v>1</v>
      </c>
      <c r="AH82" s="21" t="s">
        <v>6249</v>
      </c>
      <c r="AI82" s="21" t="s">
        <v>6250</v>
      </c>
      <c r="AJ82" t="s">
        <v>4360</v>
      </c>
      <c r="AK82" s="1">
        <v>1</v>
      </c>
      <c r="AL82" s="1">
        <v>0</v>
      </c>
      <c r="AM82" t="s">
        <v>4360</v>
      </c>
      <c r="AN82" s="1">
        <v>0</v>
      </c>
      <c r="AO82" s="1">
        <v>9000000</v>
      </c>
      <c r="AP82" s="1">
        <v>0</v>
      </c>
      <c r="AQ82" s="1">
        <v>0</v>
      </c>
      <c r="AR82" s="1">
        <v>9000000</v>
      </c>
      <c r="AS82" s="1">
        <v>11290000</v>
      </c>
      <c r="AT82" s="1">
        <v>2290000</v>
      </c>
      <c r="AU82" s="1">
        <v>2028</v>
      </c>
    </row>
    <row r="83" spans="1:47" ht="13.5" customHeight="1" x14ac:dyDescent="0.3">
      <c r="A83" s="1" t="s">
        <v>5554</v>
      </c>
      <c r="B83" s="1" t="s">
        <v>5580</v>
      </c>
      <c r="C83" s="1">
        <v>0</v>
      </c>
      <c r="D83" s="1">
        <v>0</v>
      </c>
      <c r="E83" t="s">
        <v>4360</v>
      </c>
      <c r="F83" t="s">
        <v>4360</v>
      </c>
      <c r="G83" t="s">
        <v>4360</v>
      </c>
      <c r="H83" t="s">
        <v>4360</v>
      </c>
      <c r="I83" s="21" t="s">
        <v>6418</v>
      </c>
      <c r="J83" t="s">
        <v>4360</v>
      </c>
      <c r="K83" s="1" t="s">
        <v>6004</v>
      </c>
      <c r="L83" s="1" t="s">
        <v>93</v>
      </c>
      <c r="M83" s="1" t="s">
        <v>131</v>
      </c>
      <c r="N83" s="1" t="s">
        <v>134</v>
      </c>
      <c r="O83" s="1" t="s">
        <v>6005</v>
      </c>
      <c r="P83" s="1">
        <v>2023</v>
      </c>
      <c r="Q83" s="1">
        <v>114000</v>
      </c>
      <c r="R83" s="1" t="s">
        <v>6006</v>
      </c>
      <c r="S83" s="1" t="s">
        <v>135</v>
      </c>
      <c r="T83" s="1" t="s">
        <v>5557</v>
      </c>
      <c r="U83" s="1" t="s">
        <v>6007</v>
      </c>
      <c r="V83" s="1" t="s">
        <v>5559</v>
      </c>
      <c r="W83" s="1">
        <v>30290000</v>
      </c>
      <c r="X83" s="1" t="s">
        <v>5560</v>
      </c>
      <c r="Y83" s="1">
        <v>99</v>
      </c>
      <c r="Z83" s="1" t="s">
        <v>28</v>
      </c>
      <c r="AA83" s="1" t="s">
        <v>5585</v>
      </c>
      <c r="AB83" s="1" t="s">
        <v>4360</v>
      </c>
      <c r="AC83" s="1" t="s">
        <v>6008</v>
      </c>
      <c r="AD83" s="1" t="s">
        <v>6004</v>
      </c>
      <c r="AE83" s="1" t="s">
        <v>6009</v>
      </c>
      <c r="AF83" s="21" t="s">
        <v>6419</v>
      </c>
      <c r="AG83" s="1">
        <v>24</v>
      </c>
      <c r="AH83" s="21" t="s">
        <v>6420</v>
      </c>
      <c r="AI83" s="21" t="s">
        <v>6421</v>
      </c>
      <c r="AJ83" t="s">
        <v>4360</v>
      </c>
      <c r="AK83" s="1">
        <v>0</v>
      </c>
      <c r="AL83" s="1">
        <v>0</v>
      </c>
      <c r="AM83" t="s">
        <v>4360</v>
      </c>
      <c r="AN83" s="1">
        <v>0</v>
      </c>
      <c r="AO83" s="1">
        <v>26500000</v>
      </c>
      <c r="AP83" s="1">
        <v>523530</v>
      </c>
      <c r="AQ83" s="1">
        <v>0</v>
      </c>
      <c r="AR83" s="1">
        <v>27023530</v>
      </c>
      <c r="AS83" s="1">
        <v>30290000</v>
      </c>
      <c r="AT83" s="1">
        <v>3266470</v>
      </c>
      <c r="AU83" s="1">
        <v>1078</v>
      </c>
    </row>
    <row r="84" spans="1:47" ht="13.5" customHeight="1" x14ac:dyDescent="0.3">
      <c r="A84" s="1" t="s">
        <v>5554</v>
      </c>
      <c r="B84" s="1" t="s">
        <v>5610</v>
      </c>
      <c r="C84" s="1">
        <v>0</v>
      </c>
      <c r="D84" s="1">
        <v>0</v>
      </c>
      <c r="E84" t="s">
        <v>4360</v>
      </c>
      <c r="F84" t="s">
        <v>4360</v>
      </c>
      <c r="G84" t="s">
        <v>4360</v>
      </c>
      <c r="H84" t="s">
        <v>4360</v>
      </c>
      <c r="I84" s="22" t="s">
        <v>6452</v>
      </c>
      <c r="J84" t="s">
        <v>4360</v>
      </c>
      <c r="K84" s="1" t="s">
        <v>5694</v>
      </c>
      <c r="L84" s="1" t="s">
        <v>64</v>
      </c>
      <c r="M84" s="1" t="s">
        <v>65</v>
      </c>
      <c r="N84" s="1" t="s">
        <v>66</v>
      </c>
      <c r="O84" s="1" t="s">
        <v>5695</v>
      </c>
      <c r="P84" s="1">
        <v>2019</v>
      </c>
      <c r="Q84" s="1">
        <v>72580</v>
      </c>
      <c r="R84" s="1" t="s">
        <v>5696</v>
      </c>
      <c r="S84" s="1" t="s">
        <v>68</v>
      </c>
      <c r="T84" s="1" t="s">
        <v>5557</v>
      </c>
      <c r="U84" s="1" t="s">
        <v>5697</v>
      </c>
      <c r="V84" s="1" t="s">
        <v>5559</v>
      </c>
      <c r="W84" s="1">
        <v>9290000</v>
      </c>
      <c r="X84" s="1" t="s">
        <v>5560</v>
      </c>
      <c r="Y84" s="1">
        <v>29</v>
      </c>
      <c r="Z84" s="1" t="s">
        <v>43</v>
      </c>
      <c r="AA84" s="1" t="s">
        <v>5611</v>
      </c>
      <c r="AB84" s="1" t="s">
        <v>5698</v>
      </c>
      <c r="AC84" s="1" t="s">
        <v>5699</v>
      </c>
      <c r="AD84" s="1" t="s">
        <v>5700</v>
      </c>
      <c r="AE84" s="1" t="s">
        <v>5701</v>
      </c>
      <c r="AF84" s="22" t="s">
        <v>6453</v>
      </c>
      <c r="AG84" s="1">
        <v>1</v>
      </c>
      <c r="AH84" s="22" t="s">
        <v>6453</v>
      </c>
      <c r="AI84" s="22" t="s">
        <v>6454</v>
      </c>
      <c r="AJ84" s="21" t="s">
        <v>4360</v>
      </c>
      <c r="AK84" s="1">
        <v>4</v>
      </c>
      <c r="AL84" s="1">
        <v>0</v>
      </c>
      <c r="AM84" t="s">
        <v>4360</v>
      </c>
      <c r="AN84" s="1">
        <v>0</v>
      </c>
      <c r="AO84" s="1">
        <v>8300000</v>
      </c>
      <c r="AP84" s="1">
        <v>253740</v>
      </c>
      <c r="AQ84" s="1">
        <v>0</v>
      </c>
      <c r="AR84" s="1">
        <v>8553740</v>
      </c>
      <c r="AS84" s="1">
        <v>9290000</v>
      </c>
      <c r="AT84" s="1">
        <v>736260</v>
      </c>
      <c r="AU84" s="1">
        <v>793</v>
      </c>
    </row>
    <row r="85" spans="1:47" ht="13.5" customHeight="1" x14ac:dyDescent="0.3">
      <c r="A85" s="1" t="s">
        <v>5554</v>
      </c>
      <c r="B85" s="1" t="s">
        <v>5589</v>
      </c>
      <c r="C85" s="1">
        <v>0</v>
      </c>
      <c r="D85" s="1">
        <v>0</v>
      </c>
      <c r="E85" t="s">
        <v>4360</v>
      </c>
      <c r="F85" t="s">
        <v>4360</v>
      </c>
      <c r="G85" t="s">
        <v>4360</v>
      </c>
      <c r="H85" t="s">
        <v>4360</v>
      </c>
      <c r="I85" s="21" t="s">
        <v>6235</v>
      </c>
      <c r="J85" t="s">
        <v>4360</v>
      </c>
      <c r="K85" s="1" t="s">
        <v>5769</v>
      </c>
      <c r="L85" s="1" t="s">
        <v>264</v>
      </c>
      <c r="M85" s="1" t="s">
        <v>293</v>
      </c>
      <c r="N85" s="1" t="s">
        <v>296</v>
      </c>
      <c r="O85" s="1" t="s">
        <v>5770</v>
      </c>
      <c r="P85" s="1">
        <v>2024</v>
      </c>
      <c r="Q85" s="1">
        <v>29570</v>
      </c>
      <c r="R85" s="1" t="s">
        <v>5771</v>
      </c>
      <c r="S85" s="1" t="s">
        <v>297</v>
      </c>
      <c r="T85" s="1" t="s">
        <v>5557</v>
      </c>
      <c r="U85" s="1" t="s">
        <v>5623</v>
      </c>
      <c r="V85" s="1" t="s">
        <v>5559</v>
      </c>
      <c r="W85" s="1">
        <v>19990000</v>
      </c>
      <c r="X85" s="1" t="s">
        <v>5560</v>
      </c>
      <c r="Y85" s="1">
        <v>57</v>
      </c>
      <c r="Z85" s="1" t="s">
        <v>22</v>
      </c>
      <c r="AA85" s="1" t="s">
        <v>5594</v>
      </c>
      <c r="AB85" t="s">
        <v>5772</v>
      </c>
      <c r="AC85" s="1" t="s">
        <v>5773</v>
      </c>
      <c r="AD85" s="1" t="s">
        <v>5769</v>
      </c>
      <c r="AE85" s="1" t="s">
        <v>5774</v>
      </c>
      <c r="AF85" s="21" t="s">
        <v>6236</v>
      </c>
      <c r="AG85" s="1">
        <v>1</v>
      </c>
      <c r="AH85" s="21" t="s">
        <v>6236</v>
      </c>
      <c r="AI85" s="21" t="s">
        <v>6237</v>
      </c>
      <c r="AJ85" t="s">
        <v>4360</v>
      </c>
      <c r="AK85" s="1">
        <v>1</v>
      </c>
      <c r="AL85" s="1">
        <v>0</v>
      </c>
      <c r="AM85" t="s">
        <v>4360</v>
      </c>
      <c r="AN85" s="1">
        <v>0</v>
      </c>
      <c r="AO85" s="1">
        <v>16000000</v>
      </c>
      <c r="AP85" s="1">
        <v>369240</v>
      </c>
      <c r="AQ85" s="1">
        <v>0</v>
      </c>
      <c r="AR85" s="1">
        <v>16369240</v>
      </c>
      <c r="AS85" s="1">
        <v>19990000</v>
      </c>
      <c r="AT85" s="1">
        <v>3620760</v>
      </c>
      <c r="AU85" s="1">
        <v>1811</v>
      </c>
    </row>
    <row r="86" spans="1:47" ht="13.5" customHeight="1" x14ac:dyDescent="0.3">
      <c r="A86" s="1" t="s">
        <v>5554</v>
      </c>
      <c r="B86" s="1" t="s">
        <v>5555</v>
      </c>
      <c r="C86" s="1">
        <v>0</v>
      </c>
      <c r="D86" s="1">
        <v>0</v>
      </c>
      <c r="E86" t="s">
        <v>4360</v>
      </c>
      <c r="F86" t="s">
        <v>4360</v>
      </c>
      <c r="G86" t="s">
        <v>4360</v>
      </c>
      <c r="H86" t="s">
        <v>4360</v>
      </c>
      <c r="I86" s="22" t="s">
        <v>6379</v>
      </c>
      <c r="J86" t="s">
        <v>4360</v>
      </c>
      <c r="K86" s="1" t="s">
        <v>6380</v>
      </c>
      <c r="L86" s="1" t="s">
        <v>201</v>
      </c>
      <c r="M86" s="1" t="s">
        <v>4903</v>
      </c>
      <c r="N86" s="1" t="s">
        <v>4911</v>
      </c>
      <c r="O86" s="1" t="s">
        <v>6381</v>
      </c>
      <c r="P86" s="1">
        <v>2023</v>
      </c>
      <c r="Q86" s="1">
        <v>39280</v>
      </c>
      <c r="R86" s="1" t="s">
        <v>6382</v>
      </c>
      <c r="S86" s="1" t="s">
        <v>4298</v>
      </c>
      <c r="T86" s="1" t="s">
        <v>5557</v>
      </c>
      <c r="U86" s="1" t="s">
        <v>5630</v>
      </c>
      <c r="V86" s="1" t="s">
        <v>5559</v>
      </c>
      <c r="W86" s="1">
        <v>12290000</v>
      </c>
      <c r="X86" s="1" t="s">
        <v>5560</v>
      </c>
      <c r="Y86" s="1">
        <v>8</v>
      </c>
      <c r="Z86" s="1" t="s">
        <v>17</v>
      </c>
      <c r="AA86" s="1" t="s">
        <v>5561</v>
      </c>
      <c r="AB86" t="s">
        <v>6036</v>
      </c>
      <c r="AC86" s="1" t="s">
        <v>6383</v>
      </c>
      <c r="AD86" s="1" t="s">
        <v>6380</v>
      </c>
      <c r="AE86" s="1" t="s">
        <v>6384</v>
      </c>
      <c r="AF86" s="22" t="s">
        <v>6266</v>
      </c>
      <c r="AG86" s="1">
        <v>1</v>
      </c>
      <c r="AH86" s="22" t="s">
        <v>6266</v>
      </c>
      <c r="AI86" s="22" t="s">
        <v>6385</v>
      </c>
      <c r="AJ86" t="s">
        <v>4360</v>
      </c>
      <c r="AK86" s="1">
        <v>1</v>
      </c>
      <c r="AL86" s="1">
        <v>0</v>
      </c>
      <c r="AM86" t="s">
        <v>4360</v>
      </c>
      <c r="AN86" s="1">
        <v>0</v>
      </c>
      <c r="AO86" s="1">
        <v>9400000</v>
      </c>
      <c r="AP86" s="1">
        <v>0</v>
      </c>
      <c r="AQ86" s="1">
        <v>0</v>
      </c>
      <c r="AR86" s="1">
        <v>9400000</v>
      </c>
      <c r="AS86" s="1">
        <v>12290000</v>
      </c>
      <c r="AT86" s="1">
        <v>2890000</v>
      </c>
      <c r="AU86" s="1">
        <v>2352</v>
      </c>
    </row>
    <row r="87" spans="1:47" ht="13.5" customHeight="1" x14ac:dyDescent="0.3">
      <c r="A87" s="1" t="s">
        <v>5554</v>
      </c>
      <c r="B87" s="1" t="s">
        <v>5589</v>
      </c>
      <c r="C87" s="1">
        <v>0</v>
      </c>
      <c r="D87" s="1">
        <v>0</v>
      </c>
      <c r="E87" t="s">
        <v>4360</v>
      </c>
      <c r="F87" t="s">
        <v>4360</v>
      </c>
      <c r="G87" t="s">
        <v>4360</v>
      </c>
      <c r="H87" t="s">
        <v>4360</v>
      </c>
      <c r="I87" s="22" t="s">
        <v>6502</v>
      </c>
      <c r="J87" t="s">
        <v>4360</v>
      </c>
      <c r="K87" s="1" t="s">
        <v>6503</v>
      </c>
      <c r="L87" s="1" t="s">
        <v>264</v>
      </c>
      <c r="M87" s="1" t="s">
        <v>293</v>
      </c>
      <c r="N87" s="1" t="s">
        <v>296</v>
      </c>
      <c r="O87" s="1" t="s">
        <v>5770</v>
      </c>
      <c r="P87" s="1">
        <v>2024</v>
      </c>
      <c r="Q87" s="1">
        <v>11557</v>
      </c>
      <c r="R87" s="1" t="s">
        <v>6504</v>
      </c>
      <c r="S87" s="1" t="s">
        <v>355</v>
      </c>
      <c r="T87" s="1" t="s">
        <v>5557</v>
      </c>
      <c r="U87" s="1" t="s">
        <v>5623</v>
      </c>
      <c r="V87" s="1" t="s">
        <v>5559</v>
      </c>
      <c r="W87" s="1">
        <v>19990000</v>
      </c>
      <c r="X87" s="1" t="s">
        <v>5560</v>
      </c>
      <c r="Y87" s="1">
        <v>15</v>
      </c>
      <c r="Z87" s="1" t="s">
        <v>22</v>
      </c>
      <c r="AA87" s="1" t="s">
        <v>5594</v>
      </c>
      <c r="AB87" s="1" t="s">
        <v>5595</v>
      </c>
      <c r="AC87" s="1" t="s">
        <v>6505</v>
      </c>
      <c r="AD87" s="1" t="s">
        <v>6503</v>
      </c>
      <c r="AE87" s="1" t="s">
        <v>6506</v>
      </c>
      <c r="AF87" s="22" t="s">
        <v>6249</v>
      </c>
      <c r="AG87" s="1">
        <v>1</v>
      </c>
      <c r="AH87" s="22" t="s">
        <v>6249</v>
      </c>
      <c r="AI87" s="22" t="s">
        <v>6507</v>
      </c>
      <c r="AJ87" s="21" t="s">
        <v>4360</v>
      </c>
      <c r="AK87" s="1">
        <v>1</v>
      </c>
      <c r="AL87" s="1">
        <v>0</v>
      </c>
      <c r="AM87" t="s">
        <v>4360</v>
      </c>
      <c r="AN87" s="1">
        <v>0</v>
      </c>
      <c r="AO87" s="1">
        <v>16000000</v>
      </c>
      <c r="AP87" s="1">
        <v>0</v>
      </c>
      <c r="AQ87" s="1">
        <v>0</v>
      </c>
      <c r="AR87" s="1">
        <v>16000000</v>
      </c>
      <c r="AS87" s="1">
        <v>19990000</v>
      </c>
      <c r="AT87" s="1">
        <v>3990000</v>
      </c>
      <c r="AU87" s="1">
        <v>1996</v>
      </c>
    </row>
    <row r="88" spans="1:47" ht="13.5" customHeight="1" x14ac:dyDescent="0.3">
      <c r="A88" s="1" t="s">
        <v>5554</v>
      </c>
      <c r="B88" s="1" t="s">
        <v>5589</v>
      </c>
      <c r="C88" s="1">
        <v>0</v>
      </c>
      <c r="D88" s="1">
        <v>0</v>
      </c>
      <c r="E88" t="s">
        <v>4360</v>
      </c>
      <c r="F88" t="s">
        <v>4360</v>
      </c>
      <c r="G88" t="s">
        <v>4360</v>
      </c>
      <c r="H88" t="s">
        <v>4360</v>
      </c>
      <c r="I88" s="21" t="s">
        <v>6567</v>
      </c>
      <c r="J88" t="s">
        <v>4360</v>
      </c>
      <c r="K88" s="1" t="s">
        <v>5712</v>
      </c>
      <c r="L88" s="1" t="s">
        <v>48</v>
      </c>
      <c r="M88" s="1" t="s">
        <v>61</v>
      </c>
      <c r="N88" s="1" t="s">
        <v>62</v>
      </c>
      <c r="O88" s="1" t="s">
        <v>5713</v>
      </c>
      <c r="P88" s="1">
        <v>2022</v>
      </c>
      <c r="Q88" s="1">
        <v>33420</v>
      </c>
      <c r="R88" s="1" t="s">
        <v>5714</v>
      </c>
      <c r="S88" s="1" t="s">
        <v>63</v>
      </c>
      <c r="T88" s="1" t="s">
        <v>5557</v>
      </c>
      <c r="U88" s="1" t="s">
        <v>5566</v>
      </c>
      <c r="V88" s="1" t="s">
        <v>5559</v>
      </c>
      <c r="W88" s="1">
        <v>11690000</v>
      </c>
      <c r="X88" s="1" t="s">
        <v>5560</v>
      </c>
      <c r="Y88" s="1">
        <v>362</v>
      </c>
      <c r="Z88" s="1" t="s">
        <v>28</v>
      </c>
      <c r="AA88" s="1" t="s">
        <v>5594</v>
      </c>
      <c r="AB88" s="1" t="s">
        <v>4360</v>
      </c>
      <c r="AC88" s="1" t="s">
        <v>5715</v>
      </c>
      <c r="AD88" s="1" t="s">
        <v>5712</v>
      </c>
      <c r="AE88" s="1" t="s">
        <v>5716</v>
      </c>
      <c r="AF88" s="21" t="s">
        <v>6568</v>
      </c>
      <c r="AG88" s="1">
        <v>1</v>
      </c>
      <c r="AH88" s="21" t="s">
        <v>6569</v>
      </c>
      <c r="AI88" s="21" t="s">
        <v>6569</v>
      </c>
      <c r="AJ88" s="21" t="s">
        <v>4360</v>
      </c>
      <c r="AK88" s="1">
        <v>1</v>
      </c>
      <c r="AL88" s="1">
        <v>0</v>
      </c>
      <c r="AM88" t="s">
        <v>4360</v>
      </c>
      <c r="AN88" s="1">
        <v>0</v>
      </c>
      <c r="AO88" s="1">
        <v>9300000</v>
      </c>
      <c r="AP88" s="1">
        <v>436959</v>
      </c>
      <c r="AQ88" s="1">
        <v>0</v>
      </c>
      <c r="AR88" s="1">
        <v>9736959</v>
      </c>
      <c r="AS88" s="1">
        <v>11690000</v>
      </c>
      <c r="AT88" s="1">
        <v>1953041</v>
      </c>
      <c r="AU88" s="1">
        <v>1671</v>
      </c>
    </row>
    <row r="89" spans="1:47" ht="13.5" customHeight="1" x14ac:dyDescent="0.3">
      <c r="A89" s="1" t="s">
        <v>5554</v>
      </c>
      <c r="B89" s="1" t="s">
        <v>5589</v>
      </c>
      <c r="C89" s="1">
        <v>0</v>
      </c>
      <c r="D89" s="1">
        <v>0</v>
      </c>
      <c r="E89" t="s">
        <v>4360</v>
      </c>
      <c r="F89" t="s">
        <v>4360</v>
      </c>
      <c r="G89" t="s">
        <v>4360</v>
      </c>
      <c r="H89" t="s">
        <v>4360</v>
      </c>
      <c r="I89" s="21" t="s">
        <v>6550</v>
      </c>
      <c r="J89" t="s">
        <v>4360</v>
      </c>
      <c r="K89" s="1" t="s">
        <v>6217</v>
      </c>
      <c r="L89" s="1" t="s">
        <v>226</v>
      </c>
      <c r="M89" s="1" t="s">
        <v>226</v>
      </c>
      <c r="N89" s="1" t="s">
        <v>227</v>
      </c>
      <c r="O89" s="1" t="s">
        <v>6218</v>
      </c>
      <c r="P89" s="1">
        <v>2022</v>
      </c>
      <c r="Q89" s="1">
        <v>0</v>
      </c>
      <c r="R89" s="1" t="s">
        <v>6219</v>
      </c>
      <c r="S89" s="1" t="s">
        <v>228</v>
      </c>
      <c r="T89" s="1" t="s">
        <v>5557</v>
      </c>
      <c r="U89" s="1" t="s">
        <v>5606</v>
      </c>
      <c r="V89" s="1" t="s">
        <v>5559</v>
      </c>
      <c r="W89" s="1">
        <v>6390000</v>
      </c>
      <c r="X89" s="1" t="s">
        <v>5560</v>
      </c>
      <c r="Y89" s="1">
        <v>154</v>
      </c>
      <c r="Z89" s="1" t="s">
        <v>43</v>
      </c>
      <c r="AA89" s="1" t="s">
        <v>5594</v>
      </c>
      <c r="AB89" s="1" t="s">
        <v>6220</v>
      </c>
      <c r="AC89" s="1" t="s">
        <v>6221</v>
      </c>
      <c r="AD89" s="1" t="s">
        <v>6217</v>
      </c>
      <c r="AE89" s="1" t="s">
        <v>6222</v>
      </c>
      <c r="AF89" s="21" t="s">
        <v>6551</v>
      </c>
      <c r="AG89" s="1">
        <v>1</v>
      </c>
      <c r="AH89" s="21" t="s">
        <v>6551</v>
      </c>
      <c r="AI89" s="21" t="s">
        <v>6552</v>
      </c>
      <c r="AJ89" s="21" t="s">
        <v>4360</v>
      </c>
      <c r="AK89" s="1">
        <v>0</v>
      </c>
      <c r="AL89" s="1">
        <v>0</v>
      </c>
      <c r="AM89" t="s">
        <v>4360</v>
      </c>
      <c r="AN89" s="1">
        <v>0</v>
      </c>
      <c r="AO89" s="1">
        <v>8137896</v>
      </c>
      <c r="AP89" s="1">
        <v>248098</v>
      </c>
      <c r="AQ89" s="1">
        <v>0</v>
      </c>
      <c r="AR89" s="1">
        <v>8385994</v>
      </c>
      <c r="AS89" s="1">
        <v>6390000</v>
      </c>
      <c r="AT89" s="1">
        <v>-1995994</v>
      </c>
      <c r="AU89" s="1">
        <v>-3124</v>
      </c>
    </row>
    <row r="90" spans="1:47" ht="13.5" customHeight="1" x14ac:dyDescent="0.3">
      <c r="A90" s="1" t="s">
        <v>5554</v>
      </c>
      <c r="B90" s="1" t="s">
        <v>5555</v>
      </c>
      <c r="C90" s="1">
        <v>0</v>
      </c>
      <c r="D90" s="1">
        <v>0</v>
      </c>
      <c r="E90" t="s">
        <v>4360</v>
      </c>
      <c r="F90" t="s">
        <v>4360</v>
      </c>
      <c r="G90" t="s">
        <v>4360</v>
      </c>
      <c r="H90" t="s">
        <v>4360</v>
      </c>
      <c r="I90" s="21" t="s">
        <v>6450</v>
      </c>
      <c r="J90" t="s">
        <v>4360</v>
      </c>
      <c r="K90" s="1" t="s">
        <v>5681</v>
      </c>
      <c r="L90" s="1" t="s">
        <v>93</v>
      </c>
      <c r="M90" s="1" t="s">
        <v>94</v>
      </c>
      <c r="N90" s="1" t="s">
        <v>95</v>
      </c>
      <c r="O90" s="1" t="s">
        <v>5682</v>
      </c>
      <c r="P90" s="1">
        <v>2025</v>
      </c>
      <c r="Q90" s="1">
        <v>13400</v>
      </c>
      <c r="R90" s="1" t="s">
        <v>5683</v>
      </c>
      <c r="S90" s="1" t="s">
        <v>96</v>
      </c>
      <c r="T90" s="1" t="s">
        <v>5557</v>
      </c>
      <c r="U90" s="1" t="s">
        <v>5684</v>
      </c>
      <c r="V90" s="1" t="s">
        <v>5559</v>
      </c>
      <c r="W90" s="1">
        <v>28290000</v>
      </c>
      <c r="X90" s="1" t="s">
        <v>5560</v>
      </c>
      <c r="Y90" s="1">
        <v>118</v>
      </c>
      <c r="Z90" s="1" t="s">
        <v>28</v>
      </c>
      <c r="AA90" s="1" t="s">
        <v>5561</v>
      </c>
      <c r="AB90" s="1" t="s">
        <v>5685</v>
      </c>
      <c r="AC90" s="1" t="s">
        <v>5686</v>
      </c>
      <c r="AD90" s="1" t="s">
        <v>5681</v>
      </c>
      <c r="AE90" s="1" t="s">
        <v>5687</v>
      </c>
      <c r="AF90" s="21" t="s">
        <v>6448</v>
      </c>
      <c r="AG90" s="1">
        <v>1</v>
      </c>
      <c r="AH90" s="21" t="s">
        <v>6448</v>
      </c>
      <c r="AI90" s="21" t="s">
        <v>6451</v>
      </c>
      <c r="AJ90" s="21" t="s">
        <v>4360</v>
      </c>
      <c r="AK90" s="1">
        <v>1</v>
      </c>
      <c r="AL90" s="1">
        <v>0</v>
      </c>
      <c r="AM90" t="s">
        <v>4360</v>
      </c>
      <c r="AN90" s="1">
        <v>0</v>
      </c>
      <c r="AO90" s="1">
        <v>23500000</v>
      </c>
      <c r="AP90" s="1">
        <v>949179</v>
      </c>
      <c r="AQ90" s="1">
        <v>0</v>
      </c>
      <c r="AR90" s="1">
        <v>24449179</v>
      </c>
      <c r="AS90" s="1">
        <v>28290000</v>
      </c>
      <c r="AT90" s="1">
        <v>3840821</v>
      </c>
      <c r="AU90" s="1">
        <v>1358</v>
      </c>
    </row>
    <row r="91" spans="1:47" ht="13.5" customHeight="1" x14ac:dyDescent="0.3">
      <c r="A91" s="1" t="s">
        <v>5554</v>
      </c>
      <c r="B91" s="1" t="s">
        <v>5580</v>
      </c>
      <c r="C91" s="1">
        <v>0</v>
      </c>
      <c r="D91" s="1">
        <v>0</v>
      </c>
      <c r="E91" t="s">
        <v>4360</v>
      </c>
      <c r="F91" t="s">
        <v>4360</v>
      </c>
      <c r="G91" t="s">
        <v>4360</v>
      </c>
      <c r="H91" t="s">
        <v>4360</v>
      </c>
      <c r="I91" s="21" t="s">
        <v>6584</v>
      </c>
      <c r="J91" t="s">
        <v>4360</v>
      </c>
      <c r="K91" s="1" t="s">
        <v>5968</v>
      </c>
      <c r="L91" s="1" t="s">
        <v>167</v>
      </c>
      <c r="M91" s="1" t="s">
        <v>167</v>
      </c>
      <c r="N91" s="1" t="s">
        <v>170</v>
      </c>
      <c r="O91" s="1" t="s">
        <v>5969</v>
      </c>
      <c r="P91" s="1">
        <v>2023</v>
      </c>
      <c r="Q91" s="1">
        <v>59200</v>
      </c>
      <c r="R91" s="1" t="s">
        <v>5970</v>
      </c>
      <c r="S91" s="1" t="s">
        <v>171</v>
      </c>
      <c r="T91" s="1" t="s">
        <v>5557</v>
      </c>
      <c r="U91" s="1" t="s">
        <v>5971</v>
      </c>
      <c r="V91" s="1" t="s">
        <v>5559</v>
      </c>
      <c r="W91" s="1">
        <v>9190000</v>
      </c>
      <c r="X91" s="1" t="s">
        <v>5560</v>
      </c>
      <c r="Y91" s="1">
        <v>45</v>
      </c>
      <c r="Z91" s="1" t="s">
        <v>22</v>
      </c>
      <c r="AA91" s="1" t="s">
        <v>5585</v>
      </c>
      <c r="AB91" s="1" t="s">
        <v>5972</v>
      </c>
      <c r="AC91" s="1" t="s">
        <v>5973</v>
      </c>
      <c r="AD91" s="1" t="s">
        <v>5968</v>
      </c>
      <c r="AE91" s="1" t="s">
        <v>5974</v>
      </c>
      <c r="AF91" s="21" t="s">
        <v>6293</v>
      </c>
      <c r="AG91" s="1">
        <v>1</v>
      </c>
      <c r="AH91" s="21" t="s">
        <v>6293</v>
      </c>
      <c r="AI91" s="21" t="s">
        <v>6585</v>
      </c>
      <c r="AJ91" t="s">
        <v>6357</v>
      </c>
      <c r="AK91" s="1">
        <v>1</v>
      </c>
      <c r="AL91" s="1">
        <v>0</v>
      </c>
      <c r="AM91" t="s">
        <v>4360</v>
      </c>
      <c r="AN91" s="1">
        <v>0</v>
      </c>
      <c r="AO91" s="1">
        <v>7000000</v>
      </c>
      <c r="AP91" s="1">
        <v>234240</v>
      </c>
      <c r="AQ91" s="1">
        <v>0</v>
      </c>
      <c r="AR91" s="1">
        <v>7234240</v>
      </c>
      <c r="AS91" s="1">
        <v>9190000</v>
      </c>
      <c r="AT91" s="1">
        <v>1955760</v>
      </c>
      <c r="AU91" s="1">
        <v>2128</v>
      </c>
    </row>
    <row r="92" spans="1:47" ht="13.5" customHeight="1" x14ac:dyDescent="0.3">
      <c r="A92" s="1" t="s">
        <v>5554</v>
      </c>
      <c r="B92" s="1" t="s">
        <v>5589</v>
      </c>
      <c r="C92" s="1">
        <v>0</v>
      </c>
      <c r="D92" s="1">
        <v>0</v>
      </c>
      <c r="E92" t="s">
        <v>4360</v>
      </c>
      <c r="F92" t="s">
        <v>4360</v>
      </c>
      <c r="G92" t="s">
        <v>4360</v>
      </c>
      <c r="H92" t="s">
        <v>4360</v>
      </c>
      <c r="I92" s="21" t="s">
        <v>6325</v>
      </c>
      <c r="J92" t="s">
        <v>4360</v>
      </c>
      <c r="K92" s="1" t="s">
        <v>5792</v>
      </c>
      <c r="L92" s="1" t="s">
        <v>30</v>
      </c>
      <c r="M92" s="1" t="s">
        <v>31</v>
      </c>
      <c r="N92" s="1" t="s">
        <v>32</v>
      </c>
      <c r="O92" s="1" t="s">
        <v>5793</v>
      </c>
      <c r="P92" s="1">
        <v>2021</v>
      </c>
      <c r="Q92" s="1">
        <v>59576</v>
      </c>
      <c r="R92" s="1" t="s">
        <v>5794</v>
      </c>
      <c r="S92" s="1" t="s">
        <v>33</v>
      </c>
      <c r="T92" s="1" t="s">
        <v>5557</v>
      </c>
      <c r="U92" s="1" t="s">
        <v>5795</v>
      </c>
      <c r="V92" s="1" t="s">
        <v>5559</v>
      </c>
      <c r="W92" s="1">
        <v>6190000</v>
      </c>
      <c r="X92" s="1" t="s">
        <v>5560</v>
      </c>
      <c r="Y92" s="1">
        <v>27</v>
      </c>
      <c r="Z92" s="1" t="s">
        <v>28</v>
      </c>
      <c r="AA92" s="1" t="s">
        <v>5594</v>
      </c>
      <c r="AB92" s="1" t="s">
        <v>5796</v>
      </c>
      <c r="AC92" s="1" t="s">
        <v>5797</v>
      </c>
      <c r="AD92" s="1" t="s">
        <v>5798</v>
      </c>
      <c r="AE92" s="1" t="s">
        <v>5799</v>
      </c>
      <c r="AF92" s="21" t="s">
        <v>6313</v>
      </c>
      <c r="AG92" s="1">
        <v>1</v>
      </c>
      <c r="AH92" s="21" t="s">
        <v>6313</v>
      </c>
      <c r="AI92" s="21" t="s">
        <v>6326</v>
      </c>
      <c r="AJ92" s="22" t="s">
        <v>4360</v>
      </c>
      <c r="AK92" s="1">
        <v>1</v>
      </c>
      <c r="AL92" s="1">
        <v>0</v>
      </c>
      <c r="AM92" t="s">
        <v>4360</v>
      </c>
      <c r="AN92" s="1">
        <v>0</v>
      </c>
      <c r="AO92" s="1">
        <v>4800000</v>
      </c>
      <c r="AP92" s="1">
        <v>201240</v>
      </c>
      <c r="AQ92" s="1">
        <v>0</v>
      </c>
      <c r="AR92" s="1">
        <v>5001240</v>
      </c>
      <c r="AS92" s="1">
        <v>6190000</v>
      </c>
      <c r="AT92" s="1">
        <v>1188760</v>
      </c>
      <c r="AU92" s="1">
        <v>192</v>
      </c>
    </row>
    <row r="93" spans="1:47" ht="13.5" customHeight="1" x14ac:dyDescent="0.3">
      <c r="A93" s="1" t="s">
        <v>5554</v>
      </c>
      <c r="B93" s="1" t="s">
        <v>5580</v>
      </c>
      <c r="C93" s="1">
        <v>0</v>
      </c>
      <c r="D93" s="1">
        <v>0</v>
      </c>
      <c r="E93" t="s">
        <v>4360</v>
      </c>
      <c r="F93" t="s">
        <v>4360</v>
      </c>
      <c r="G93" t="s">
        <v>4360</v>
      </c>
      <c r="H93" t="s">
        <v>4360</v>
      </c>
      <c r="I93" s="22" t="s">
        <v>6388</v>
      </c>
      <c r="J93" t="s">
        <v>4360</v>
      </c>
      <c r="K93" s="1" t="s">
        <v>5717</v>
      </c>
      <c r="L93" s="1" t="s">
        <v>93</v>
      </c>
      <c r="M93" s="1" t="s">
        <v>118</v>
      </c>
      <c r="N93" s="1" t="s">
        <v>119</v>
      </c>
      <c r="O93" s="1" t="s">
        <v>5718</v>
      </c>
      <c r="P93" s="1">
        <v>2021</v>
      </c>
      <c r="Q93" s="1">
        <v>111255</v>
      </c>
      <c r="R93" s="1" t="s">
        <v>5719</v>
      </c>
      <c r="S93" s="1" t="s">
        <v>120</v>
      </c>
      <c r="T93" s="1" t="s">
        <v>5557</v>
      </c>
      <c r="U93" s="1" t="s">
        <v>5720</v>
      </c>
      <c r="V93" s="1" t="s">
        <v>5559</v>
      </c>
      <c r="W93" s="1">
        <v>27190000</v>
      </c>
      <c r="X93" s="1" t="s">
        <v>5560</v>
      </c>
      <c r="Y93" s="1">
        <v>179</v>
      </c>
      <c r="Z93" s="1" t="s">
        <v>28</v>
      </c>
      <c r="AA93" s="1" t="s">
        <v>5585</v>
      </c>
      <c r="AB93" s="1" t="s">
        <v>5721</v>
      </c>
      <c r="AC93" s="1" t="s">
        <v>5722</v>
      </c>
      <c r="AD93" s="1" t="s">
        <v>5717</v>
      </c>
      <c r="AE93" s="1" t="s">
        <v>5723</v>
      </c>
      <c r="AF93" s="22" t="s">
        <v>6389</v>
      </c>
      <c r="AG93" s="1">
        <v>1</v>
      </c>
      <c r="AH93" s="22" t="s">
        <v>6389</v>
      </c>
      <c r="AI93" s="22" t="s">
        <v>6390</v>
      </c>
      <c r="AJ93" t="s">
        <v>4360</v>
      </c>
      <c r="AK93" s="1">
        <v>2</v>
      </c>
      <c r="AL93" s="1">
        <v>0</v>
      </c>
      <c r="AM93" t="s">
        <v>4360</v>
      </c>
      <c r="AN93" s="1">
        <v>0</v>
      </c>
      <c r="AO93" s="1">
        <v>24000000</v>
      </c>
      <c r="AP93" s="1">
        <v>486030</v>
      </c>
      <c r="AQ93" s="1">
        <v>0</v>
      </c>
      <c r="AR93" s="1">
        <v>24486030</v>
      </c>
      <c r="AS93" s="1">
        <v>27190000</v>
      </c>
      <c r="AT93" s="1">
        <v>2703970</v>
      </c>
      <c r="AU93" s="1">
        <v>994</v>
      </c>
    </row>
    <row r="94" spans="1:47" ht="13.5" customHeight="1" x14ac:dyDescent="0.3">
      <c r="A94" s="1" t="s">
        <v>5554</v>
      </c>
      <c r="B94" s="1" t="s">
        <v>5589</v>
      </c>
      <c r="C94" s="1">
        <v>0</v>
      </c>
      <c r="D94" s="1">
        <v>0</v>
      </c>
      <c r="E94" t="s">
        <v>4360</v>
      </c>
      <c r="F94" t="s">
        <v>4360</v>
      </c>
      <c r="G94" t="s">
        <v>4360</v>
      </c>
      <c r="H94" t="s">
        <v>4360</v>
      </c>
      <c r="I94" s="21" t="s">
        <v>6599</v>
      </c>
      <c r="J94" t="s">
        <v>4360</v>
      </c>
      <c r="K94" s="1" t="s">
        <v>6140</v>
      </c>
      <c r="L94" s="1" t="s">
        <v>264</v>
      </c>
      <c r="M94" s="1" t="s">
        <v>5239</v>
      </c>
      <c r="N94" s="1" t="s">
        <v>286</v>
      </c>
      <c r="O94" s="1" t="s">
        <v>5574</v>
      </c>
      <c r="P94" s="1">
        <v>2021</v>
      </c>
      <c r="Q94" s="1">
        <v>77000</v>
      </c>
      <c r="R94" s="1" t="s">
        <v>6141</v>
      </c>
      <c r="S94" s="1" t="s">
        <v>287</v>
      </c>
      <c r="T94" s="1" t="s">
        <v>5557</v>
      </c>
      <c r="U94" s="1" t="s">
        <v>6127</v>
      </c>
      <c r="V94" s="1" t="s">
        <v>5559</v>
      </c>
      <c r="W94" s="1">
        <v>16490000</v>
      </c>
      <c r="X94" s="1" t="s">
        <v>5560</v>
      </c>
      <c r="Y94" s="1">
        <v>64</v>
      </c>
      <c r="Z94" s="1" t="s">
        <v>28</v>
      </c>
      <c r="AA94" s="1" t="s">
        <v>5594</v>
      </c>
      <c r="AB94" s="1" t="s">
        <v>5562</v>
      </c>
      <c r="AC94" s="1" t="s">
        <v>6142</v>
      </c>
      <c r="AD94" s="1" t="s">
        <v>6140</v>
      </c>
      <c r="AE94" s="1" t="s">
        <v>6143</v>
      </c>
      <c r="AF94" s="21" t="s">
        <v>6600</v>
      </c>
      <c r="AG94" s="1">
        <v>1</v>
      </c>
      <c r="AH94" s="21" t="s">
        <v>6600</v>
      </c>
      <c r="AI94" s="21" t="s">
        <v>6601</v>
      </c>
      <c r="AJ94" t="s">
        <v>4360</v>
      </c>
      <c r="AK94" s="1">
        <v>1</v>
      </c>
      <c r="AL94" s="1">
        <v>0</v>
      </c>
      <c r="AM94" t="s">
        <v>4360</v>
      </c>
      <c r="AN94" s="1">
        <v>0</v>
      </c>
      <c r="AO94" s="1">
        <v>14600000</v>
      </c>
      <c r="AP94" s="1">
        <v>348240</v>
      </c>
      <c r="AQ94" s="1">
        <v>0</v>
      </c>
      <c r="AR94" s="1">
        <v>14948240</v>
      </c>
      <c r="AS94" s="1">
        <v>16490000</v>
      </c>
      <c r="AT94" s="1">
        <v>1541760</v>
      </c>
      <c r="AU94" s="1">
        <v>935</v>
      </c>
    </row>
    <row r="95" spans="1:47" ht="13.5" customHeight="1" x14ac:dyDescent="0.3">
      <c r="A95" s="1" t="s">
        <v>5554</v>
      </c>
      <c r="B95" s="1" t="s">
        <v>5589</v>
      </c>
      <c r="C95" s="1">
        <v>0</v>
      </c>
      <c r="D95" s="1">
        <v>0</v>
      </c>
      <c r="E95" t="s">
        <v>4360</v>
      </c>
      <c r="F95" t="s">
        <v>4360</v>
      </c>
      <c r="G95" t="s">
        <v>4360</v>
      </c>
      <c r="H95" t="s">
        <v>4360</v>
      </c>
      <c r="I95" s="21" t="s">
        <v>6579</v>
      </c>
      <c r="J95" t="s">
        <v>4360</v>
      </c>
      <c r="K95" s="1" t="s">
        <v>6092</v>
      </c>
      <c r="L95" s="1" t="s">
        <v>264</v>
      </c>
      <c r="M95" s="1" t="s">
        <v>293</v>
      </c>
      <c r="N95" s="1" t="s">
        <v>294</v>
      </c>
      <c r="O95" s="1" t="s">
        <v>6093</v>
      </c>
      <c r="P95" s="1">
        <v>2023</v>
      </c>
      <c r="Q95" s="1">
        <v>67000</v>
      </c>
      <c r="R95" s="1" t="s">
        <v>6094</v>
      </c>
      <c r="S95" s="1" t="s">
        <v>295</v>
      </c>
      <c r="T95" s="1" t="s">
        <v>5557</v>
      </c>
      <c r="U95" s="1" t="s">
        <v>5606</v>
      </c>
      <c r="V95" s="1" t="s">
        <v>5559</v>
      </c>
      <c r="W95" s="1">
        <v>13750000</v>
      </c>
      <c r="X95" s="1" t="s">
        <v>5560</v>
      </c>
      <c r="Y95" s="1">
        <v>278</v>
      </c>
      <c r="Z95" s="1" t="s">
        <v>36</v>
      </c>
      <c r="AA95" s="1" t="s">
        <v>5594</v>
      </c>
      <c r="AB95" t="s">
        <v>6095</v>
      </c>
      <c r="AC95" s="1" t="s">
        <v>6096</v>
      </c>
      <c r="AD95" s="1" t="s">
        <v>6092</v>
      </c>
      <c r="AE95" s="1" t="s">
        <v>6097</v>
      </c>
      <c r="AF95" s="21" t="s">
        <v>6580</v>
      </c>
      <c r="AG95" s="1">
        <v>1</v>
      </c>
      <c r="AH95" s="21" t="s">
        <v>6580</v>
      </c>
      <c r="AI95" s="21" t="s">
        <v>6581</v>
      </c>
      <c r="AJ95" s="22" t="s">
        <v>4360</v>
      </c>
      <c r="AK95" s="1">
        <v>1</v>
      </c>
      <c r="AL95" s="1">
        <v>0</v>
      </c>
      <c r="AM95" t="s">
        <v>4360</v>
      </c>
      <c r="AN95" s="1">
        <v>0</v>
      </c>
      <c r="AO95" s="1">
        <v>14000000</v>
      </c>
      <c r="AP95" s="1">
        <v>336030</v>
      </c>
      <c r="AQ95" s="1">
        <v>0</v>
      </c>
      <c r="AR95" s="1">
        <v>14336030</v>
      </c>
      <c r="AS95" s="1">
        <v>13750000</v>
      </c>
      <c r="AT95" s="1">
        <v>-586030</v>
      </c>
      <c r="AU95" s="1">
        <v>-426</v>
      </c>
    </row>
    <row r="96" spans="1:47" ht="13.5" customHeight="1" x14ac:dyDescent="0.3">
      <c r="A96" s="1" t="s">
        <v>5554</v>
      </c>
      <c r="B96" s="1" t="s">
        <v>5555</v>
      </c>
      <c r="C96" s="1">
        <v>0</v>
      </c>
      <c r="D96" s="1">
        <v>0</v>
      </c>
      <c r="E96" t="s">
        <v>4360</v>
      </c>
      <c r="F96" t="s">
        <v>4360</v>
      </c>
      <c r="G96" t="s">
        <v>4360</v>
      </c>
      <c r="H96" t="s">
        <v>4360</v>
      </c>
      <c r="I96" s="21" t="s">
        <v>6415</v>
      </c>
      <c r="J96" t="s">
        <v>4360</v>
      </c>
      <c r="K96" s="1" t="s">
        <v>5928</v>
      </c>
      <c r="L96" s="1" t="s">
        <v>264</v>
      </c>
      <c r="M96" s="1" t="s">
        <v>5203</v>
      </c>
      <c r="N96" s="1" t="s">
        <v>274</v>
      </c>
      <c r="O96" s="1" t="s">
        <v>5929</v>
      </c>
      <c r="P96" s="1">
        <v>2021</v>
      </c>
      <c r="Q96" s="1">
        <v>98100</v>
      </c>
      <c r="R96" s="1" t="s">
        <v>5930</v>
      </c>
      <c r="S96" s="1" t="s">
        <v>275</v>
      </c>
      <c r="T96" s="1" t="s">
        <v>5557</v>
      </c>
      <c r="U96" s="1" t="s">
        <v>5576</v>
      </c>
      <c r="V96" s="1" t="s">
        <v>5559</v>
      </c>
      <c r="W96" s="1">
        <v>14890000</v>
      </c>
      <c r="X96" s="1" t="s">
        <v>5560</v>
      </c>
      <c r="Y96" s="1">
        <v>197</v>
      </c>
      <c r="Z96" s="1" t="s">
        <v>43</v>
      </c>
      <c r="AA96" s="1" t="s">
        <v>5561</v>
      </c>
      <c r="AB96" s="1" t="s">
        <v>5931</v>
      </c>
      <c r="AC96" s="1" t="s">
        <v>5932</v>
      </c>
      <c r="AD96" s="1" t="s">
        <v>5928</v>
      </c>
      <c r="AE96" s="1" t="s">
        <v>5933</v>
      </c>
      <c r="AF96" s="21" t="s">
        <v>6416</v>
      </c>
      <c r="AG96" s="1">
        <v>1</v>
      </c>
      <c r="AH96" s="21" t="s">
        <v>6416</v>
      </c>
      <c r="AI96" s="21" t="s">
        <v>6417</v>
      </c>
      <c r="AJ96" t="s">
        <v>4360</v>
      </c>
      <c r="AK96" s="1">
        <v>3</v>
      </c>
      <c r="AL96" s="1">
        <v>0</v>
      </c>
      <c r="AM96" t="s">
        <v>4360</v>
      </c>
      <c r="AN96" s="1">
        <v>0</v>
      </c>
      <c r="AO96" s="1">
        <v>13490000</v>
      </c>
      <c r="AP96" s="1">
        <v>328380</v>
      </c>
      <c r="AQ96" s="1">
        <v>0</v>
      </c>
      <c r="AR96" s="1">
        <v>13818380</v>
      </c>
      <c r="AS96" s="1">
        <v>14890000</v>
      </c>
      <c r="AT96" s="1">
        <v>1071620</v>
      </c>
      <c r="AU96" s="1">
        <v>72</v>
      </c>
    </row>
    <row r="97" spans="1:47" ht="13.5" customHeight="1" x14ac:dyDescent="0.3">
      <c r="A97" s="1" t="s">
        <v>5554</v>
      </c>
      <c r="B97" s="1" t="s">
        <v>5580</v>
      </c>
      <c r="C97" s="1">
        <v>0</v>
      </c>
      <c r="D97" s="1">
        <v>0</v>
      </c>
      <c r="E97" t="s">
        <v>4360</v>
      </c>
      <c r="F97" t="s">
        <v>4360</v>
      </c>
      <c r="G97" t="s">
        <v>4360</v>
      </c>
      <c r="H97" t="s">
        <v>4360</v>
      </c>
      <c r="I97" s="21" t="s">
        <v>6638</v>
      </c>
      <c r="J97" t="s">
        <v>4360</v>
      </c>
      <c r="K97" s="1" t="s">
        <v>6198</v>
      </c>
      <c r="L97" s="1" t="s">
        <v>264</v>
      </c>
      <c r="M97" s="1" t="s">
        <v>5203</v>
      </c>
      <c r="N97" s="1" t="s">
        <v>278</v>
      </c>
      <c r="O97" s="1" t="s">
        <v>5556</v>
      </c>
      <c r="P97" s="1">
        <v>2023</v>
      </c>
      <c r="Q97" s="1">
        <v>45360</v>
      </c>
      <c r="R97" s="1" t="s">
        <v>6199</v>
      </c>
      <c r="S97" s="1" t="s">
        <v>279</v>
      </c>
      <c r="T97" s="1" t="s">
        <v>5557</v>
      </c>
      <c r="U97" s="1" t="s">
        <v>5576</v>
      </c>
      <c r="V97" s="1" t="s">
        <v>5559</v>
      </c>
      <c r="W97" s="1">
        <v>13990000</v>
      </c>
      <c r="X97" s="1" t="s">
        <v>5560</v>
      </c>
      <c r="Y97" s="1">
        <v>245</v>
      </c>
      <c r="Z97" s="1" t="s">
        <v>28</v>
      </c>
      <c r="AA97" s="1" t="s">
        <v>5585</v>
      </c>
      <c r="AB97" t="s">
        <v>6200</v>
      </c>
      <c r="AC97" s="1" t="s">
        <v>6201</v>
      </c>
      <c r="AD97" s="1" t="s">
        <v>6198</v>
      </c>
      <c r="AE97" s="1" t="s">
        <v>6202</v>
      </c>
      <c r="AF97" s="21" t="s">
        <v>6639</v>
      </c>
      <c r="AG97" s="1">
        <v>1</v>
      </c>
      <c r="AH97" s="21" t="s">
        <v>6640</v>
      </c>
      <c r="AI97" s="21" t="s">
        <v>6640</v>
      </c>
      <c r="AJ97" t="s">
        <v>6513</v>
      </c>
      <c r="AK97" s="1">
        <v>1</v>
      </c>
      <c r="AL97" s="1">
        <v>0</v>
      </c>
      <c r="AM97" t="s">
        <v>4360</v>
      </c>
      <c r="AN97" s="1">
        <v>0</v>
      </c>
      <c r="AO97" s="1">
        <v>12100000</v>
      </c>
      <c r="AP97" s="1">
        <v>307530</v>
      </c>
      <c r="AQ97" s="1">
        <v>0</v>
      </c>
      <c r="AR97" s="1">
        <v>12407530</v>
      </c>
      <c r="AS97" s="1">
        <v>13990000</v>
      </c>
      <c r="AT97" s="1">
        <v>1582470</v>
      </c>
      <c r="AU97" s="1">
        <v>1131</v>
      </c>
    </row>
    <row r="98" spans="1:47" ht="13.5" customHeight="1" x14ac:dyDescent="0.3">
      <c r="A98" s="1" t="s">
        <v>5554</v>
      </c>
      <c r="B98" s="1" t="s">
        <v>5580</v>
      </c>
      <c r="C98" s="1">
        <v>0</v>
      </c>
      <c r="D98" s="1">
        <v>0</v>
      </c>
      <c r="E98" t="s">
        <v>4360</v>
      </c>
      <c r="F98" t="s">
        <v>4360</v>
      </c>
      <c r="G98" t="s">
        <v>4360</v>
      </c>
      <c r="H98" t="s">
        <v>4360</v>
      </c>
      <c r="I98" s="21" t="s">
        <v>6391</v>
      </c>
      <c r="J98" t="s">
        <v>4360</v>
      </c>
      <c r="K98" s="1" t="s">
        <v>6392</v>
      </c>
      <c r="L98" s="1" t="s">
        <v>2957</v>
      </c>
      <c r="M98" s="1" t="s">
        <v>3268</v>
      </c>
      <c r="N98" s="1" t="s">
        <v>5342</v>
      </c>
      <c r="O98" s="1" t="s">
        <v>6393</v>
      </c>
      <c r="P98" s="1">
        <v>2024</v>
      </c>
      <c r="Q98" s="1">
        <v>76000</v>
      </c>
      <c r="R98" s="1" t="s">
        <v>6394</v>
      </c>
      <c r="S98" s="1" t="s">
        <v>6395</v>
      </c>
      <c r="T98" s="1" t="s">
        <v>5557</v>
      </c>
      <c r="U98" s="1" t="s">
        <v>6396</v>
      </c>
      <c r="V98" s="1" t="s">
        <v>5559</v>
      </c>
      <c r="W98" s="1">
        <v>23990000</v>
      </c>
      <c r="X98" s="1" t="s">
        <v>5560</v>
      </c>
      <c r="Y98" s="1">
        <v>6</v>
      </c>
      <c r="Z98" s="1" t="s">
        <v>17</v>
      </c>
      <c r="AA98" s="1" t="s">
        <v>5585</v>
      </c>
      <c r="AB98" s="1" t="s">
        <v>5595</v>
      </c>
      <c r="AC98" s="1" t="s">
        <v>6397</v>
      </c>
      <c r="AD98" s="1" t="s">
        <v>6392</v>
      </c>
      <c r="AE98" s="1" t="s">
        <v>6398</v>
      </c>
      <c r="AF98" s="21" t="s">
        <v>6343</v>
      </c>
      <c r="AG98" s="1">
        <v>1</v>
      </c>
      <c r="AH98" s="21" t="s">
        <v>6343</v>
      </c>
      <c r="AI98" s="21" t="s">
        <v>6399</v>
      </c>
      <c r="AJ98" t="s">
        <v>4360</v>
      </c>
      <c r="AK98" s="1">
        <v>1</v>
      </c>
      <c r="AL98" s="1">
        <v>0</v>
      </c>
      <c r="AM98" t="s">
        <v>4360</v>
      </c>
      <c r="AN98" s="1">
        <v>0</v>
      </c>
      <c r="AO98" s="1">
        <v>19000000</v>
      </c>
      <c r="AP98" s="1">
        <v>0</v>
      </c>
      <c r="AQ98" s="1">
        <v>0</v>
      </c>
      <c r="AR98" s="1">
        <v>19000000</v>
      </c>
      <c r="AS98" s="1">
        <v>23990000</v>
      </c>
      <c r="AT98" s="1">
        <v>4990000</v>
      </c>
      <c r="AU98" s="1">
        <v>208</v>
      </c>
    </row>
    <row r="99" spans="1:47" ht="13.5" customHeight="1" x14ac:dyDescent="0.3">
      <c r="A99" s="1" t="s">
        <v>5554</v>
      </c>
      <c r="B99" s="1" t="s">
        <v>5589</v>
      </c>
      <c r="C99" s="1">
        <v>0</v>
      </c>
      <c r="D99" s="1">
        <v>0</v>
      </c>
      <c r="E99" t="s">
        <v>4360</v>
      </c>
      <c r="F99" t="s">
        <v>4360</v>
      </c>
      <c r="G99" t="s">
        <v>4360</v>
      </c>
      <c r="H99" t="s">
        <v>4360</v>
      </c>
      <c r="I99" s="21" t="s">
        <v>6529</v>
      </c>
      <c r="J99" t="s">
        <v>4360</v>
      </c>
      <c r="K99" s="1" t="s">
        <v>5975</v>
      </c>
      <c r="L99" s="1" t="s">
        <v>93</v>
      </c>
      <c r="M99" s="1" t="s">
        <v>131</v>
      </c>
      <c r="N99" s="1" t="s">
        <v>139</v>
      </c>
      <c r="O99" s="1" t="s">
        <v>5976</v>
      </c>
      <c r="P99" s="1">
        <v>2025</v>
      </c>
      <c r="Q99" s="1">
        <v>34500</v>
      </c>
      <c r="R99" s="1" t="s">
        <v>5977</v>
      </c>
      <c r="S99" s="1" t="s">
        <v>140</v>
      </c>
      <c r="T99" s="1" t="s">
        <v>5557</v>
      </c>
      <c r="U99" s="1" t="s">
        <v>5606</v>
      </c>
      <c r="V99" s="1" t="s">
        <v>5559</v>
      </c>
      <c r="W99" s="1">
        <v>29490000</v>
      </c>
      <c r="X99" s="1" t="s">
        <v>5560</v>
      </c>
      <c r="Y99" s="1">
        <v>165</v>
      </c>
      <c r="Z99" s="1" t="s">
        <v>28</v>
      </c>
      <c r="AA99" s="1" t="s">
        <v>5594</v>
      </c>
      <c r="AB99" s="1" t="s">
        <v>5978</v>
      </c>
      <c r="AC99" s="1" t="s">
        <v>5979</v>
      </c>
      <c r="AD99" s="1" t="s">
        <v>5975</v>
      </c>
      <c r="AE99" s="1" t="s">
        <v>5980</v>
      </c>
      <c r="AF99" s="21" t="s">
        <v>6530</v>
      </c>
      <c r="AG99" s="1">
        <v>1</v>
      </c>
      <c r="AH99" s="21" t="s">
        <v>6530</v>
      </c>
      <c r="AI99" s="21" t="s">
        <v>6531</v>
      </c>
      <c r="AJ99" t="s">
        <v>4360</v>
      </c>
      <c r="AK99" s="1">
        <v>1</v>
      </c>
      <c r="AL99" s="1">
        <v>0</v>
      </c>
      <c r="AM99" t="s">
        <v>4360</v>
      </c>
      <c r="AN99" s="1">
        <v>0</v>
      </c>
      <c r="AO99" s="1">
        <v>27000000</v>
      </c>
      <c r="AP99" s="1">
        <v>531030</v>
      </c>
      <c r="AQ99" s="1">
        <v>0</v>
      </c>
      <c r="AR99" s="1">
        <v>27531030</v>
      </c>
      <c r="AS99" s="1">
        <v>29490000</v>
      </c>
      <c r="AT99" s="1">
        <v>1958970</v>
      </c>
      <c r="AU99" s="1">
        <v>664</v>
      </c>
    </row>
    <row r="100" spans="1:47" ht="13.5" customHeight="1" x14ac:dyDescent="0.3">
      <c r="A100" s="1" t="s">
        <v>5554</v>
      </c>
      <c r="B100" s="1" t="s">
        <v>5589</v>
      </c>
      <c r="C100" s="1">
        <v>0</v>
      </c>
      <c r="D100" s="1">
        <v>0</v>
      </c>
      <c r="E100" t="s">
        <v>4360</v>
      </c>
      <c r="F100" t="s">
        <v>4360</v>
      </c>
      <c r="G100" t="s">
        <v>4360</v>
      </c>
      <c r="H100" t="s">
        <v>4360</v>
      </c>
      <c r="I100" s="21" t="s">
        <v>6486</v>
      </c>
      <c r="J100" t="s">
        <v>4360</v>
      </c>
      <c r="K100" s="1" t="s">
        <v>5613</v>
      </c>
      <c r="L100" s="1" t="s">
        <v>264</v>
      </c>
      <c r="M100" s="1" t="s">
        <v>5203</v>
      </c>
      <c r="N100" s="1" t="s">
        <v>270</v>
      </c>
      <c r="O100" s="1" t="s">
        <v>5614</v>
      </c>
      <c r="P100" s="1">
        <v>2025</v>
      </c>
      <c r="Q100" s="1">
        <v>4687</v>
      </c>
      <c r="R100" s="1" t="s">
        <v>5615</v>
      </c>
      <c r="S100" s="1" t="s">
        <v>271</v>
      </c>
      <c r="T100" s="1" t="s">
        <v>5557</v>
      </c>
      <c r="U100" s="1" t="s">
        <v>5558</v>
      </c>
      <c r="V100" s="1" t="s">
        <v>5559</v>
      </c>
      <c r="W100" s="1">
        <v>23890000</v>
      </c>
      <c r="X100" s="1" t="s">
        <v>5560</v>
      </c>
      <c r="Y100" s="1">
        <v>243</v>
      </c>
      <c r="Z100" s="1" t="s">
        <v>28</v>
      </c>
      <c r="AA100" s="1" t="s">
        <v>5594</v>
      </c>
      <c r="AB100" s="1" t="s">
        <v>5616</v>
      </c>
      <c r="AC100" s="1" t="s">
        <v>5617</v>
      </c>
      <c r="AD100" s="1" t="s">
        <v>5613</v>
      </c>
      <c r="AE100" s="1" t="s">
        <v>5618</v>
      </c>
      <c r="AF100" s="21" t="s">
        <v>6487</v>
      </c>
      <c r="AG100" s="1">
        <v>1</v>
      </c>
      <c r="AH100" s="21" t="s">
        <v>6487</v>
      </c>
      <c r="AI100" s="21" t="s">
        <v>6488</v>
      </c>
      <c r="AJ100" t="s">
        <v>4360</v>
      </c>
      <c r="AK100" s="1">
        <v>1</v>
      </c>
      <c r="AL100" s="1">
        <v>0</v>
      </c>
      <c r="AM100" t="s">
        <v>4360</v>
      </c>
      <c r="AN100" s="1">
        <v>0</v>
      </c>
      <c r="AO100" s="1">
        <v>28490000</v>
      </c>
      <c r="AP100" s="1">
        <v>914223</v>
      </c>
      <c r="AQ100" s="1">
        <v>0</v>
      </c>
      <c r="AR100" s="1">
        <v>29404223</v>
      </c>
      <c r="AS100" s="1">
        <v>23890000</v>
      </c>
      <c r="AT100" s="1">
        <v>-5514223</v>
      </c>
      <c r="AU100" s="1">
        <v>-2308</v>
      </c>
    </row>
    <row r="101" spans="1:47" ht="13.5" customHeight="1" x14ac:dyDescent="0.3">
      <c r="A101" s="1" t="s">
        <v>5554</v>
      </c>
      <c r="B101" s="1" t="s">
        <v>5555</v>
      </c>
      <c r="C101" s="1">
        <v>0</v>
      </c>
      <c r="D101" s="1">
        <v>0</v>
      </c>
      <c r="E101" t="s">
        <v>4360</v>
      </c>
      <c r="F101" t="s">
        <v>4360</v>
      </c>
      <c r="G101" t="s">
        <v>4360</v>
      </c>
      <c r="H101" t="s">
        <v>4360</v>
      </c>
      <c r="I101" s="21" t="s">
        <v>6303</v>
      </c>
      <c r="J101" t="s">
        <v>4360</v>
      </c>
      <c r="K101" s="1" t="s">
        <v>5752</v>
      </c>
      <c r="L101" s="1" t="s">
        <v>93</v>
      </c>
      <c r="M101" s="1" t="s">
        <v>143</v>
      </c>
      <c r="N101" s="1" t="s">
        <v>147</v>
      </c>
      <c r="O101" s="1" t="s">
        <v>5753</v>
      </c>
      <c r="P101" s="1">
        <v>2025</v>
      </c>
      <c r="Q101" s="1">
        <v>8335</v>
      </c>
      <c r="R101" s="1" t="s">
        <v>5754</v>
      </c>
      <c r="S101" s="1" t="s">
        <v>148</v>
      </c>
      <c r="T101" s="1" t="s">
        <v>5557</v>
      </c>
      <c r="U101" s="1" t="s">
        <v>5755</v>
      </c>
      <c r="V101" s="1" t="s">
        <v>5559</v>
      </c>
      <c r="W101" s="1">
        <v>19490000</v>
      </c>
      <c r="X101" s="1" t="s">
        <v>5560</v>
      </c>
      <c r="Y101" s="1">
        <v>57</v>
      </c>
      <c r="Z101" s="1" t="s">
        <v>43</v>
      </c>
      <c r="AA101" s="1" t="s">
        <v>5561</v>
      </c>
      <c r="AB101" s="1" t="s">
        <v>5756</v>
      </c>
      <c r="AC101" s="1" t="s">
        <v>5757</v>
      </c>
      <c r="AD101" s="1" t="s">
        <v>5752</v>
      </c>
      <c r="AE101" s="1" t="s">
        <v>5758</v>
      </c>
      <c r="AF101" s="21" t="s">
        <v>6236</v>
      </c>
      <c r="AG101" s="1">
        <v>1</v>
      </c>
      <c r="AH101" s="21" t="s">
        <v>6236</v>
      </c>
      <c r="AI101" s="21" t="s">
        <v>6304</v>
      </c>
      <c r="AJ101" t="s">
        <v>4360</v>
      </c>
      <c r="AK101" s="1">
        <v>1</v>
      </c>
      <c r="AL101" s="1">
        <v>0</v>
      </c>
      <c r="AM101" t="s">
        <v>4360</v>
      </c>
      <c r="AN101" s="1">
        <v>0</v>
      </c>
      <c r="AO101" s="1">
        <v>16000000</v>
      </c>
      <c r="AP101" s="1">
        <v>369240</v>
      </c>
      <c r="AQ101" s="1">
        <v>0</v>
      </c>
      <c r="AR101" s="1">
        <v>16369240</v>
      </c>
      <c r="AS101" s="1">
        <v>19490000</v>
      </c>
      <c r="AT101" s="1">
        <v>3120760</v>
      </c>
      <c r="AU101" s="1">
        <v>1601</v>
      </c>
    </row>
    <row r="102" spans="1:47" ht="13.5" customHeight="1" x14ac:dyDescent="0.3">
      <c r="A102" s="1" t="s">
        <v>5554</v>
      </c>
      <c r="B102" s="1" t="s">
        <v>5555</v>
      </c>
      <c r="C102" s="1">
        <v>0</v>
      </c>
      <c r="D102" s="1">
        <v>0</v>
      </c>
      <c r="E102" t="s">
        <v>4360</v>
      </c>
      <c r="F102" t="s">
        <v>4360</v>
      </c>
      <c r="G102" t="s">
        <v>4360</v>
      </c>
      <c r="H102" t="s">
        <v>4360</v>
      </c>
      <c r="I102" s="21" t="s">
        <v>6596</v>
      </c>
      <c r="J102" t="s">
        <v>4360</v>
      </c>
      <c r="K102" s="1" t="s">
        <v>5908</v>
      </c>
      <c r="L102" s="1" t="s">
        <v>93</v>
      </c>
      <c r="M102" s="1" t="s">
        <v>100</v>
      </c>
      <c r="N102" s="1" t="s">
        <v>101</v>
      </c>
      <c r="O102" s="1" t="s">
        <v>5909</v>
      </c>
      <c r="P102" s="1">
        <v>2024</v>
      </c>
      <c r="Q102" s="1">
        <v>5000</v>
      </c>
      <c r="R102" s="1" t="s">
        <v>5910</v>
      </c>
      <c r="S102" s="1" t="s">
        <v>102</v>
      </c>
      <c r="T102" s="1" t="s">
        <v>5557</v>
      </c>
      <c r="U102" s="1" t="s">
        <v>5911</v>
      </c>
      <c r="V102" s="1" t="s">
        <v>5559</v>
      </c>
      <c r="W102" s="1">
        <v>27990000</v>
      </c>
      <c r="X102" s="1" t="s">
        <v>5560</v>
      </c>
      <c r="Y102" s="1">
        <v>747</v>
      </c>
      <c r="Z102" s="1" t="s">
        <v>28</v>
      </c>
      <c r="AA102" s="1" t="s">
        <v>5561</v>
      </c>
      <c r="AB102" s="1" t="s">
        <v>5912</v>
      </c>
      <c r="AC102" s="1" t="s">
        <v>5913</v>
      </c>
      <c r="AD102" s="1" t="s">
        <v>5908</v>
      </c>
      <c r="AE102" s="1" t="s">
        <v>5914</v>
      </c>
      <c r="AF102" s="21" t="s">
        <v>6597</v>
      </c>
      <c r="AG102" s="1">
        <v>1</v>
      </c>
      <c r="AH102" s="21" t="s">
        <v>6598</v>
      </c>
      <c r="AI102" s="21" t="s">
        <v>6598</v>
      </c>
      <c r="AJ102" t="s">
        <v>4360</v>
      </c>
      <c r="AK102" s="1">
        <v>0</v>
      </c>
      <c r="AL102" s="1">
        <v>0</v>
      </c>
      <c r="AM102" t="s">
        <v>4360</v>
      </c>
      <c r="AN102" s="1">
        <v>0</v>
      </c>
      <c r="AO102" s="1">
        <v>33990000</v>
      </c>
      <c r="AP102" s="1">
        <v>709880</v>
      </c>
      <c r="AQ102" s="1">
        <v>0</v>
      </c>
      <c r="AR102" s="1">
        <v>34699880</v>
      </c>
      <c r="AS102" s="1">
        <v>27990000</v>
      </c>
      <c r="AT102" s="1">
        <v>-6709880</v>
      </c>
      <c r="AU102" s="1">
        <v>-2397</v>
      </c>
    </row>
    <row r="103" spans="1:47" ht="13.5" customHeight="1" x14ac:dyDescent="0.3">
      <c r="A103" s="1" t="s">
        <v>5554</v>
      </c>
      <c r="B103" s="1" t="s">
        <v>5589</v>
      </c>
      <c r="C103" s="1">
        <v>0</v>
      </c>
      <c r="D103" s="1">
        <v>0</v>
      </c>
      <c r="E103" t="s">
        <v>4360</v>
      </c>
      <c r="F103" t="s">
        <v>4360</v>
      </c>
      <c r="G103" t="s">
        <v>4360</v>
      </c>
      <c r="H103" t="s">
        <v>4360</v>
      </c>
      <c r="I103" s="21" t="s">
        <v>6514</v>
      </c>
      <c r="J103" t="s">
        <v>4360</v>
      </c>
      <c r="K103" s="1" t="s">
        <v>6098</v>
      </c>
      <c r="L103" s="1" t="s">
        <v>242</v>
      </c>
      <c r="M103" s="1" t="s">
        <v>246</v>
      </c>
      <c r="N103" s="1" t="s">
        <v>247</v>
      </c>
      <c r="O103" s="1" t="s">
        <v>6099</v>
      </c>
      <c r="P103" s="1">
        <v>2023</v>
      </c>
      <c r="Q103" s="1">
        <v>45000</v>
      </c>
      <c r="R103" s="1" t="s">
        <v>6100</v>
      </c>
      <c r="S103" s="1" t="s">
        <v>249</v>
      </c>
      <c r="T103" s="1" t="s">
        <v>5557</v>
      </c>
      <c r="U103" s="1" t="s">
        <v>5648</v>
      </c>
      <c r="V103" s="1" t="s">
        <v>5559</v>
      </c>
      <c r="W103" s="1">
        <v>17390000</v>
      </c>
      <c r="X103" s="1" t="s">
        <v>5560</v>
      </c>
      <c r="Y103" s="1">
        <v>186</v>
      </c>
      <c r="Z103" s="1" t="s">
        <v>28</v>
      </c>
      <c r="AA103" s="1" t="s">
        <v>5594</v>
      </c>
      <c r="AB103" s="1" t="s">
        <v>5586</v>
      </c>
      <c r="AC103" s="1" t="s">
        <v>6101</v>
      </c>
      <c r="AD103" s="1" t="s">
        <v>6098</v>
      </c>
      <c r="AE103" s="1" t="s">
        <v>6102</v>
      </c>
      <c r="AF103" s="21" t="s">
        <v>6515</v>
      </c>
      <c r="AG103" s="1">
        <v>1</v>
      </c>
      <c r="AH103" s="21" t="s">
        <v>6515</v>
      </c>
      <c r="AI103" s="21" t="s">
        <v>6516</v>
      </c>
      <c r="AJ103" t="s">
        <v>6292</v>
      </c>
      <c r="AK103" s="1">
        <v>1</v>
      </c>
      <c r="AL103" s="1">
        <v>0</v>
      </c>
      <c r="AM103" t="s">
        <v>4360</v>
      </c>
      <c r="AN103" s="1">
        <v>0</v>
      </c>
      <c r="AO103" s="1">
        <v>15400000</v>
      </c>
      <c r="AP103" s="1">
        <v>566967</v>
      </c>
      <c r="AQ103" s="1">
        <v>0</v>
      </c>
      <c r="AR103" s="1">
        <v>15966967</v>
      </c>
      <c r="AS103" s="1">
        <v>17390000</v>
      </c>
      <c r="AT103" s="1">
        <v>1423033</v>
      </c>
      <c r="AU103" s="1">
        <v>818</v>
      </c>
    </row>
    <row r="104" spans="1:47" ht="13.5" customHeight="1" x14ac:dyDescent="0.3">
      <c r="A104" s="1" t="s">
        <v>5554</v>
      </c>
      <c r="B104" s="1" t="s">
        <v>5555</v>
      </c>
      <c r="C104" s="1">
        <v>0</v>
      </c>
      <c r="D104" s="1">
        <v>0</v>
      </c>
      <c r="E104" t="s">
        <v>4360</v>
      </c>
      <c r="F104" t="s">
        <v>4360</v>
      </c>
      <c r="G104" t="s">
        <v>4360</v>
      </c>
      <c r="H104" t="s">
        <v>4360</v>
      </c>
      <c r="I104" s="21" t="s">
        <v>6538</v>
      </c>
      <c r="J104" t="s">
        <v>4360</v>
      </c>
      <c r="K104" s="1" t="s">
        <v>6144</v>
      </c>
      <c r="L104" s="1" t="s">
        <v>339</v>
      </c>
      <c r="M104" s="1" t="s">
        <v>340</v>
      </c>
      <c r="N104" s="1" t="s">
        <v>341</v>
      </c>
      <c r="O104" s="1" t="s">
        <v>6145</v>
      </c>
      <c r="P104" s="1">
        <v>2023</v>
      </c>
      <c r="Q104" s="1">
        <v>15600</v>
      </c>
      <c r="R104" s="1" t="s">
        <v>6146</v>
      </c>
      <c r="S104" s="1" t="s">
        <v>342</v>
      </c>
      <c r="T104" s="1" t="s">
        <v>5557</v>
      </c>
      <c r="U104" s="1" t="s">
        <v>6147</v>
      </c>
      <c r="V104" s="1" t="s">
        <v>5559</v>
      </c>
      <c r="W104" s="1">
        <v>33190000</v>
      </c>
      <c r="X104" s="1" t="s">
        <v>5560</v>
      </c>
      <c r="Y104" s="1">
        <v>763</v>
      </c>
      <c r="Z104" s="1" t="s">
        <v>67</v>
      </c>
      <c r="AA104" s="1" t="s">
        <v>5561</v>
      </c>
      <c r="AB104" s="1" t="s">
        <v>6148</v>
      </c>
      <c r="AC104" s="1" t="s">
        <v>6149</v>
      </c>
      <c r="AD104" s="1" t="s">
        <v>6150</v>
      </c>
      <c r="AE104" s="1" t="s">
        <v>6151</v>
      </c>
      <c r="AF104" s="21" t="s">
        <v>6539</v>
      </c>
      <c r="AG104" s="1">
        <v>1</v>
      </c>
      <c r="AH104" s="21" t="s">
        <v>6540</v>
      </c>
      <c r="AI104" s="21" t="s">
        <v>6540</v>
      </c>
      <c r="AJ104" t="s">
        <v>4360</v>
      </c>
      <c r="AK104" s="1">
        <v>0</v>
      </c>
      <c r="AL104" s="1">
        <v>0</v>
      </c>
      <c r="AM104" t="s">
        <v>4360</v>
      </c>
      <c r="AN104" s="1">
        <v>0</v>
      </c>
      <c r="AO104" s="1">
        <v>28500000</v>
      </c>
      <c r="AP104" s="1">
        <v>1097663</v>
      </c>
      <c r="AQ104" s="1">
        <v>0</v>
      </c>
      <c r="AR104" s="1">
        <v>29597663</v>
      </c>
      <c r="AS104" s="1">
        <v>33190000</v>
      </c>
      <c r="AT104" s="1">
        <v>3592337</v>
      </c>
      <c r="AU104" s="1">
        <v>1082</v>
      </c>
    </row>
    <row r="105" spans="1:47" ht="13.5" customHeight="1" x14ac:dyDescent="0.3">
      <c r="A105" s="1" t="s">
        <v>5554</v>
      </c>
      <c r="B105" s="1" t="s">
        <v>5580</v>
      </c>
      <c r="C105" s="1">
        <v>0</v>
      </c>
      <c r="D105" s="1">
        <v>0</v>
      </c>
      <c r="E105" t="s">
        <v>4360</v>
      </c>
      <c r="F105" t="s">
        <v>4360</v>
      </c>
      <c r="G105" t="s">
        <v>4360</v>
      </c>
      <c r="H105" t="s">
        <v>4360</v>
      </c>
      <c r="I105" s="22" t="s">
        <v>6535</v>
      </c>
      <c r="J105" t="s">
        <v>4360</v>
      </c>
      <c r="K105" s="1" t="s">
        <v>5865</v>
      </c>
      <c r="L105" s="1" t="s">
        <v>303</v>
      </c>
      <c r="M105" s="1" t="s">
        <v>311</v>
      </c>
      <c r="N105" s="1" t="s">
        <v>312</v>
      </c>
      <c r="O105" s="1" t="s">
        <v>5866</v>
      </c>
      <c r="P105" s="1">
        <v>2025</v>
      </c>
      <c r="Q105" s="1">
        <v>7500</v>
      </c>
      <c r="R105" s="1" t="s">
        <v>5867</v>
      </c>
      <c r="S105" s="1" t="s">
        <v>313</v>
      </c>
      <c r="T105" s="1" t="s">
        <v>5557</v>
      </c>
      <c r="U105" s="1" t="s">
        <v>5868</v>
      </c>
      <c r="V105" s="1" t="s">
        <v>5559</v>
      </c>
      <c r="W105" s="1">
        <v>27490000</v>
      </c>
      <c r="X105" s="1" t="s">
        <v>5560</v>
      </c>
      <c r="Y105" s="1">
        <v>20</v>
      </c>
      <c r="Z105" s="1" t="s">
        <v>28</v>
      </c>
      <c r="AA105" s="1" t="s">
        <v>5585</v>
      </c>
      <c r="AB105" s="1" t="s">
        <v>4360</v>
      </c>
      <c r="AC105" s="1" t="s">
        <v>6536</v>
      </c>
      <c r="AD105" s="1" t="s">
        <v>5865</v>
      </c>
      <c r="AE105" s="1" t="s">
        <v>5869</v>
      </c>
      <c r="AF105" s="22" t="s">
        <v>6346</v>
      </c>
      <c r="AG105" s="1">
        <v>1</v>
      </c>
      <c r="AH105" s="22" t="s">
        <v>6346</v>
      </c>
      <c r="AI105" s="22" t="s">
        <v>6537</v>
      </c>
      <c r="AJ105" s="21" t="s">
        <v>4360</v>
      </c>
      <c r="AK105" s="1">
        <v>1</v>
      </c>
      <c r="AL105" s="1">
        <v>0</v>
      </c>
      <c r="AM105" t="s">
        <v>4360</v>
      </c>
      <c r="AN105" s="1">
        <v>0</v>
      </c>
      <c r="AO105" s="1">
        <v>22120000</v>
      </c>
      <c r="AP105" s="1">
        <v>0</v>
      </c>
      <c r="AQ105" s="1">
        <v>0</v>
      </c>
      <c r="AR105" s="1">
        <v>22120000</v>
      </c>
      <c r="AS105" s="1">
        <v>27490000</v>
      </c>
      <c r="AT105" s="1">
        <v>5370000</v>
      </c>
      <c r="AU105" s="1">
        <v>1953</v>
      </c>
    </row>
    <row r="106" spans="1:47" ht="13.5" customHeight="1" x14ac:dyDescent="0.3">
      <c r="A106" s="1" t="s">
        <v>5554</v>
      </c>
      <c r="B106" s="1" t="s">
        <v>5555</v>
      </c>
      <c r="C106" s="1">
        <v>0</v>
      </c>
      <c r="D106" s="1">
        <v>0</v>
      </c>
      <c r="E106" t="s">
        <v>4360</v>
      </c>
      <c r="F106" t="s">
        <v>4360</v>
      </c>
      <c r="G106" t="s">
        <v>4360</v>
      </c>
      <c r="H106" t="s">
        <v>4360</v>
      </c>
      <c r="I106" s="21" t="s">
        <v>6555</v>
      </c>
      <c r="J106" t="s">
        <v>4360</v>
      </c>
      <c r="K106" s="1" t="s">
        <v>6556</v>
      </c>
      <c r="L106" s="1" t="s">
        <v>2945</v>
      </c>
      <c r="M106" s="1" t="s">
        <v>5031</v>
      </c>
      <c r="N106" s="1" t="s">
        <v>5032</v>
      </c>
      <c r="O106" s="1" t="s">
        <v>6557</v>
      </c>
      <c r="P106" s="1">
        <v>2024</v>
      </c>
      <c r="Q106" s="1">
        <v>18000</v>
      </c>
      <c r="R106" s="1" t="s">
        <v>6558</v>
      </c>
      <c r="S106" s="1" t="s">
        <v>4337</v>
      </c>
      <c r="T106" s="1" t="s">
        <v>5557</v>
      </c>
      <c r="U106" s="1" t="s">
        <v>5842</v>
      </c>
      <c r="V106" s="1" t="s">
        <v>5559</v>
      </c>
      <c r="W106" s="1">
        <v>9990000</v>
      </c>
      <c r="X106" s="1" t="s">
        <v>5560</v>
      </c>
      <c r="Y106" s="1">
        <v>8</v>
      </c>
      <c r="Z106" s="1" t="s">
        <v>17</v>
      </c>
      <c r="AA106" s="1" t="s">
        <v>5561</v>
      </c>
      <c r="AB106" s="1" t="s">
        <v>6559</v>
      </c>
      <c r="AC106" s="1" t="s">
        <v>6560</v>
      </c>
      <c r="AD106" s="1" t="s">
        <v>6561</v>
      </c>
      <c r="AE106" s="1" t="s">
        <v>6562</v>
      </c>
      <c r="AF106" s="21" t="s">
        <v>6266</v>
      </c>
      <c r="AG106" s="1">
        <v>1</v>
      </c>
      <c r="AH106" s="21" t="s">
        <v>6266</v>
      </c>
      <c r="AI106" s="21" t="s">
        <v>6563</v>
      </c>
      <c r="AJ106" s="22" t="s">
        <v>4360</v>
      </c>
      <c r="AK106" s="1">
        <v>1</v>
      </c>
      <c r="AL106" s="1">
        <v>0</v>
      </c>
      <c r="AM106" t="s">
        <v>4360</v>
      </c>
      <c r="AN106" s="1">
        <v>0</v>
      </c>
      <c r="AO106" s="1">
        <v>7800000</v>
      </c>
      <c r="AP106" s="1">
        <v>0</v>
      </c>
      <c r="AQ106" s="1">
        <v>0</v>
      </c>
      <c r="AR106" s="1">
        <v>7800000</v>
      </c>
      <c r="AS106" s="1">
        <v>9990000</v>
      </c>
      <c r="AT106" s="1">
        <v>2190000</v>
      </c>
      <c r="AU106" s="1">
        <v>2192</v>
      </c>
    </row>
    <row r="107" spans="1:47" ht="13.5" customHeight="1" x14ac:dyDescent="0.3">
      <c r="A107" s="1" t="s">
        <v>5554</v>
      </c>
      <c r="B107" s="1" t="s">
        <v>5589</v>
      </c>
      <c r="C107" s="1">
        <v>0</v>
      </c>
      <c r="D107" s="1">
        <v>0</v>
      </c>
      <c r="E107" t="s">
        <v>4360</v>
      </c>
      <c r="F107" t="s">
        <v>4360</v>
      </c>
      <c r="G107" t="s">
        <v>4360</v>
      </c>
      <c r="H107" t="s">
        <v>4360</v>
      </c>
      <c r="I107" s="21" t="s">
        <v>8888</v>
      </c>
      <c r="J107" t="s">
        <v>4360</v>
      </c>
      <c r="K107" s="1" t="s">
        <v>8889</v>
      </c>
      <c r="L107" s="1" t="s">
        <v>242</v>
      </c>
      <c r="M107" s="1" t="s">
        <v>5118</v>
      </c>
      <c r="N107" s="1" t="s">
        <v>5119</v>
      </c>
      <c r="O107" s="1" t="s">
        <v>8890</v>
      </c>
      <c r="P107" s="1">
        <v>2023</v>
      </c>
      <c r="Q107" s="1">
        <v>71248</v>
      </c>
      <c r="R107" s="1" t="s">
        <v>8891</v>
      </c>
      <c r="S107" s="1" t="s">
        <v>3769</v>
      </c>
      <c r="T107" s="1" t="s">
        <v>5557</v>
      </c>
      <c r="U107" s="1" t="s">
        <v>5606</v>
      </c>
      <c r="V107" s="1" t="s">
        <v>5559</v>
      </c>
      <c r="W107" s="1">
        <v>19990000</v>
      </c>
      <c r="X107" s="1" t="s">
        <v>5560</v>
      </c>
      <c r="Y107" s="1">
        <v>3</v>
      </c>
      <c r="Z107" s="1" t="s">
        <v>17</v>
      </c>
      <c r="AA107" s="1" t="s">
        <v>5594</v>
      </c>
      <c r="AB107" s="1" t="s">
        <v>8892</v>
      </c>
      <c r="AC107" s="1" t="s">
        <v>8893</v>
      </c>
      <c r="AD107" s="1" t="s">
        <v>8889</v>
      </c>
      <c r="AE107" s="1" t="s">
        <v>8894</v>
      </c>
      <c r="AF107" s="21" t="s">
        <v>8840</v>
      </c>
      <c r="AG107" s="1">
        <v>1</v>
      </c>
      <c r="AH107" s="21" t="s">
        <v>8840</v>
      </c>
      <c r="AI107" s="21" t="s">
        <v>8895</v>
      </c>
      <c r="AJ107" t="s">
        <v>8896</v>
      </c>
      <c r="AK107" s="1">
        <v>3</v>
      </c>
      <c r="AL107" s="1">
        <v>0</v>
      </c>
      <c r="AM107" t="s">
        <v>4360</v>
      </c>
      <c r="AN107" s="1">
        <v>0</v>
      </c>
      <c r="AO107" s="1">
        <v>15500000</v>
      </c>
      <c r="AP107" s="1">
        <v>0</v>
      </c>
      <c r="AQ107" s="1">
        <v>0</v>
      </c>
      <c r="AR107" s="1">
        <v>15500000</v>
      </c>
      <c r="AS107" s="1">
        <v>19990000</v>
      </c>
      <c r="AT107" s="1">
        <v>4490000</v>
      </c>
      <c r="AU107" s="1">
        <v>2246</v>
      </c>
    </row>
    <row r="108" spans="1:47" ht="13.5" customHeight="1" x14ac:dyDescent="0.3">
      <c r="A108" s="1" t="s">
        <v>5554</v>
      </c>
      <c r="B108" s="1" t="s">
        <v>5555</v>
      </c>
      <c r="C108" s="1">
        <v>0</v>
      </c>
      <c r="D108" s="1">
        <v>0</v>
      </c>
      <c r="E108" t="s">
        <v>4360</v>
      </c>
      <c r="F108" t="s">
        <v>4360</v>
      </c>
      <c r="G108" t="s">
        <v>4360</v>
      </c>
      <c r="H108" t="s">
        <v>4360</v>
      </c>
      <c r="I108" s="21" t="s">
        <v>6572</v>
      </c>
      <c r="J108" t="s">
        <v>4360</v>
      </c>
      <c r="K108" s="1" t="s">
        <v>6203</v>
      </c>
      <c r="L108" s="1" t="s">
        <v>93</v>
      </c>
      <c r="M108" s="1" t="s">
        <v>118</v>
      </c>
      <c r="N108" s="1" t="s">
        <v>123</v>
      </c>
      <c r="O108" s="1" t="s">
        <v>6204</v>
      </c>
      <c r="P108" s="1">
        <v>2020</v>
      </c>
      <c r="Q108" s="1">
        <v>97261</v>
      </c>
      <c r="R108" s="1" t="s">
        <v>6205</v>
      </c>
      <c r="S108" s="1" t="s">
        <v>126</v>
      </c>
      <c r="T108" s="1" t="s">
        <v>5557</v>
      </c>
      <c r="U108" s="1" t="s">
        <v>6025</v>
      </c>
      <c r="V108" s="1" t="s">
        <v>5559</v>
      </c>
      <c r="W108" s="1">
        <v>45990000</v>
      </c>
      <c r="X108" s="1" t="s">
        <v>5560</v>
      </c>
      <c r="Y108" s="1">
        <v>215</v>
      </c>
      <c r="Z108" s="1" t="s">
        <v>125</v>
      </c>
      <c r="AA108" s="1" t="s">
        <v>5561</v>
      </c>
      <c r="AB108" s="1" t="s">
        <v>6206</v>
      </c>
      <c r="AC108" s="1" t="s">
        <v>6207</v>
      </c>
      <c r="AD108" s="1" t="s">
        <v>6203</v>
      </c>
      <c r="AE108" s="1" t="s">
        <v>6208</v>
      </c>
      <c r="AF108" s="21" t="s">
        <v>6573</v>
      </c>
      <c r="AG108" s="1">
        <v>1</v>
      </c>
      <c r="AH108" s="21" t="s">
        <v>6574</v>
      </c>
      <c r="AI108" s="21" t="s">
        <v>6574</v>
      </c>
      <c r="AJ108" t="s">
        <v>6224</v>
      </c>
      <c r="AK108" s="1">
        <v>1</v>
      </c>
      <c r="AL108" s="1">
        <v>0</v>
      </c>
      <c r="AM108" t="s">
        <v>4360</v>
      </c>
      <c r="AN108" s="1">
        <v>0</v>
      </c>
      <c r="AO108" s="1">
        <v>34200000</v>
      </c>
      <c r="AP108" s="1">
        <v>639030</v>
      </c>
      <c r="AQ108" s="1">
        <v>0</v>
      </c>
      <c r="AR108" s="1">
        <v>34839030</v>
      </c>
      <c r="AS108" s="1">
        <v>45990000</v>
      </c>
      <c r="AT108" s="1">
        <v>11150970</v>
      </c>
      <c r="AU108" s="1">
        <v>2425</v>
      </c>
    </row>
    <row r="109" spans="1:47" ht="13.5" customHeight="1" x14ac:dyDescent="0.3">
      <c r="A109" s="1" t="s">
        <v>5554</v>
      </c>
      <c r="B109" s="1" t="s">
        <v>5555</v>
      </c>
      <c r="C109" s="1">
        <v>0</v>
      </c>
      <c r="D109" s="1">
        <v>0</v>
      </c>
      <c r="E109" t="s">
        <v>4360</v>
      </c>
      <c r="F109" t="s">
        <v>4360</v>
      </c>
      <c r="G109" t="s">
        <v>4360</v>
      </c>
      <c r="H109" t="s">
        <v>4360</v>
      </c>
      <c r="I109" s="21" t="s">
        <v>6405</v>
      </c>
      <c r="J109" t="s">
        <v>4360</v>
      </c>
      <c r="K109" s="1" t="s">
        <v>6119</v>
      </c>
      <c r="L109" s="1" t="s">
        <v>264</v>
      </c>
      <c r="M109" s="1" t="s">
        <v>300</v>
      </c>
      <c r="N109" s="1" t="s">
        <v>301</v>
      </c>
      <c r="O109" s="1" t="s">
        <v>6120</v>
      </c>
      <c r="P109" s="1">
        <v>2025</v>
      </c>
      <c r="Q109" s="1">
        <v>15700</v>
      </c>
      <c r="R109" s="1" t="s">
        <v>6121</v>
      </c>
      <c r="S109" s="1" t="s">
        <v>302</v>
      </c>
      <c r="T109" s="1" t="s">
        <v>5557</v>
      </c>
      <c r="U109" s="1" t="s">
        <v>6122</v>
      </c>
      <c r="V109" s="1" t="s">
        <v>5559</v>
      </c>
      <c r="W109" s="1">
        <v>16990000</v>
      </c>
      <c r="X109" s="1" t="s">
        <v>5560</v>
      </c>
      <c r="Y109" s="1">
        <v>34</v>
      </c>
      <c r="Z109" s="1" t="s">
        <v>22</v>
      </c>
      <c r="AA109" s="1" t="s">
        <v>5561</v>
      </c>
      <c r="AB109" t="s">
        <v>4360</v>
      </c>
      <c r="AC109" s="1" t="s">
        <v>6123</v>
      </c>
      <c r="AD109" s="1" t="s">
        <v>6119</v>
      </c>
      <c r="AE109" s="1" t="s">
        <v>5572</v>
      </c>
      <c r="AF109" s="21" t="s">
        <v>6406</v>
      </c>
      <c r="AG109" s="1">
        <v>1</v>
      </c>
      <c r="AH109" s="21" t="s">
        <v>6406</v>
      </c>
      <c r="AI109" s="21" t="s">
        <v>6407</v>
      </c>
      <c r="AJ109" t="s">
        <v>4360</v>
      </c>
      <c r="AK109" s="1">
        <v>1</v>
      </c>
      <c r="AL109" s="1">
        <v>0</v>
      </c>
      <c r="AM109" t="s">
        <v>4360</v>
      </c>
      <c r="AN109" s="1">
        <v>0</v>
      </c>
      <c r="AO109" s="1">
        <v>13500000</v>
      </c>
      <c r="AP109" s="1">
        <v>331740</v>
      </c>
      <c r="AQ109" s="1">
        <v>0</v>
      </c>
      <c r="AR109" s="1">
        <v>13831740</v>
      </c>
      <c r="AS109" s="1">
        <v>16990000</v>
      </c>
      <c r="AT109" s="1">
        <v>3158260</v>
      </c>
      <c r="AU109" s="1">
        <v>1859</v>
      </c>
    </row>
    <row r="110" spans="1:47" ht="13.5" customHeight="1" x14ac:dyDescent="0.3">
      <c r="A110" s="1" t="s">
        <v>5554</v>
      </c>
      <c r="B110" s="1" t="s">
        <v>5555</v>
      </c>
      <c r="C110" s="1">
        <v>0</v>
      </c>
      <c r="D110" s="1">
        <v>0</v>
      </c>
      <c r="E110" t="s">
        <v>4360</v>
      </c>
      <c r="F110" t="s">
        <v>4360</v>
      </c>
      <c r="G110" t="s">
        <v>4360</v>
      </c>
      <c r="H110" t="s">
        <v>4360</v>
      </c>
      <c r="I110" s="21" t="s">
        <v>6473</v>
      </c>
      <c r="J110" t="s">
        <v>4360</v>
      </c>
      <c r="K110" s="1" t="s">
        <v>6474</v>
      </c>
      <c r="L110" s="1" t="s">
        <v>64</v>
      </c>
      <c r="M110" s="1" t="s">
        <v>3562</v>
      </c>
      <c r="N110" s="1" t="s">
        <v>6475</v>
      </c>
      <c r="O110" s="1" t="s">
        <v>6476</v>
      </c>
      <c r="P110" s="1">
        <v>2024</v>
      </c>
      <c r="Q110" s="1">
        <v>49400</v>
      </c>
      <c r="R110" s="1" t="s">
        <v>6477</v>
      </c>
      <c r="S110" s="1" t="s">
        <v>4335</v>
      </c>
      <c r="T110" s="1" t="s">
        <v>5557</v>
      </c>
      <c r="U110" s="1" t="s">
        <v>5558</v>
      </c>
      <c r="V110" s="1" t="s">
        <v>5559</v>
      </c>
      <c r="W110" s="1">
        <v>11990000</v>
      </c>
      <c r="X110" s="1" t="s">
        <v>5560</v>
      </c>
      <c r="Y110" s="1">
        <v>11</v>
      </c>
      <c r="Z110" s="1" t="s">
        <v>28</v>
      </c>
      <c r="AA110" s="1" t="s">
        <v>5561</v>
      </c>
      <c r="AB110" s="1" t="s">
        <v>6070</v>
      </c>
      <c r="AC110" s="1" t="s">
        <v>6478</v>
      </c>
      <c r="AD110" s="1" t="s">
        <v>6474</v>
      </c>
      <c r="AE110" s="1" t="s">
        <v>6479</v>
      </c>
      <c r="AF110" s="21" t="s">
        <v>6284</v>
      </c>
      <c r="AG110" s="1">
        <v>1</v>
      </c>
      <c r="AH110" s="21" t="s">
        <v>6284</v>
      </c>
      <c r="AI110" s="21" t="s">
        <v>6480</v>
      </c>
      <c r="AJ110" t="s">
        <v>4360</v>
      </c>
      <c r="AK110" s="1">
        <v>1</v>
      </c>
      <c r="AL110" s="1">
        <v>0</v>
      </c>
      <c r="AM110" t="s">
        <v>4360</v>
      </c>
      <c r="AN110" s="1">
        <v>0</v>
      </c>
      <c r="AO110" s="1">
        <v>10200000</v>
      </c>
      <c r="AP110" s="1">
        <v>0</v>
      </c>
      <c r="AQ110" s="1">
        <v>0</v>
      </c>
      <c r="AR110" s="1">
        <v>10200000</v>
      </c>
      <c r="AS110" s="1">
        <v>11990000</v>
      </c>
      <c r="AT110" s="1">
        <v>1790000</v>
      </c>
      <c r="AU110" s="1">
        <v>1493</v>
      </c>
    </row>
    <row r="111" spans="1:47" ht="13.5" customHeight="1" x14ac:dyDescent="0.3">
      <c r="A111" s="1" t="s">
        <v>5554</v>
      </c>
      <c r="B111" s="1" t="s">
        <v>5555</v>
      </c>
      <c r="C111" s="1">
        <v>0</v>
      </c>
      <c r="D111" s="1">
        <v>0</v>
      </c>
      <c r="E111" t="s">
        <v>4360</v>
      </c>
      <c r="F111" t="s">
        <v>4360</v>
      </c>
      <c r="G111" t="s">
        <v>4360</v>
      </c>
      <c r="H111" t="s">
        <v>4360</v>
      </c>
      <c r="I111" s="21" t="s">
        <v>6376</v>
      </c>
      <c r="J111" t="s">
        <v>4360</v>
      </c>
      <c r="K111" s="1" t="s">
        <v>6039</v>
      </c>
      <c r="L111" s="1" t="s">
        <v>93</v>
      </c>
      <c r="M111" s="1" t="s">
        <v>143</v>
      </c>
      <c r="N111" s="1" t="s">
        <v>144</v>
      </c>
      <c r="O111" s="1" t="s">
        <v>6040</v>
      </c>
      <c r="P111" s="1">
        <v>2021</v>
      </c>
      <c r="Q111" s="1">
        <v>26963</v>
      </c>
      <c r="R111" s="1" t="s">
        <v>6041</v>
      </c>
      <c r="S111" s="1" t="s">
        <v>145</v>
      </c>
      <c r="T111" s="1" t="s">
        <v>5557</v>
      </c>
      <c r="U111" s="1" t="s">
        <v>5842</v>
      </c>
      <c r="V111" s="1" t="s">
        <v>5559</v>
      </c>
      <c r="W111" s="1">
        <v>12990000</v>
      </c>
      <c r="X111" s="1" t="s">
        <v>5560</v>
      </c>
      <c r="Y111" s="1">
        <v>1222</v>
      </c>
      <c r="Z111" s="1" t="s">
        <v>43</v>
      </c>
      <c r="AA111" s="1" t="s">
        <v>5561</v>
      </c>
      <c r="AB111" s="1" t="s">
        <v>6042</v>
      </c>
      <c r="AC111" s="1" t="s">
        <v>6043</v>
      </c>
      <c r="AD111" s="1" t="s">
        <v>6039</v>
      </c>
      <c r="AE111" s="1" t="s">
        <v>6044</v>
      </c>
      <c r="AF111" s="21" t="s">
        <v>6377</v>
      </c>
      <c r="AG111" s="1">
        <v>1</v>
      </c>
      <c r="AH111" s="21" t="s">
        <v>6377</v>
      </c>
      <c r="AI111" s="21" t="s">
        <v>6378</v>
      </c>
      <c r="AJ111" s="21" t="s">
        <v>4360</v>
      </c>
      <c r="AK111" s="1">
        <v>0</v>
      </c>
      <c r="AL111" s="1">
        <v>0</v>
      </c>
      <c r="AM111" t="s">
        <v>4360</v>
      </c>
      <c r="AN111" s="1">
        <v>0</v>
      </c>
      <c r="AO111" s="1">
        <v>15500000</v>
      </c>
      <c r="AP111" s="1">
        <v>899467</v>
      </c>
      <c r="AQ111" s="1">
        <v>0</v>
      </c>
      <c r="AR111" s="1">
        <v>16399467</v>
      </c>
      <c r="AS111" s="1">
        <v>12990000</v>
      </c>
      <c r="AT111" s="1">
        <v>-3409467</v>
      </c>
      <c r="AU111" s="1">
        <v>-2625</v>
      </c>
    </row>
    <row r="112" spans="1:47" ht="13.5" customHeight="1" x14ac:dyDescent="0.3">
      <c r="A112" s="1" t="s">
        <v>5554</v>
      </c>
      <c r="B112" s="1" t="s">
        <v>5555</v>
      </c>
      <c r="C112" s="1">
        <v>0</v>
      </c>
      <c r="D112" s="1">
        <v>0</v>
      </c>
      <c r="E112" t="s">
        <v>4360</v>
      </c>
      <c r="F112" t="s">
        <v>4360</v>
      </c>
      <c r="G112" t="s">
        <v>4360</v>
      </c>
      <c r="H112" t="s">
        <v>4360</v>
      </c>
      <c r="I112" s="21" t="s">
        <v>6330</v>
      </c>
      <c r="J112" t="s">
        <v>4360</v>
      </c>
      <c r="K112" s="1" t="s">
        <v>5941</v>
      </c>
      <c r="L112" s="1" t="s">
        <v>93</v>
      </c>
      <c r="M112" s="1" t="s">
        <v>105</v>
      </c>
      <c r="N112" s="1" t="s">
        <v>106</v>
      </c>
      <c r="O112" s="1" t="s">
        <v>5808</v>
      </c>
      <c r="P112" s="1">
        <v>2023</v>
      </c>
      <c r="Q112" s="1">
        <v>80000</v>
      </c>
      <c r="R112" s="1" t="s">
        <v>5942</v>
      </c>
      <c r="S112" s="1" t="s">
        <v>108</v>
      </c>
      <c r="T112" s="1" t="s">
        <v>5557</v>
      </c>
      <c r="U112" s="1" t="s">
        <v>5861</v>
      </c>
      <c r="V112" s="1" t="s">
        <v>5559</v>
      </c>
      <c r="W112" s="1">
        <v>19290000</v>
      </c>
      <c r="X112" s="1" t="s">
        <v>5560</v>
      </c>
      <c r="Y112" s="1">
        <v>104</v>
      </c>
      <c r="Z112" s="1" t="s">
        <v>28</v>
      </c>
      <c r="AA112" s="1" t="s">
        <v>5561</v>
      </c>
      <c r="AB112" s="1" t="s">
        <v>5943</v>
      </c>
      <c r="AC112" s="1" t="s">
        <v>5944</v>
      </c>
      <c r="AD112" s="1" t="s">
        <v>5941</v>
      </c>
      <c r="AE112" s="1" t="s">
        <v>5945</v>
      </c>
      <c r="AF112" s="21" t="s">
        <v>6328</v>
      </c>
      <c r="AG112" s="1">
        <v>1</v>
      </c>
      <c r="AH112" s="21" t="s">
        <v>6328</v>
      </c>
      <c r="AI112" s="21" t="s">
        <v>6331</v>
      </c>
      <c r="AJ112" t="s">
        <v>4360</v>
      </c>
      <c r="AK112" s="1">
        <v>0</v>
      </c>
      <c r="AL112" s="1">
        <v>0</v>
      </c>
      <c r="AM112" t="s">
        <v>4360</v>
      </c>
      <c r="AN112" s="1">
        <v>0</v>
      </c>
      <c r="AO112" s="1">
        <v>15400000</v>
      </c>
      <c r="AP112" s="1">
        <v>357030</v>
      </c>
      <c r="AQ112" s="1">
        <v>0</v>
      </c>
      <c r="AR112" s="1">
        <v>15757030</v>
      </c>
      <c r="AS112" s="1">
        <v>19290000</v>
      </c>
      <c r="AT112" s="1">
        <v>3532970</v>
      </c>
      <c r="AU112" s="1">
        <v>1832</v>
      </c>
    </row>
    <row r="113" spans="1:47" ht="13.5" customHeight="1" x14ac:dyDescent="0.3">
      <c r="A113" s="1" t="s">
        <v>5554</v>
      </c>
      <c r="B113" s="1" t="s">
        <v>5555</v>
      </c>
      <c r="C113" s="1">
        <v>0</v>
      </c>
      <c r="D113" s="1">
        <v>0</v>
      </c>
      <c r="E113" t="s">
        <v>4360</v>
      </c>
      <c r="F113" t="s">
        <v>4360</v>
      </c>
      <c r="G113" t="s">
        <v>4360</v>
      </c>
      <c r="H113" t="s">
        <v>4360</v>
      </c>
      <c r="I113" s="21" t="s">
        <v>6373</v>
      </c>
      <c r="J113" t="s">
        <v>4360</v>
      </c>
      <c r="K113" s="1" t="s">
        <v>6074</v>
      </c>
      <c r="L113" s="1" t="s">
        <v>264</v>
      </c>
      <c r="M113" s="1" t="s">
        <v>293</v>
      </c>
      <c r="N113" s="1" t="s">
        <v>296</v>
      </c>
      <c r="O113" s="1" t="s">
        <v>5621</v>
      </c>
      <c r="P113" s="1">
        <v>2024</v>
      </c>
      <c r="Q113" s="1">
        <v>81000</v>
      </c>
      <c r="R113" s="1" t="s">
        <v>6075</v>
      </c>
      <c r="S113" s="1" t="s">
        <v>299</v>
      </c>
      <c r="T113" s="1" t="s">
        <v>5557</v>
      </c>
      <c r="U113" s="1" t="s">
        <v>5635</v>
      </c>
      <c r="V113" s="1" t="s">
        <v>5559</v>
      </c>
      <c r="W113" s="1">
        <v>18990000</v>
      </c>
      <c r="X113" s="1" t="s">
        <v>5560</v>
      </c>
      <c r="Y113" s="1">
        <v>35</v>
      </c>
      <c r="Z113" s="1" t="s">
        <v>17</v>
      </c>
      <c r="AA113" s="1" t="s">
        <v>5561</v>
      </c>
      <c r="AB113" s="1" t="s">
        <v>5562</v>
      </c>
      <c r="AC113" s="1" t="s">
        <v>6076</v>
      </c>
      <c r="AD113" s="1" t="s">
        <v>6077</v>
      </c>
      <c r="AE113" s="1" t="s">
        <v>6078</v>
      </c>
      <c r="AF113" s="21" t="s">
        <v>6374</v>
      </c>
      <c r="AG113" s="1">
        <v>1</v>
      </c>
      <c r="AH113" s="21" t="s">
        <v>6374</v>
      </c>
      <c r="AI113" s="21" t="s">
        <v>6375</v>
      </c>
      <c r="AJ113" s="21" t="s">
        <v>4360</v>
      </c>
      <c r="AK113" s="1">
        <v>1</v>
      </c>
      <c r="AL113" s="1">
        <v>0</v>
      </c>
      <c r="AM113" t="s">
        <v>4360</v>
      </c>
      <c r="AN113" s="1">
        <v>0</v>
      </c>
      <c r="AO113" s="1">
        <v>15500000</v>
      </c>
      <c r="AP113" s="1">
        <v>361740</v>
      </c>
      <c r="AQ113" s="1">
        <v>0</v>
      </c>
      <c r="AR113" s="1">
        <v>15861740</v>
      </c>
      <c r="AS113" s="1">
        <v>18990000</v>
      </c>
      <c r="AT113" s="1">
        <v>3128260</v>
      </c>
      <c r="AU113" s="1">
        <v>1647</v>
      </c>
    </row>
    <row r="114" spans="1:47" ht="13.5" customHeight="1" x14ac:dyDescent="0.3">
      <c r="A114" s="1" t="s">
        <v>5554</v>
      </c>
      <c r="B114" s="1" t="s">
        <v>5555</v>
      </c>
      <c r="C114" s="1">
        <v>0</v>
      </c>
      <c r="D114" s="1">
        <v>0</v>
      </c>
      <c r="E114" t="s">
        <v>4360</v>
      </c>
      <c r="F114" t="s">
        <v>4360</v>
      </c>
      <c r="G114" t="s">
        <v>4360</v>
      </c>
      <c r="H114" t="s">
        <v>4360</v>
      </c>
      <c r="I114" s="22" t="s">
        <v>6625</v>
      </c>
      <c r="J114" t="s">
        <v>4360</v>
      </c>
      <c r="K114" s="1" t="s">
        <v>6186</v>
      </c>
      <c r="L114" s="1" t="s">
        <v>157</v>
      </c>
      <c r="M114" s="1" t="s">
        <v>161</v>
      </c>
      <c r="N114" s="1" t="s">
        <v>162</v>
      </c>
      <c r="O114" s="1" t="s">
        <v>6187</v>
      </c>
      <c r="P114" s="1">
        <v>2024</v>
      </c>
      <c r="Q114" s="1">
        <v>53000</v>
      </c>
      <c r="R114" s="1" t="s">
        <v>6188</v>
      </c>
      <c r="S114" s="1" t="s">
        <v>163</v>
      </c>
      <c r="T114" s="1" t="s">
        <v>5557</v>
      </c>
      <c r="U114" s="1" t="s">
        <v>5566</v>
      </c>
      <c r="V114" s="1" t="s">
        <v>5559</v>
      </c>
      <c r="W114" s="1">
        <v>18490000</v>
      </c>
      <c r="X114" s="1" t="s">
        <v>5560</v>
      </c>
      <c r="Y114" s="1">
        <v>33</v>
      </c>
      <c r="Z114" s="1" t="s">
        <v>125</v>
      </c>
      <c r="AA114" s="1" t="s">
        <v>5561</v>
      </c>
      <c r="AB114" s="1" t="s">
        <v>5562</v>
      </c>
      <c r="AC114" s="1" t="s">
        <v>6189</v>
      </c>
      <c r="AD114" s="1" t="s">
        <v>6190</v>
      </c>
      <c r="AE114" s="1" t="s">
        <v>6191</v>
      </c>
      <c r="AF114" s="22" t="s">
        <v>6224</v>
      </c>
      <c r="AG114" s="1">
        <v>1</v>
      </c>
      <c r="AH114" s="22" t="s">
        <v>6224</v>
      </c>
      <c r="AI114" s="22" t="s">
        <v>6626</v>
      </c>
      <c r="AJ114" t="s">
        <v>4360</v>
      </c>
      <c r="AK114" s="1">
        <v>1</v>
      </c>
      <c r="AL114" s="1">
        <v>0</v>
      </c>
      <c r="AM114" t="s">
        <v>4360</v>
      </c>
      <c r="AN114" s="1">
        <v>0</v>
      </c>
      <c r="AO114" s="1">
        <v>15700000</v>
      </c>
      <c r="AP114" s="1">
        <v>0</v>
      </c>
      <c r="AQ114" s="1">
        <v>0</v>
      </c>
      <c r="AR114" s="1">
        <v>15700000</v>
      </c>
      <c r="AS114" s="1">
        <v>18490000</v>
      </c>
      <c r="AT114" s="1">
        <v>2790000</v>
      </c>
      <c r="AU114" s="1">
        <v>1509</v>
      </c>
    </row>
    <row r="115" spans="1:47" ht="13.5" customHeight="1" x14ac:dyDescent="0.3">
      <c r="A115" s="1" t="s">
        <v>5554</v>
      </c>
      <c r="B115" s="1" t="s">
        <v>5589</v>
      </c>
      <c r="C115" s="1">
        <v>0</v>
      </c>
      <c r="D115" s="1">
        <v>0</v>
      </c>
      <c r="E115" t="s">
        <v>4360</v>
      </c>
      <c r="F115" t="s">
        <v>4360</v>
      </c>
      <c r="G115" t="s">
        <v>4360</v>
      </c>
      <c r="H115" t="s">
        <v>4360</v>
      </c>
      <c r="I115" s="22" t="s">
        <v>6651</v>
      </c>
      <c r="J115" t="s">
        <v>4360</v>
      </c>
      <c r="K115" s="1" t="s">
        <v>6652</v>
      </c>
      <c r="L115" s="1" t="s">
        <v>167</v>
      </c>
      <c r="M115" s="1" t="s">
        <v>167</v>
      </c>
      <c r="N115" s="1" t="s">
        <v>6653</v>
      </c>
      <c r="O115" s="1" t="s">
        <v>6654</v>
      </c>
      <c r="P115" s="1">
        <v>2020</v>
      </c>
      <c r="Q115" s="1">
        <v>61894</v>
      </c>
      <c r="R115" s="1" t="s">
        <v>6655</v>
      </c>
      <c r="S115" s="1" t="s">
        <v>401</v>
      </c>
      <c r="T115" s="1" t="s">
        <v>5557</v>
      </c>
      <c r="U115" s="1" t="s">
        <v>5606</v>
      </c>
      <c r="V115" s="1" t="s">
        <v>5559</v>
      </c>
      <c r="W115" s="1">
        <v>7890000</v>
      </c>
      <c r="X115" s="1" t="s">
        <v>5560</v>
      </c>
      <c r="Y115" s="1">
        <v>64</v>
      </c>
      <c r="Z115" s="1" t="s">
        <v>28</v>
      </c>
      <c r="AA115" s="1" t="s">
        <v>5594</v>
      </c>
      <c r="AB115" s="1" t="s">
        <v>6656</v>
      </c>
      <c r="AC115" s="1" t="s">
        <v>6657</v>
      </c>
      <c r="AD115" s="1" t="s">
        <v>6652</v>
      </c>
      <c r="AE115" s="1" t="s">
        <v>6658</v>
      </c>
      <c r="AF115" s="22" t="s">
        <v>6600</v>
      </c>
      <c r="AG115" s="1">
        <v>1</v>
      </c>
      <c r="AH115" s="21" t="s">
        <v>6600</v>
      </c>
      <c r="AI115" s="21" t="s">
        <v>6659</v>
      </c>
      <c r="AJ115" s="21" t="s">
        <v>6458</v>
      </c>
      <c r="AK115" s="1">
        <v>1</v>
      </c>
      <c r="AL115" s="1">
        <v>0</v>
      </c>
      <c r="AM115" t="s">
        <v>4360</v>
      </c>
      <c r="AN115" s="1">
        <v>0</v>
      </c>
      <c r="AO115" s="1">
        <v>5700000</v>
      </c>
      <c r="AP115" s="1">
        <v>0</v>
      </c>
      <c r="AQ115" s="1">
        <v>0</v>
      </c>
      <c r="AR115" s="1">
        <v>5700000</v>
      </c>
      <c r="AS115" s="1">
        <v>7890000</v>
      </c>
      <c r="AT115" s="1">
        <v>2190000</v>
      </c>
      <c r="AU115" s="1">
        <v>2776</v>
      </c>
    </row>
    <row r="116" spans="1:47" ht="13.5" customHeight="1" x14ac:dyDescent="0.3">
      <c r="A116" s="1" t="s">
        <v>5554</v>
      </c>
      <c r="B116" s="1" t="s">
        <v>5555</v>
      </c>
      <c r="C116" s="1">
        <v>0</v>
      </c>
      <c r="D116" s="1">
        <v>0</v>
      </c>
      <c r="E116" t="s">
        <v>4360</v>
      </c>
      <c r="F116" t="s">
        <v>4360</v>
      </c>
      <c r="G116" t="s">
        <v>4360</v>
      </c>
      <c r="H116" t="s">
        <v>4360</v>
      </c>
      <c r="I116" s="22" t="s">
        <v>6517</v>
      </c>
      <c r="J116" t="s">
        <v>4360</v>
      </c>
      <c r="K116" s="1" t="s">
        <v>6079</v>
      </c>
      <c r="L116" s="1" t="s">
        <v>346</v>
      </c>
      <c r="M116" s="1" t="s">
        <v>347</v>
      </c>
      <c r="N116" s="1" t="s">
        <v>350</v>
      </c>
      <c r="O116" s="1" t="s">
        <v>6080</v>
      </c>
      <c r="P116" s="1">
        <v>2022</v>
      </c>
      <c r="Q116" s="1">
        <v>58000</v>
      </c>
      <c r="R116" s="1" t="s">
        <v>6081</v>
      </c>
      <c r="S116" s="1" t="s">
        <v>351</v>
      </c>
      <c r="T116" s="1" t="s">
        <v>5557</v>
      </c>
      <c r="U116" s="1" t="s">
        <v>5663</v>
      </c>
      <c r="V116" s="1" t="s">
        <v>5559</v>
      </c>
      <c r="W116" s="1">
        <v>11290000</v>
      </c>
      <c r="X116" s="1" t="s">
        <v>5560</v>
      </c>
      <c r="Y116" s="1">
        <v>35</v>
      </c>
      <c r="Z116" s="1" t="s">
        <v>28</v>
      </c>
      <c r="AA116" s="1" t="s">
        <v>5561</v>
      </c>
      <c r="AB116" s="1" t="s">
        <v>6082</v>
      </c>
      <c r="AC116" s="1" t="s">
        <v>6083</v>
      </c>
      <c r="AD116" s="1" t="s">
        <v>6084</v>
      </c>
      <c r="AE116" s="1" t="s">
        <v>6085</v>
      </c>
      <c r="AF116" s="22" t="s">
        <v>6374</v>
      </c>
      <c r="AG116" s="1">
        <v>1</v>
      </c>
      <c r="AH116" s="21" t="s">
        <v>6374</v>
      </c>
      <c r="AI116" s="21" t="s">
        <v>6518</v>
      </c>
      <c r="AJ116" t="s">
        <v>4360</v>
      </c>
      <c r="AK116" s="1">
        <v>1</v>
      </c>
      <c r="AL116" s="1">
        <v>0</v>
      </c>
      <c r="AM116" t="s">
        <v>4360</v>
      </c>
      <c r="AN116" s="1">
        <v>0</v>
      </c>
      <c r="AO116" s="1">
        <v>8900000</v>
      </c>
      <c r="AP116" s="1">
        <v>262740</v>
      </c>
      <c r="AQ116" s="1">
        <v>0</v>
      </c>
      <c r="AR116" s="1">
        <v>9162740</v>
      </c>
      <c r="AS116" s="1">
        <v>11290000</v>
      </c>
      <c r="AT116" s="1">
        <v>2127260</v>
      </c>
      <c r="AU116" s="1">
        <v>1884</v>
      </c>
    </row>
    <row r="117" spans="1:47" ht="13.5" customHeight="1" x14ac:dyDescent="0.3">
      <c r="A117" s="1" t="s">
        <v>5554</v>
      </c>
      <c r="B117" s="1" t="s">
        <v>5555</v>
      </c>
      <c r="C117" s="1">
        <v>0</v>
      </c>
      <c r="D117" s="1">
        <v>0</v>
      </c>
      <c r="E117" t="s">
        <v>4360</v>
      </c>
      <c r="F117" t="s">
        <v>4360</v>
      </c>
      <c r="G117" t="s">
        <v>4360</v>
      </c>
      <c r="H117" t="s">
        <v>4360</v>
      </c>
      <c r="I117" s="21" t="s">
        <v>6532</v>
      </c>
      <c r="J117" t="s">
        <v>4360</v>
      </c>
      <c r="K117" s="1" t="s">
        <v>6131</v>
      </c>
      <c r="L117" s="1" t="s">
        <v>93</v>
      </c>
      <c r="M117" s="1" t="s">
        <v>113</v>
      </c>
      <c r="N117" s="1" t="s">
        <v>114</v>
      </c>
      <c r="O117" s="1" t="s">
        <v>6132</v>
      </c>
      <c r="P117" s="1">
        <v>2024</v>
      </c>
      <c r="Q117" s="1">
        <v>48600</v>
      </c>
      <c r="R117" s="1" t="s">
        <v>6133</v>
      </c>
      <c r="S117" s="1" t="s">
        <v>115</v>
      </c>
      <c r="T117" s="1" t="s">
        <v>5557</v>
      </c>
      <c r="U117" s="1" t="s">
        <v>5911</v>
      </c>
      <c r="V117" s="1" t="s">
        <v>5559</v>
      </c>
      <c r="W117" s="1">
        <v>30490000</v>
      </c>
      <c r="X117" s="1" t="s">
        <v>5560</v>
      </c>
      <c r="Y117" s="1">
        <v>216</v>
      </c>
      <c r="Z117" s="1" t="s">
        <v>28</v>
      </c>
      <c r="AA117" s="1" t="s">
        <v>5561</v>
      </c>
      <c r="AB117" s="1" t="s">
        <v>6124</v>
      </c>
      <c r="AC117" s="1" t="s">
        <v>6134</v>
      </c>
      <c r="AD117" s="1" t="s">
        <v>6131</v>
      </c>
      <c r="AE117" s="1" t="s">
        <v>6135</v>
      </c>
      <c r="AF117" s="21" t="s">
        <v>6533</v>
      </c>
      <c r="AG117" s="1">
        <v>1</v>
      </c>
      <c r="AH117" s="21" t="s">
        <v>6533</v>
      </c>
      <c r="AI117" s="21" t="s">
        <v>6534</v>
      </c>
      <c r="AJ117" t="s">
        <v>4360</v>
      </c>
      <c r="AK117" s="1">
        <v>1</v>
      </c>
      <c r="AL117" s="1">
        <v>0</v>
      </c>
      <c r="AM117" t="s">
        <v>4360</v>
      </c>
      <c r="AN117" s="1">
        <v>0</v>
      </c>
      <c r="AO117" s="1">
        <v>27000000</v>
      </c>
      <c r="AP117" s="1">
        <v>531030</v>
      </c>
      <c r="AQ117" s="1">
        <v>0</v>
      </c>
      <c r="AR117" s="1">
        <v>27531030</v>
      </c>
      <c r="AS117" s="1">
        <v>30490000</v>
      </c>
      <c r="AT117" s="1">
        <v>2958970</v>
      </c>
      <c r="AU117" s="1">
        <v>97</v>
      </c>
    </row>
    <row r="118" spans="1:47" ht="13.5" customHeight="1" x14ac:dyDescent="0.3">
      <c r="A118" s="1" t="s">
        <v>5554</v>
      </c>
      <c r="B118" s="1" t="s">
        <v>5555</v>
      </c>
      <c r="C118" s="1">
        <v>0</v>
      </c>
      <c r="D118" s="1">
        <v>0</v>
      </c>
      <c r="E118" t="s">
        <v>4360</v>
      </c>
      <c r="F118" t="s">
        <v>4360</v>
      </c>
      <c r="G118" t="s">
        <v>4360</v>
      </c>
      <c r="H118" t="s">
        <v>4360</v>
      </c>
      <c r="I118" s="21" t="s">
        <v>6627</v>
      </c>
      <c r="J118" t="s">
        <v>4360</v>
      </c>
      <c r="K118" s="1" t="s">
        <v>6628</v>
      </c>
      <c r="L118" s="1" t="s">
        <v>339</v>
      </c>
      <c r="M118" s="1" t="s">
        <v>4277</v>
      </c>
      <c r="N118" s="1" t="s">
        <v>5490</v>
      </c>
      <c r="O118" s="1" t="s">
        <v>6629</v>
      </c>
      <c r="P118" s="1">
        <v>2023</v>
      </c>
      <c r="Q118" s="1">
        <v>41520</v>
      </c>
      <c r="R118" s="1" t="s">
        <v>6630</v>
      </c>
      <c r="S118" s="1" t="s">
        <v>354</v>
      </c>
      <c r="T118" s="1" t="s">
        <v>5557</v>
      </c>
      <c r="U118" s="1" t="s">
        <v>6631</v>
      </c>
      <c r="V118" s="1" t="s">
        <v>5559</v>
      </c>
      <c r="W118" s="1">
        <v>15190000</v>
      </c>
      <c r="X118" s="1" t="s">
        <v>5560</v>
      </c>
      <c r="Y118" s="1">
        <v>15</v>
      </c>
      <c r="Z118" s="1" t="s">
        <v>22</v>
      </c>
      <c r="AA118" s="1" t="s">
        <v>5561</v>
      </c>
      <c r="AB118" s="1" t="s">
        <v>5616</v>
      </c>
      <c r="AC118" s="1" t="s">
        <v>6632</v>
      </c>
      <c r="AD118" s="1" t="s">
        <v>6628</v>
      </c>
      <c r="AE118" s="1" t="s">
        <v>6633</v>
      </c>
      <c r="AF118" s="21" t="s">
        <v>6249</v>
      </c>
      <c r="AG118" s="1">
        <v>1</v>
      </c>
      <c r="AH118" s="21" t="s">
        <v>6249</v>
      </c>
      <c r="AI118" s="21" t="s">
        <v>6634</v>
      </c>
      <c r="AJ118" t="s">
        <v>4360</v>
      </c>
      <c r="AK118" s="1">
        <v>1</v>
      </c>
      <c r="AL118" s="1">
        <v>0</v>
      </c>
      <c r="AM118" t="s">
        <v>4360</v>
      </c>
      <c r="AN118" s="1">
        <v>0</v>
      </c>
      <c r="AO118" s="1">
        <v>12900000</v>
      </c>
      <c r="AP118" s="1">
        <v>0</v>
      </c>
      <c r="AQ118" s="1">
        <v>0</v>
      </c>
      <c r="AR118" s="1">
        <v>12900000</v>
      </c>
      <c r="AS118" s="1">
        <v>15190000</v>
      </c>
      <c r="AT118" s="1">
        <v>2290000</v>
      </c>
      <c r="AU118" s="1">
        <v>1508</v>
      </c>
    </row>
    <row r="119" spans="1:47" ht="13.5" customHeight="1" x14ac:dyDescent="0.3">
      <c r="A119" s="1" t="s">
        <v>5554</v>
      </c>
      <c r="B119" s="1" t="s">
        <v>5580</v>
      </c>
      <c r="C119" s="1">
        <v>0</v>
      </c>
      <c r="D119" s="1">
        <v>0</v>
      </c>
      <c r="E119" t="s">
        <v>4360</v>
      </c>
      <c r="F119" t="s">
        <v>4360</v>
      </c>
      <c r="G119" t="s">
        <v>4360</v>
      </c>
      <c r="H119" t="s">
        <v>4360</v>
      </c>
      <c r="I119" s="21" t="s">
        <v>6586</v>
      </c>
      <c r="J119" t="s">
        <v>4360</v>
      </c>
      <c r="K119" s="1" t="s">
        <v>6125</v>
      </c>
      <c r="L119" s="1" t="s">
        <v>264</v>
      </c>
      <c r="M119" s="1" t="s">
        <v>5239</v>
      </c>
      <c r="N119" s="1" t="s">
        <v>290</v>
      </c>
      <c r="O119" s="1" t="s">
        <v>5703</v>
      </c>
      <c r="P119" s="1">
        <v>2023</v>
      </c>
      <c r="Q119" s="1">
        <v>28000</v>
      </c>
      <c r="R119" s="1" t="s">
        <v>6126</v>
      </c>
      <c r="S119" s="1" t="s">
        <v>292</v>
      </c>
      <c r="T119" s="1" t="s">
        <v>5557</v>
      </c>
      <c r="U119" s="1" t="s">
        <v>6127</v>
      </c>
      <c r="V119" s="1" t="s">
        <v>5559</v>
      </c>
      <c r="W119" s="1">
        <v>19990000</v>
      </c>
      <c r="X119" s="1" t="s">
        <v>5560</v>
      </c>
      <c r="Y119" s="1">
        <v>308</v>
      </c>
      <c r="Z119" s="1" t="s">
        <v>28</v>
      </c>
      <c r="AA119" s="1" t="s">
        <v>5585</v>
      </c>
      <c r="AB119" s="1" t="s">
        <v>5562</v>
      </c>
      <c r="AC119" s="1" t="s">
        <v>6128</v>
      </c>
      <c r="AD119" s="1" t="s">
        <v>6129</v>
      </c>
      <c r="AE119" s="1" t="s">
        <v>6130</v>
      </c>
      <c r="AF119" s="21" t="s">
        <v>6587</v>
      </c>
      <c r="AG119" s="1">
        <v>1</v>
      </c>
      <c r="AH119" s="21" t="s">
        <v>6587</v>
      </c>
      <c r="AI119" s="21" t="s">
        <v>6588</v>
      </c>
      <c r="AJ119" t="s">
        <v>6589</v>
      </c>
      <c r="AK119" s="1">
        <v>1</v>
      </c>
      <c r="AL119" s="1">
        <v>0</v>
      </c>
      <c r="AM119" t="s">
        <v>4360</v>
      </c>
      <c r="AN119" s="1">
        <v>0</v>
      </c>
      <c r="AO119" s="1">
        <v>20600000</v>
      </c>
      <c r="AP119" s="1">
        <v>435030</v>
      </c>
      <c r="AQ119" s="1">
        <v>0</v>
      </c>
      <c r="AR119" s="1">
        <v>21035030</v>
      </c>
      <c r="AS119" s="1">
        <v>19990000</v>
      </c>
      <c r="AT119" s="1">
        <v>-1045030</v>
      </c>
      <c r="AU119" s="1">
        <v>-523</v>
      </c>
    </row>
    <row r="120" spans="1:47" ht="13.5" customHeight="1" x14ac:dyDescent="0.3">
      <c r="A120" s="1" t="s">
        <v>5554</v>
      </c>
      <c r="B120" s="1" t="s">
        <v>5580</v>
      </c>
      <c r="C120" s="1">
        <v>0</v>
      </c>
      <c r="D120" s="1">
        <v>0</v>
      </c>
      <c r="E120" t="s">
        <v>4360</v>
      </c>
      <c r="F120" t="s">
        <v>4360</v>
      </c>
      <c r="G120" t="s">
        <v>4360</v>
      </c>
      <c r="H120" t="s">
        <v>4360</v>
      </c>
      <c r="I120" s="21" t="s">
        <v>6441</v>
      </c>
      <c r="J120" t="s">
        <v>4360</v>
      </c>
      <c r="K120" s="1" t="s">
        <v>5764</v>
      </c>
      <c r="L120" s="1" t="s">
        <v>346</v>
      </c>
      <c r="M120" s="1" t="s">
        <v>347</v>
      </c>
      <c r="N120" s="1" t="s">
        <v>348</v>
      </c>
      <c r="O120" s="1" t="s">
        <v>5765</v>
      </c>
      <c r="P120" s="1">
        <v>2022</v>
      </c>
      <c r="Q120" s="1">
        <v>65000</v>
      </c>
      <c r="R120" s="1" t="s">
        <v>5766</v>
      </c>
      <c r="S120" s="1" t="s">
        <v>349</v>
      </c>
      <c r="T120" s="1" t="s">
        <v>5557</v>
      </c>
      <c r="U120" s="1" t="s">
        <v>5606</v>
      </c>
      <c r="V120" s="1" t="s">
        <v>5559</v>
      </c>
      <c r="W120" s="1">
        <v>13690000</v>
      </c>
      <c r="X120" s="1" t="s">
        <v>5560</v>
      </c>
      <c r="Y120" s="1">
        <v>57</v>
      </c>
      <c r="Z120" s="1" t="s">
        <v>22</v>
      </c>
      <c r="AA120" s="1" t="s">
        <v>5585</v>
      </c>
      <c r="AB120" s="1" t="s">
        <v>5767</v>
      </c>
      <c r="AC120" s="1" t="s">
        <v>6442</v>
      </c>
      <c r="AD120" s="1" t="s">
        <v>5764</v>
      </c>
      <c r="AE120" s="1" t="s">
        <v>5768</v>
      </c>
      <c r="AF120" s="21" t="s">
        <v>6236</v>
      </c>
      <c r="AG120" s="1">
        <v>1</v>
      </c>
      <c r="AH120" s="21" t="s">
        <v>6236</v>
      </c>
      <c r="AI120" s="21" t="s">
        <v>6443</v>
      </c>
      <c r="AJ120" t="s">
        <v>4360</v>
      </c>
      <c r="AK120" s="1">
        <v>1</v>
      </c>
      <c r="AL120" s="1">
        <v>0</v>
      </c>
      <c r="AM120" t="s">
        <v>4360</v>
      </c>
      <c r="AN120" s="1">
        <v>0</v>
      </c>
      <c r="AO120" s="1">
        <v>11500000</v>
      </c>
      <c r="AP120" s="1">
        <v>301740</v>
      </c>
      <c r="AQ120" s="1">
        <v>0</v>
      </c>
      <c r="AR120" s="1">
        <v>11801740</v>
      </c>
      <c r="AS120" s="1">
        <v>13690000</v>
      </c>
      <c r="AT120" s="1">
        <v>1888260</v>
      </c>
      <c r="AU120" s="1">
        <v>1379</v>
      </c>
    </row>
    <row r="121" spans="1:47" ht="13.5" customHeight="1" x14ac:dyDescent="0.3">
      <c r="A121" s="1" t="s">
        <v>5554</v>
      </c>
      <c r="B121" s="1" t="s">
        <v>5610</v>
      </c>
      <c r="C121" s="1">
        <v>0</v>
      </c>
      <c r="D121" s="1">
        <v>0</v>
      </c>
      <c r="E121" t="s">
        <v>4360</v>
      </c>
      <c r="F121" t="s">
        <v>4360</v>
      </c>
      <c r="G121" t="s">
        <v>4360</v>
      </c>
      <c r="H121" t="s">
        <v>4360</v>
      </c>
      <c r="I121" s="21" t="s">
        <v>6240</v>
      </c>
      <c r="J121" t="s">
        <v>4360</v>
      </c>
      <c r="K121" s="1" t="s">
        <v>5846</v>
      </c>
      <c r="L121" s="1" t="s">
        <v>195</v>
      </c>
      <c r="M121" s="1" t="s">
        <v>198</v>
      </c>
      <c r="N121" s="1" t="s">
        <v>199</v>
      </c>
      <c r="O121" s="1" t="s">
        <v>5847</v>
      </c>
      <c r="P121" s="1">
        <v>2013</v>
      </c>
      <c r="Q121" s="1">
        <v>160000</v>
      </c>
      <c r="R121" s="1" t="s">
        <v>5848</v>
      </c>
      <c r="S121" s="1" t="s">
        <v>200</v>
      </c>
      <c r="T121" s="1" t="s">
        <v>5557</v>
      </c>
      <c r="U121" s="1" t="s">
        <v>5803</v>
      </c>
      <c r="V121" s="1" t="s">
        <v>5559</v>
      </c>
      <c r="W121" s="1">
        <v>11490000</v>
      </c>
      <c r="X121" s="1" t="s">
        <v>5560</v>
      </c>
      <c r="Y121" s="1">
        <v>1455</v>
      </c>
      <c r="Z121" s="1" t="s">
        <v>67</v>
      </c>
      <c r="AA121" s="1" t="s">
        <v>5611</v>
      </c>
      <c r="AB121" t="s">
        <v>5849</v>
      </c>
      <c r="AC121" s="1" t="s">
        <v>5850</v>
      </c>
      <c r="AD121" s="1" t="s">
        <v>5846</v>
      </c>
      <c r="AE121" s="1" t="s">
        <v>5851</v>
      </c>
      <c r="AF121" s="21" t="s">
        <v>6241</v>
      </c>
      <c r="AG121" s="1">
        <v>1</v>
      </c>
      <c r="AH121" s="21" t="s">
        <v>6241</v>
      </c>
      <c r="AI121" s="21" t="s">
        <v>6242</v>
      </c>
      <c r="AJ121" t="s">
        <v>4360</v>
      </c>
      <c r="AK121" s="1">
        <v>0</v>
      </c>
      <c r="AL121" s="1">
        <v>0</v>
      </c>
      <c r="AM121" t="s">
        <v>4360</v>
      </c>
      <c r="AN121" s="1">
        <v>0</v>
      </c>
      <c r="AO121" s="1">
        <v>13800000</v>
      </c>
      <c r="AP121" s="1">
        <v>513046</v>
      </c>
      <c r="AQ121" s="1">
        <v>0</v>
      </c>
      <c r="AR121" s="1">
        <v>14313046</v>
      </c>
      <c r="AS121" s="1">
        <v>11490000</v>
      </c>
      <c r="AT121" s="1">
        <v>-2823046</v>
      </c>
      <c r="AU121" s="1">
        <v>-2457</v>
      </c>
    </row>
    <row r="122" spans="1:47" ht="13.5" customHeight="1" x14ac:dyDescent="0.3">
      <c r="A122" s="1" t="s">
        <v>5554</v>
      </c>
      <c r="B122" s="1" t="s">
        <v>5555</v>
      </c>
      <c r="C122" s="1">
        <v>0</v>
      </c>
      <c r="D122" s="1">
        <v>0</v>
      </c>
      <c r="E122" t="s">
        <v>4360</v>
      </c>
      <c r="F122" t="s">
        <v>4360</v>
      </c>
      <c r="G122" t="s">
        <v>4360</v>
      </c>
      <c r="H122" t="s">
        <v>4360</v>
      </c>
      <c r="I122" s="21" t="s">
        <v>6400</v>
      </c>
      <c r="J122" t="s">
        <v>4360</v>
      </c>
      <c r="K122" s="1" t="s">
        <v>6136</v>
      </c>
      <c r="L122" s="1" t="s">
        <v>264</v>
      </c>
      <c r="M122" s="1" t="s">
        <v>5203</v>
      </c>
      <c r="N122" s="1" t="s">
        <v>282</v>
      </c>
      <c r="O122" s="1" t="s">
        <v>5760</v>
      </c>
      <c r="P122" s="1">
        <v>2023</v>
      </c>
      <c r="Q122" s="1">
        <v>25000</v>
      </c>
      <c r="R122" s="1" t="s">
        <v>6137</v>
      </c>
      <c r="S122" s="1" t="s">
        <v>283</v>
      </c>
      <c r="T122" s="1" t="s">
        <v>5557</v>
      </c>
      <c r="U122" s="1" t="s">
        <v>5584</v>
      </c>
      <c r="V122" s="1" t="s">
        <v>5559</v>
      </c>
      <c r="W122" s="1">
        <v>16990000</v>
      </c>
      <c r="X122" s="1" t="s">
        <v>5560</v>
      </c>
      <c r="Y122" s="1">
        <v>185</v>
      </c>
      <c r="Z122" s="1" t="s">
        <v>28</v>
      </c>
      <c r="AA122" s="1" t="s">
        <v>5561</v>
      </c>
      <c r="AB122" t="s">
        <v>5616</v>
      </c>
      <c r="AC122" s="1" t="s">
        <v>6138</v>
      </c>
      <c r="AD122" s="1" t="s">
        <v>6136</v>
      </c>
      <c r="AE122" s="1" t="s">
        <v>6139</v>
      </c>
      <c r="AF122" s="21" t="s">
        <v>6401</v>
      </c>
      <c r="AG122" s="1">
        <v>1</v>
      </c>
      <c r="AH122" s="21" t="s">
        <v>6402</v>
      </c>
      <c r="AI122" s="21" t="s">
        <v>6402</v>
      </c>
      <c r="AJ122" t="s">
        <v>6308</v>
      </c>
      <c r="AK122" s="1">
        <v>3</v>
      </c>
      <c r="AL122" s="1">
        <v>0</v>
      </c>
      <c r="AM122" t="s">
        <v>4360</v>
      </c>
      <c r="AN122" s="1">
        <v>0</v>
      </c>
      <c r="AO122" s="1">
        <v>16000000</v>
      </c>
      <c r="AP122" s="1">
        <v>366030</v>
      </c>
      <c r="AQ122" s="1">
        <v>0</v>
      </c>
      <c r="AR122" s="1">
        <v>16366030</v>
      </c>
      <c r="AS122" s="1">
        <v>16990000</v>
      </c>
      <c r="AT122" s="1">
        <v>623970</v>
      </c>
      <c r="AU122" s="1">
        <v>367</v>
      </c>
    </row>
    <row r="123" spans="1:47" ht="13.5" customHeight="1" x14ac:dyDescent="0.3">
      <c r="A123" s="1" t="s">
        <v>5554</v>
      </c>
      <c r="B123" s="1" t="s">
        <v>5555</v>
      </c>
      <c r="C123" s="1">
        <v>0</v>
      </c>
      <c r="D123" s="1">
        <v>0</v>
      </c>
      <c r="E123" t="s">
        <v>4360</v>
      </c>
      <c r="F123" t="s">
        <v>4360</v>
      </c>
      <c r="G123" t="s">
        <v>4360</v>
      </c>
      <c r="H123" t="s">
        <v>4360</v>
      </c>
      <c r="I123" s="21" t="s">
        <v>6508</v>
      </c>
      <c r="J123" t="s">
        <v>4360</v>
      </c>
      <c r="K123" s="1" t="s">
        <v>5759</v>
      </c>
      <c r="L123" s="1" t="s">
        <v>264</v>
      </c>
      <c r="M123" s="1" t="s">
        <v>5203</v>
      </c>
      <c r="N123" s="1" t="s">
        <v>282</v>
      </c>
      <c r="O123" s="1" t="s">
        <v>5760</v>
      </c>
      <c r="P123" s="1">
        <v>2023</v>
      </c>
      <c r="Q123" s="1">
        <v>63000</v>
      </c>
      <c r="R123" s="1" t="s">
        <v>5761</v>
      </c>
      <c r="S123" s="1" t="s">
        <v>285</v>
      </c>
      <c r="T123" s="1" t="s">
        <v>5557</v>
      </c>
      <c r="U123" s="1" t="s">
        <v>5576</v>
      </c>
      <c r="V123" s="1" t="s">
        <v>5559</v>
      </c>
      <c r="W123" s="1">
        <v>16490000</v>
      </c>
      <c r="X123" s="1" t="s">
        <v>5560</v>
      </c>
      <c r="Y123" s="1">
        <v>57</v>
      </c>
      <c r="Z123" s="1" t="s">
        <v>17</v>
      </c>
      <c r="AA123" s="1" t="s">
        <v>5561</v>
      </c>
      <c r="AB123" s="1" t="s">
        <v>5562</v>
      </c>
      <c r="AC123" s="1" t="s">
        <v>5762</v>
      </c>
      <c r="AD123" s="1" t="s">
        <v>5759</v>
      </c>
      <c r="AE123" s="1" t="s">
        <v>5763</v>
      </c>
      <c r="AF123" s="21" t="s">
        <v>6236</v>
      </c>
      <c r="AG123" s="1">
        <v>1</v>
      </c>
      <c r="AH123" s="21" t="s">
        <v>6236</v>
      </c>
      <c r="AI123" s="21" t="s">
        <v>6509</v>
      </c>
      <c r="AJ123" t="s">
        <v>6308</v>
      </c>
      <c r="AK123" s="1">
        <v>1</v>
      </c>
      <c r="AL123" s="1">
        <v>0</v>
      </c>
      <c r="AM123" t="s">
        <v>4360</v>
      </c>
      <c r="AN123" s="1">
        <v>0</v>
      </c>
      <c r="AO123" s="1">
        <v>14000000</v>
      </c>
      <c r="AP123" s="1">
        <v>339240</v>
      </c>
      <c r="AQ123" s="1">
        <v>0</v>
      </c>
      <c r="AR123" s="1">
        <v>14339240</v>
      </c>
      <c r="AS123" s="1">
        <v>16490000</v>
      </c>
      <c r="AT123" s="1">
        <v>2150760</v>
      </c>
      <c r="AU123" s="1">
        <v>1304</v>
      </c>
    </row>
    <row r="124" spans="1:47" ht="13.5" customHeight="1" x14ac:dyDescent="0.3">
      <c r="A124" s="1" t="s">
        <v>5554</v>
      </c>
      <c r="B124" s="1" t="s">
        <v>5610</v>
      </c>
      <c r="C124" s="1">
        <v>0</v>
      </c>
      <c r="D124" s="1">
        <v>0</v>
      </c>
      <c r="E124" t="s">
        <v>4360</v>
      </c>
      <c r="F124" t="s">
        <v>4360</v>
      </c>
      <c r="G124" t="s">
        <v>4360</v>
      </c>
      <c r="H124" t="s">
        <v>4360</v>
      </c>
      <c r="I124" s="21" t="s">
        <v>6635</v>
      </c>
      <c r="J124" t="s">
        <v>4360</v>
      </c>
      <c r="K124" s="1" t="s">
        <v>6032</v>
      </c>
      <c r="L124" s="1" t="s">
        <v>242</v>
      </c>
      <c r="M124" s="1" t="s">
        <v>254</v>
      </c>
      <c r="N124" s="1" t="s">
        <v>255</v>
      </c>
      <c r="O124" s="1" t="s">
        <v>6033</v>
      </c>
      <c r="P124" s="1">
        <v>2021</v>
      </c>
      <c r="Q124" s="1">
        <v>85390</v>
      </c>
      <c r="R124" s="1" t="s">
        <v>6034</v>
      </c>
      <c r="S124" s="1" t="s">
        <v>256</v>
      </c>
      <c r="T124" s="1" t="s">
        <v>5557</v>
      </c>
      <c r="U124" s="1" t="s">
        <v>6035</v>
      </c>
      <c r="V124" s="1" t="s">
        <v>5559</v>
      </c>
      <c r="W124" s="1">
        <v>9790000</v>
      </c>
      <c r="X124" s="1" t="s">
        <v>5560</v>
      </c>
      <c r="Y124" s="1">
        <v>312</v>
      </c>
      <c r="Z124" s="1" t="s">
        <v>43</v>
      </c>
      <c r="AA124" s="1" t="s">
        <v>5611</v>
      </c>
      <c r="AB124" s="1" t="s">
        <v>6036</v>
      </c>
      <c r="AC124" s="1" t="s">
        <v>6037</v>
      </c>
      <c r="AD124" s="1" t="s">
        <v>6032</v>
      </c>
      <c r="AE124" s="1" t="s">
        <v>6038</v>
      </c>
      <c r="AF124" s="21" t="s">
        <v>6636</v>
      </c>
      <c r="AG124" s="1">
        <v>1</v>
      </c>
      <c r="AH124" s="21" t="s">
        <v>6637</v>
      </c>
      <c r="AI124" s="21" t="s">
        <v>6637</v>
      </c>
      <c r="AJ124" s="21" t="s">
        <v>6425</v>
      </c>
      <c r="AK124" s="1">
        <v>1</v>
      </c>
      <c r="AL124" s="1">
        <v>0</v>
      </c>
      <c r="AM124" t="s">
        <v>4360</v>
      </c>
      <c r="AN124" s="1">
        <v>0</v>
      </c>
      <c r="AO124" s="1">
        <v>7700000</v>
      </c>
      <c r="AP124" s="1">
        <v>241530</v>
      </c>
      <c r="AQ124" s="1">
        <v>0</v>
      </c>
      <c r="AR124" s="1">
        <v>7941530</v>
      </c>
      <c r="AS124" s="1">
        <v>9790000</v>
      </c>
      <c r="AT124" s="1">
        <v>1848470</v>
      </c>
      <c r="AU124" s="1">
        <v>1888</v>
      </c>
    </row>
    <row r="125" spans="1:47" ht="13.5" customHeight="1" x14ac:dyDescent="0.3">
      <c r="A125" s="1" t="s">
        <v>5554</v>
      </c>
      <c r="B125" s="1" t="s">
        <v>5555</v>
      </c>
      <c r="C125" s="1">
        <v>0</v>
      </c>
      <c r="D125" s="1">
        <v>0</v>
      </c>
      <c r="E125" t="s">
        <v>4360</v>
      </c>
      <c r="F125" t="s">
        <v>4360</v>
      </c>
      <c r="G125" t="s">
        <v>4360</v>
      </c>
      <c r="H125" t="s">
        <v>4360</v>
      </c>
      <c r="I125" s="21" t="s">
        <v>6426</v>
      </c>
      <c r="J125" t="s">
        <v>4360</v>
      </c>
      <c r="K125" s="1" t="s">
        <v>6427</v>
      </c>
      <c r="L125" s="1" t="s">
        <v>242</v>
      </c>
      <c r="M125" s="1" t="s">
        <v>3303</v>
      </c>
      <c r="N125" s="1" t="s">
        <v>6428</v>
      </c>
      <c r="O125" s="1" t="s">
        <v>6429</v>
      </c>
      <c r="P125" s="1">
        <v>2024</v>
      </c>
      <c r="Q125" s="1">
        <v>35000</v>
      </c>
      <c r="R125" s="1" t="s">
        <v>6430</v>
      </c>
      <c r="S125" s="1" t="s">
        <v>6431</v>
      </c>
      <c r="T125" s="1" t="s">
        <v>5557</v>
      </c>
      <c r="U125" s="1" t="s">
        <v>6432</v>
      </c>
      <c r="V125" s="1" t="s">
        <v>5559</v>
      </c>
      <c r="W125" s="1">
        <v>35990000</v>
      </c>
      <c r="X125" s="1" t="s">
        <v>5560</v>
      </c>
      <c r="Y125" s="1">
        <v>11</v>
      </c>
      <c r="Z125" s="1" t="s">
        <v>36</v>
      </c>
      <c r="AA125" s="1" t="s">
        <v>5561</v>
      </c>
      <c r="AB125" t="s">
        <v>6433</v>
      </c>
      <c r="AC125" s="1" t="s">
        <v>6434</v>
      </c>
      <c r="AD125" s="1" t="s">
        <v>6427</v>
      </c>
      <c r="AE125" s="1" t="s">
        <v>6435</v>
      </c>
      <c r="AF125" s="21" t="s">
        <v>6284</v>
      </c>
      <c r="AG125" s="1">
        <v>1</v>
      </c>
      <c r="AH125" s="21" t="s">
        <v>6284</v>
      </c>
      <c r="AI125" s="21" t="s">
        <v>6436</v>
      </c>
      <c r="AJ125" s="21" t="s">
        <v>4360</v>
      </c>
      <c r="AK125" s="1">
        <v>1</v>
      </c>
      <c r="AL125" s="1">
        <v>0</v>
      </c>
      <c r="AM125" t="s">
        <v>4360</v>
      </c>
      <c r="AN125" s="1">
        <v>0</v>
      </c>
      <c r="AO125" s="1">
        <v>29300000</v>
      </c>
      <c r="AP125" s="1">
        <v>0</v>
      </c>
      <c r="AQ125" s="1">
        <v>0</v>
      </c>
      <c r="AR125" s="1">
        <v>29300000</v>
      </c>
      <c r="AS125" s="1">
        <v>35990000</v>
      </c>
      <c r="AT125" s="1">
        <v>6690000</v>
      </c>
      <c r="AU125" s="1">
        <v>1859</v>
      </c>
    </row>
    <row r="126" spans="1:47" ht="13.5" customHeight="1" x14ac:dyDescent="0.3">
      <c r="A126" s="1" t="s">
        <v>5554</v>
      </c>
      <c r="B126" s="1" t="s">
        <v>5610</v>
      </c>
      <c r="C126" s="1">
        <v>0</v>
      </c>
      <c r="D126" s="1">
        <v>0</v>
      </c>
      <c r="E126" t="s">
        <v>4360</v>
      </c>
      <c r="F126" t="s">
        <v>4360</v>
      </c>
      <c r="G126" t="s">
        <v>4360</v>
      </c>
      <c r="H126" t="s">
        <v>4360</v>
      </c>
      <c r="I126" s="21" t="s">
        <v>6422</v>
      </c>
      <c r="J126" t="s">
        <v>4360</v>
      </c>
      <c r="K126" s="1" t="s">
        <v>6045</v>
      </c>
      <c r="L126" s="1" t="s">
        <v>48</v>
      </c>
      <c r="M126" s="1" t="s">
        <v>49</v>
      </c>
      <c r="N126" s="1" t="s">
        <v>50</v>
      </c>
      <c r="O126" s="1" t="s">
        <v>6046</v>
      </c>
      <c r="P126" s="1">
        <v>2017</v>
      </c>
      <c r="Q126" s="1">
        <v>75000</v>
      </c>
      <c r="R126" s="1" t="s">
        <v>6047</v>
      </c>
      <c r="S126" s="1" t="s">
        <v>51</v>
      </c>
      <c r="T126" s="1" t="s">
        <v>5557</v>
      </c>
      <c r="U126" s="1" t="s">
        <v>5733</v>
      </c>
      <c r="V126" s="1" t="s">
        <v>5559</v>
      </c>
      <c r="W126" s="1">
        <v>9590000</v>
      </c>
      <c r="X126" s="1" t="s">
        <v>5560</v>
      </c>
      <c r="Y126" s="1">
        <v>279</v>
      </c>
      <c r="Z126" s="1" t="s">
        <v>43</v>
      </c>
      <c r="AA126" s="1" t="s">
        <v>5611</v>
      </c>
      <c r="AB126" s="1" t="s">
        <v>4360</v>
      </c>
      <c r="AC126" s="1" t="s">
        <v>6048</v>
      </c>
      <c r="AD126" s="1" t="s">
        <v>6045</v>
      </c>
      <c r="AE126" s="1" t="s">
        <v>6049</v>
      </c>
      <c r="AF126" s="21" t="s">
        <v>6423</v>
      </c>
      <c r="AG126" s="1">
        <v>1</v>
      </c>
      <c r="AH126" s="21" t="s">
        <v>6424</v>
      </c>
      <c r="AI126" s="21" t="s">
        <v>6424</v>
      </c>
      <c r="AJ126" t="s">
        <v>6425</v>
      </c>
      <c r="AK126" s="1">
        <v>1</v>
      </c>
      <c r="AL126" s="1">
        <v>0</v>
      </c>
      <c r="AM126" t="s">
        <v>4360</v>
      </c>
      <c r="AN126" s="1">
        <v>0</v>
      </c>
      <c r="AO126" s="1">
        <v>7300000</v>
      </c>
      <c r="AP126" s="1">
        <v>235530</v>
      </c>
      <c r="AQ126" s="1">
        <v>0</v>
      </c>
      <c r="AR126" s="1">
        <v>7535530</v>
      </c>
      <c r="AS126" s="1">
        <v>9590000</v>
      </c>
      <c r="AT126" s="1">
        <v>2054470</v>
      </c>
      <c r="AU126" s="1">
        <v>2142</v>
      </c>
    </row>
    <row r="127" spans="1:47" ht="13.5" customHeight="1" x14ac:dyDescent="0.3">
      <c r="A127" s="1" t="s">
        <v>5554</v>
      </c>
      <c r="B127" s="1" t="s">
        <v>5580</v>
      </c>
      <c r="C127" s="1">
        <v>0</v>
      </c>
      <c r="D127" s="1">
        <v>0</v>
      </c>
      <c r="E127" t="s">
        <v>4360</v>
      </c>
      <c r="F127" t="s">
        <v>4360</v>
      </c>
      <c r="G127" t="s">
        <v>4360</v>
      </c>
      <c r="H127" t="s">
        <v>4360</v>
      </c>
      <c r="I127" s="21" t="s">
        <v>6553</v>
      </c>
      <c r="J127" t="s">
        <v>4360</v>
      </c>
      <c r="K127" s="1" t="s">
        <v>5956</v>
      </c>
      <c r="L127" s="1" t="s">
        <v>72</v>
      </c>
      <c r="M127" s="1" t="s">
        <v>86</v>
      </c>
      <c r="N127" s="1" t="s">
        <v>87</v>
      </c>
      <c r="O127" s="1" t="s">
        <v>5957</v>
      </c>
      <c r="P127" s="1">
        <v>2025</v>
      </c>
      <c r="Q127" s="1">
        <v>37000</v>
      </c>
      <c r="R127" s="1" t="s">
        <v>5958</v>
      </c>
      <c r="S127" s="1" t="s">
        <v>88</v>
      </c>
      <c r="T127" s="1" t="s">
        <v>5557</v>
      </c>
      <c r="U127" s="1" t="s">
        <v>5733</v>
      </c>
      <c r="V127" s="1" t="s">
        <v>5559</v>
      </c>
      <c r="W127" s="1">
        <v>16590000</v>
      </c>
      <c r="X127" s="1" t="s">
        <v>5560</v>
      </c>
      <c r="Y127" s="1">
        <v>76</v>
      </c>
      <c r="Z127" s="1" t="s">
        <v>28</v>
      </c>
      <c r="AA127" s="1" t="s">
        <v>5585</v>
      </c>
      <c r="AB127" s="1" t="s">
        <v>5959</v>
      </c>
      <c r="AC127" s="1" t="s">
        <v>5960</v>
      </c>
      <c r="AD127" s="1" t="s">
        <v>5956</v>
      </c>
      <c r="AE127" s="1" t="s">
        <v>5961</v>
      </c>
      <c r="AF127" s="21" t="s">
        <v>6272</v>
      </c>
      <c r="AG127" s="1">
        <v>1</v>
      </c>
      <c r="AH127" s="21" t="s">
        <v>6272</v>
      </c>
      <c r="AI127" s="21" t="s">
        <v>6554</v>
      </c>
      <c r="AJ127" t="s">
        <v>4360</v>
      </c>
      <c r="AK127" s="1">
        <v>1</v>
      </c>
      <c r="AL127" s="1">
        <v>0</v>
      </c>
      <c r="AM127" t="s">
        <v>4360</v>
      </c>
      <c r="AN127" s="1">
        <v>0</v>
      </c>
      <c r="AO127" s="1">
        <v>13900000</v>
      </c>
      <c r="AP127" s="1">
        <v>334530</v>
      </c>
      <c r="AQ127" s="1">
        <v>0</v>
      </c>
      <c r="AR127" s="1">
        <v>14234530</v>
      </c>
      <c r="AS127" s="1">
        <v>16590000</v>
      </c>
      <c r="AT127" s="1">
        <v>2355470</v>
      </c>
      <c r="AU127" s="1">
        <v>142</v>
      </c>
    </row>
    <row r="128" spans="1:47" ht="13.5" customHeight="1" x14ac:dyDescent="0.3">
      <c r="A128" s="1" t="s">
        <v>5554</v>
      </c>
      <c r="B128" s="1" t="s">
        <v>5555</v>
      </c>
      <c r="C128" s="1">
        <v>0</v>
      </c>
      <c r="D128" s="1">
        <v>0</v>
      </c>
      <c r="E128" t="s">
        <v>4360</v>
      </c>
      <c r="F128" t="s">
        <v>4360</v>
      </c>
      <c r="G128" t="s">
        <v>4360</v>
      </c>
      <c r="H128" t="s">
        <v>4360</v>
      </c>
      <c r="I128" s="21" t="s">
        <v>6618</v>
      </c>
      <c r="J128" t="s">
        <v>4360</v>
      </c>
      <c r="K128" s="1" t="s">
        <v>5668</v>
      </c>
      <c r="L128" s="1" t="s">
        <v>30</v>
      </c>
      <c r="M128" s="1" t="s">
        <v>41</v>
      </c>
      <c r="N128" s="1" t="s">
        <v>42</v>
      </c>
      <c r="O128" s="1" t="s">
        <v>5669</v>
      </c>
      <c r="P128" s="1">
        <v>2022</v>
      </c>
      <c r="Q128" s="1">
        <v>56079</v>
      </c>
      <c r="R128" s="1" t="s">
        <v>5670</v>
      </c>
      <c r="S128" s="1" t="s">
        <v>44</v>
      </c>
      <c r="T128" s="1" t="s">
        <v>5557</v>
      </c>
      <c r="U128" s="1" t="s">
        <v>5671</v>
      </c>
      <c r="V128" s="1" t="s">
        <v>5559</v>
      </c>
      <c r="W128" s="1">
        <v>11990000</v>
      </c>
      <c r="X128" s="1" t="s">
        <v>5560</v>
      </c>
      <c r="Y128" s="1">
        <v>118</v>
      </c>
      <c r="Z128" s="1" t="s">
        <v>43</v>
      </c>
      <c r="AA128" s="1" t="s">
        <v>5561</v>
      </c>
      <c r="AB128" s="1" t="s">
        <v>5672</v>
      </c>
      <c r="AC128" s="1" t="s">
        <v>5673</v>
      </c>
      <c r="AD128" s="1" t="s">
        <v>5668</v>
      </c>
      <c r="AE128" s="1" t="s">
        <v>5674</v>
      </c>
      <c r="AF128" s="21" t="s">
        <v>6448</v>
      </c>
      <c r="AG128" s="1">
        <v>1</v>
      </c>
      <c r="AH128" s="21" t="s">
        <v>6619</v>
      </c>
      <c r="AI128" s="21" t="s">
        <v>6619</v>
      </c>
      <c r="AJ128" s="21" t="s">
        <v>6620</v>
      </c>
      <c r="AK128" s="1">
        <v>1</v>
      </c>
      <c r="AL128" s="1">
        <v>0</v>
      </c>
      <c r="AM128" t="s">
        <v>4360</v>
      </c>
      <c r="AN128" s="1">
        <v>1</v>
      </c>
      <c r="AO128" s="1">
        <v>10000000</v>
      </c>
      <c r="AP128" s="1">
        <v>276030</v>
      </c>
      <c r="AQ128" s="1">
        <v>0</v>
      </c>
      <c r="AR128" s="1">
        <v>10276030</v>
      </c>
      <c r="AS128" s="1">
        <v>11990000</v>
      </c>
      <c r="AT128" s="1">
        <v>1713970</v>
      </c>
      <c r="AU128" s="1">
        <v>1429</v>
      </c>
    </row>
    <row r="129" spans="1:47" ht="13.5" customHeight="1" x14ac:dyDescent="0.3">
      <c r="A129" s="1" t="s">
        <v>5554</v>
      </c>
      <c r="B129" s="1" t="s">
        <v>5555</v>
      </c>
      <c r="C129" s="1">
        <v>0</v>
      </c>
      <c r="D129" s="1">
        <v>0</v>
      </c>
      <c r="E129" t="s">
        <v>4360</v>
      </c>
      <c r="F129" t="s">
        <v>4360</v>
      </c>
      <c r="G129" t="s">
        <v>4360</v>
      </c>
      <c r="H129" t="s">
        <v>4360</v>
      </c>
      <c r="I129" s="22" t="s">
        <v>6575</v>
      </c>
      <c r="J129" t="s">
        <v>4360</v>
      </c>
      <c r="K129" s="1" t="s">
        <v>5652</v>
      </c>
      <c r="L129" s="1" t="s">
        <v>229</v>
      </c>
      <c r="M129" s="1" t="s">
        <v>233</v>
      </c>
      <c r="N129" s="1" t="s">
        <v>234</v>
      </c>
      <c r="O129" s="1" t="s">
        <v>5653</v>
      </c>
      <c r="P129" s="1">
        <v>2025</v>
      </c>
      <c r="Q129" s="1">
        <v>19678</v>
      </c>
      <c r="R129" s="1" t="s">
        <v>5654</v>
      </c>
      <c r="S129" s="1" t="s">
        <v>235</v>
      </c>
      <c r="T129" s="1" t="s">
        <v>5557</v>
      </c>
      <c r="U129" s="1" t="s">
        <v>5655</v>
      </c>
      <c r="V129" s="1" t="s">
        <v>5559</v>
      </c>
      <c r="W129" s="1">
        <v>36990000</v>
      </c>
      <c r="X129" s="1" t="s">
        <v>5560</v>
      </c>
      <c r="Y129" s="1">
        <v>242</v>
      </c>
      <c r="Z129" s="1" t="s">
        <v>28</v>
      </c>
      <c r="AA129" s="1" t="s">
        <v>5561</v>
      </c>
      <c r="AB129" s="1" t="s">
        <v>5656</v>
      </c>
      <c r="AC129" s="1" t="s">
        <v>5657</v>
      </c>
      <c r="AD129" s="1" t="s">
        <v>5658</v>
      </c>
      <c r="AE129" s="1" t="s">
        <v>5659</v>
      </c>
      <c r="AF129" s="22" t="s">
        <v>6352</v>
      </c>
      <c r="AG129" s="1">
        <v>1</v>
      </c>
      <c r="AH129" s="21" t="s">
        <v>6576</v>
      </c>
      <c r="AI129" s="21" t="s">
        <v>6576</v>
      </c>
      <c r="AJ129" s="21" t="s">
        <v>4360</v>
      </c>
      <c r="AK129" s="1">
        <v>1</v>
      </c>
      <c r="AL129" s="1">
        <v>0</v>
      </c>
      <c r="AM129" t="s">
        <v>4360</v>
      </c>
      <c r="AN129" s="1">
        <v>0</v>
      </c>
      <c r="AO129" s="1">
        <v>38000000</v>
      </c>
      <c r="AP129" s="1">
        <v>1283058</v>
      </c>
      <c r="AQ129" s="1">
        <v>0</v>
      </c>
      <c r="AR129" s="1">
        <v>39283058</v>
      </c>
      <c r="AS129" s="1">
        <v>36990000</v>
      </c>
      <c r="AT129" s="1">
        <v>-2293058</v>
      </c>
      <c r="AU129" s="1">
        <v>-62</v>
      </c>
    </row>
    <row r="130" spans="1:47" ht="13.5" customHeight="1" x14ac:dyDescent="0.3">
      <c r="A130" s="1" t="s">
        <v>5554</v>
      </c>
      <c r="B130" s="1" t="s">
        <v>5580</v>
      </c>
      <c r="C130" s="1">
        <v>0</v>
      </c>
      <c r="D130" s="1">
        <v>0</v>
      </c>
      <c r="E130" t="s">
        <v>4360</v>
      </c>
      <c r="F130" t="s">
        <v>4360</v>
      </c>
      <c r="G130" t="s">
        <v>4360</v>
      </c>
      <c r="H130" t="s">
        <v>4360</v>
      </c>
      <c r="I130" s="22" t="s">
        <v>8897</v>
      </c>
      <c r="J130" t="s">
        <v>4360</v>
      </c>
      <c r="K130" s="1" t="s">
        <v>8898</v>
      </c>
      <c r="L130" s="1" t="s">
        <v>30</v>
      </c>
      <c r="M130" s="1" t="s">
        <v>2908</v>
      </c>
      <c r="N130" s="1" t="s">
        <v>4441</v>
      </c>
      <c r="O130" s="1" t="s">
        <v>8899</v>
      </c>
      <c r="P130" s="1">
        <v>2023</v>
      </c>
      <c r="Q130" s="1">
        <v>54200</v>
      </c>
      <c r="R130" s="1" t="s">
        <v>8900</v>
      </c>
      <c r="S130" s="1" t="s">
        <v>6670</v>
      </c>
      <c r="T130" s="1" t="s">
        <v>5557</v>
      </c>
      <c r="U130" s="1" t="s">
        <v>5803</v>
      </c>
      <c r="V130" s="1" t="s">
        <v>5559</v>
      </c>
      <c r="W130" s="1">
        <v>8490000</v>
      </c>
      <c r="X130" s="1" t="s">
        <v>5560</v>
      </c>
      <c r="Y130" s="1">
        <v>3</v>
      </c>
      <c r="Z130" s="1" t="s">
        <v>17</v>
      </c>
      <c r="AA130" s="1" t="s">
        <v>5585</v>
      </c>
      <c r="AB130" s="1" t="s">
        <v>8901</v>
      </c>
      <c r="AC130" s="1" t="s">
        <v>8902</v>
      </c>
      <c r="AD130" s="1" t="s">
        <v>8898</v>
      </c>
      <c r="AE130" s="1" t="s">
        <v>8903</v>
      </c>
      <c r="AF130" s="22" t="s">
        <v>8840</v>
      </c>
      <c r="AG130" s="1">
        <v>1</v>
      </c>
      <c r="AH130" s="21" t="s">
        <v>8840</v>
      </c>
      <c r="AI130" s="21" t="s">
        <v>8904</v>
      </c>
      <c r="AJ130" s="21" t="s">
        <v>8896</v>
      </c>
      <c r="AK130" s="1">
        <v>1</v>
      </c>
      <c r="AL130" s="1">
        <v>0</v>
      </c>
      <c r="AM130" t="s">
        <v>4360</v>
      </c>
      <c r="AN130" s="1">
        <v>0</v>
      </c>
      <c r="AO130" s="1">
        <v>7100000</v>
      </c>
      <c r="AP130" s="1">
        <v>0</v>
      </c>
      <c r="AQ130" s="1">
        <v>0</v>
      </c>
      <c r="AR130" s="1">
        <v>7100000</v>
      </c>
      <c r="AS130" s="1">
        <v>8490000</v>
      </c>
      <c r="AT130" s="1">
        <v>1390000</v>
      </c>
      <c r="AU130" s="1">
        <v>1637</v>
      </c>
    </row>
    <row r="131" spans="1:47" ht="13.5" customHeight="1" x14ac:dyDescent="0.3">
      <c r="A131" s="1" t="s">
        <v>5554</v>
      </c>
      <c r="B131" s="1" t="s">
        <v>5589</v>
      </c>
      <c r="C131" s="1">
        <v>0</v>
      </c>
      <c r="D131" s="1">
        <v>0</v>
      </c>
      <c r="E131" t="s">
        <v>4360</v>
      </c>
      <c r="F131" t="s">
        <v>4360</v>
      </c>
      <c r="G131" t="s">
        <v>4360</v>
      </c>
      <c r="H131" t="s">
        <v>4360</v>
      </c>
      <c r="I131" s="22" t="s">
        <v>6359</v>
      </c>
      <c r="J131" t="s">
        <v>4360</v>
      </c>
      <c r="K131" s="1" t="s">
        <v>6213</v>
      </c>
      <c r="L131" s="1" t="s">
        <v>64</v>
      </c>
      <c r="M131" s="1" t="s">
        <v>69</v>
      </c>
      <c r="N131" s="1" t="s">
        <v>70</v>
      </c>
      <c r="O131" s="1" t="s">
        <v>6360</v>
      </c>
      <c r="P131" s="1">
        <v>2020</v>
      </c>
      <c r="Q131" s="1">
        <v>96150</v>
      </c>
      <c r="R131" s="1" t="s">
        <v>6214</v>
      </c>
      <c r="S131" s="1" t="s">
        <v>71</v>
      </c>
      <c r="T131" s="1" t="s">
        <v>5557</v>
      </c>
      <c r="U131" s="1" t="s">
        <v>5606</v>
      </c>
      <c r="V131" s="1" t="s">
        <v>5559</v>
      </c>
      <c r="W131" s="1">
        <v>13990000</v>
      </c>
      <c r="X131" s="1" t="s">
        <v>5560</v>
      </c>
      <c r="Y131" s="1">
        <v>519</v>
      </c>
      <c r="Z131" s="1" t="s">
        <v>43</v>
      </c>
      <c r="AA131" s="1" t="s">
        <v>5594</v>
      </c>
      <c r="AB131" s="1" t="s">
        <v>5600</v>
      </c>
      <c r="AC131" s="1" t="s">
        <v>6215</v>
      </c>
      <c r="AD131" s="1" t="s">
        <v>6213</v>
      </c>
      <c r="AE131" s="1" t="s">
        <v>6216</v>
      </c>
      <c r="AF131" s="22" t="s">
        <v>6361</v>
      </c>
      <c r="AG131" s="1">
        <v>1</v>
      </c>
      <c r="AH131" s="22" t="s">
        <v>6361</v>
      </c>
      <c r="AI131" s="22" t="s">
        <v>6362</v>
      </c>
      <c r="AJ131" s="21" t="s">
        <v>6363</v>
      </c>
      <c r="AK131" s="1">
        <v>3</v>
      </c>
      <c r="AL131" s="1">
        <v>0</v>
      </c>
      <c r="AM131" t="s">
        <v>4360</v>
      </c>
      <c r="AN131" s="1">
        <v>0</v>
      </c>
      <c r="AO131" s="1">
        <v>14190000</v>
      </c>
      <c r="AP131" s="1">
        <v>338880</v>
      </c>
      <c r="AQ131" s="1">
        <v>0</v>
      </c>
      <c r="AR131" s="1">
        <v>14528880</v>
      </c>
      <c r="AS131" s="1">
        <v>13990000</v>
      </c>
      <c r="AT131" s="1">
        <v>-538880</v>
      </c>
      <c r="AU131" s="1">
        <v>-385</v>
      </c>
    </row>
    <row r="132" spans="1:47" ht="13.5" customHeight="1" x14ac:dyDescent="0.3">
      <c r="A132" s="1" t="s">
        <v>5554</v>
      </c>
      <c r="B132" s="1" t="s">
        <v>5555</v>
      </c>
      <c r="C132" s="1">
        <v>0</v>
      </c>
      <c r="D132" s="1">
        <v>0</v>
      </c>
      <c r="E132" t="s">
        <v>4360</v>
      </c>
      <c r="F132" t="s">
        <v>4360</v>
      </c>
      <c r="G132" t="s">
        <v>4360</v>
      </c>
      <c r="H132" t="s">
        <v>4360</v>
      </c>
      <c r="I132" s="22" t="s">
        <v>6332</v>
      </c>
      <c r="J132" t="s">
        <v>4360</v>
      </c>
      <c r="K132" s="1" t="s">
        <v>6333</v>
      </c>
      <c r="L132" s="1" t="s">
        <v>157</v>
      </c>
      <c r="M132" s="1" t="s">
        <v>164</v>
      </c>
      <c r="N132" s="1" t="s">
        <v>6334</v>
      </c>
      <c r="O132" s="1" t="s">
        <v>6335</v>
      </c>
      <c r="P132" s="1">
        <v>2023</v>
      </c>
      <c r="Q132" s="1">
        <v>32387</v>
      </c>
      <c r="R132" s="1" t="s">
        <v>6336</v>
      </c>
      <c r="S132" s="1" t="s">
        <v>6337</v>
      </c>
      <c r="T132" s="1" t="s">
        <v>5557</v>
      </c>
      <c r="U132" s="1" t="s">
        <v>6338</v>
      </c>
      <c r="V132" s="1" t="s">
        <v>5559</v>
      </c>
      <c r="W132" s="1">
        <v>11390000</v>
      </c>
      <c r="X132" s="1" t="s">
        <v>5560</v>
      </c>
      <c r="Y132" s="1">
        <v>6</v>
      </c>
      <c r="Z132" s="1" t="s">
        <v>17</v>
      </c>
      <c r="AA132" s="1" t="s">
        <v>5561</v>
      </c>
      <c r="AB132" s="1" t="s">
        <v>6339</v>
      </c>
      <c r="AC132" s="1" t="s">
        <v>6340</v>
      </c>
      <c r="AD132" s="1" t="s">
        <v>6341</v>
      </c>
      <c r="AE132" s="1" t="s">
        <v>6342</v>
      </c>
      <c r="AF132" s="22" t="s">
        <v>6343</v>
      </c>
      <c r="AG132" s="1">
        <v>1</v>
      </c>
      <c r="AH132" s="22" t="s">
        <v>6343</v>
      </c>
      <c r="AI132" s="22" t="s">
        <v>6344</v>
      </c>
      <c r="AJ132" t="s">
        <v>4360</v>
      </c>
      <c r="AK132" s="1">
        <v>1</v>
      </c>
      <c r="AL132" s="1">
        <v>0</v>
      </c>
      <c r="AM132" t="s">
        <v>4360</v>
      </c>
      <c r="AN132" s="1">
        <v>0</v>
      </c>
      <c r="AO132" s="1">
        <v>9300000</v>
      </c>
      <c r="AP132" s="1">
        <v>0</v>
      </c>
      <c r="AQ132" s="1">
        <v>0</v>
      </c>
      <c r="AR132" s="1">
        <v>9300000</v>
      </c>
      <c r="AS132" s="1">
        <v>11390000</v>
      </c>
      <c r="AT132" s="1">
        <v>2090000</v>
      </c>
      <c r="AU132" s="1">
        <v>1835</v>
      </c>
    </row>
    <row r="133" spans="1:47" ht="13.5" customHeight="1" x14ac:dyDescent="0.3">
      <c r="A133" s="1" t="s">
        <v>5554</v>
      </c>
      <c r="B133" s="1" t="s">
        <v>5555</v>
      </c>
      <c r="C133" s="1">
        <v>0</v>
      </c>
      <c r="D133" s="1">
        <v>0</v>
      </c>
      <c r="E133" t="s">
        <v>4360</v>
      </c>
      <c r="F133" t="s">
        <v>4360</v>
      </c>
      <c r="G133" t="s">
        <v>4360</v>
      </c>
      <c r="H133" t="s">
        <v>4360</v>
      </c>
      <c r="I133" s="21" t="s">
        <v>6258</v>
      </c>
      <c r="J133" t="s">
        <v>4360</v>
      </c>
      <c r="K133" s="1" t="s">
        <v>6259</v>
      </c>
      <c r="L133" s="1" t="s">
        <v>89</v>
      </c>
      <c r="M133" s="1" t="s">
        <v>3442</v>
      </c>
      <c r="N133" s="1" t="s">
        <v>6260</v>
      </c>
      <c r="O133" s="1" t="s">
        <v>6261</v>
      </c>
      <c r="P133" s="1">
        <v>2025</v>
      </c>
      <c r="Q133" s="1">
        <v>44200</v>
      </c>
      <c r="R133" s="1" t="s">
        <v>6262</v>
      </c>
      <c r="S133" s="1" t="s">
        <v>3443</v>
      </c>
      <c r="T133" s="1" t="s">
        <v>5557</v>
      </c>
      <c r="U133" s="1" t="s">
        <v>6263</v>
      </c>
      <c r="V133" s="1" t="s">
        <v>5559</v>
      </c>
      <c r="W133" s="1">
        <v>28990000</v>
      </c>
      <c r="X133" s="1" t="s">
        <v>5560</v>
      </c>
      <c r="Y133" s="1">
        <v>8</v>
      </c>
      <c r="Z133" s="1" t="s">
        <v>17</v>
      </c>
      <c r="AA133" s="1" t="s">
        <v>5561</v>
      </c>
      <c r="AB133" t="s">
        <v>5616</v>
      </c>
      <c r="AC133" s="1" t="s">
        <v>6264</v>
      </c>
      <c r="AD133" s="1" t="s">
        <v>6259</v>
      </c>
      <c r="AE133" s="1" t="s">
        <v>6265</v>
      </c>
      <c r="AF133" s="21" t="s">
        <v>6266</v>
      </c>
      <c r="AG133" s="1">
        <v>1</v>
      </c>
      <c r="AH133" s="21" t="s">
        <v>6266</v>
      </c>
      <c r="AI133" s="21" t="s">
        <v>6267</v>
      </c>
      <c r="AJ133" s="21" t="s">
        <v>4360</v>
      </c>
      <c r="AK133" s="1">
        <v>1</v>
      </c>
      <c r="AL133" s="1">
        <v>0</v>
      </c>
      <c r="AM133" t="s">
        <v>4360</v>
      </c>
      <c r="AN133" s="1">
        <v>0</v>
      </c>
      <c r="AO133" s="1">
        <v>22000000</v>
      </c>
      <c r="AP133" s="1">
        <v>0</v>
      </c>
      <c r="AQ133" s="1">
        <v>0</v>
      </c>
      <c r="AR133" s="1">
        <v>22000000</v>
      </c>
      <c r="AS133" s="1">
        <v>28990000</v>
      </c>
      <c r="AT133" s="1">
        <v>6990000</v>
      </c>
      <c r="AU133" s="1">
        <v>2411</v>
      </c>
    </row>
    <row r="134" spans="1:47" ht="13.5" customHeight="1" x14ac:dyDescent="0.3">
      <c r="A134" s="1" t="s">
        <v>5554</v>
      </c>
      <c r="B134" s="1" t="s">
        <v>5640</v>
      </c>
      <c r="C134" s="1">
        <v>0</v>
      </c>
      <c r="D134" s="1">
        <v>0</v>
      </c>
      <c r="E134" t="s">
        <v>4360</v>
      </c>
      <c r="F134" t="s">
        <v>4360</v>
      </c>
      <c r="G134" t="s">
        <v>4360</v>
      </c>
      <c r="H134" t="s">
        <v>4360</v>
      </c>
      <c r="I134" s="21" t="s">
        <v>6299</v>
      </c>
      <c r="J134" t="s">
        <v>4360</v>
      </c>
      <c r="K134" s="1" t="s">
        <v>5641</v>
      </c>
      <c r="L134" s="1" t="s">
        <v>72</v>
      </c>
      <c r="M134" s="1" t="s">
        <v>72</v>
      </c>
      <c r="N134" s="1" t="s">
        <v>82</v>
      </c>
      <c r="O134" s="1" t="s">
        <v>5637</v>
      </c>
      <c r="P134" s="1">
        <v>2014</v>
      </c>
      <c r="Q134" s="1">
        <v>0</v>
      </c>
      <c r="R134" s="1" t="s">
        <v>5642</v>
      </c>
      <c r="S134" s="1" t="s">
        <v>84</v>
      </c>
      <c r="T134" s="1" t="s">
        <v>5557</v>
      </c>
      <c r="U134" s="1" t="s">
        <v>5606</v>
      </c>
      <c r="V134" s="1" t="s">
        <v>5631</v>
      </c>
      <c r="W134" s="1">
        <v>4867100</v>
      </c>
      <c r="X134" s="1" t="s">
        <v>5560</v>
      </c>
      <c r="Y134" s="1">
        <v>4374</v>
      </c>
      <c r="Z134" s="1" t="s">
        <v>83</v>
      </c>
      <c r="AA134" s="1" t="s">
        <v>5643</v>
      </c>
      <c r="AB134" s="1" t="s">
        <v>4360</v>
      </c>
      <c r="AC134" s="1" t="s">
        <v>5644</v>
      </c>
      <c r="AD134" s="1" t="s">
        <v>5641</v>
      </c>
      <c r="AE134" s="1" t="s">
        <v>5612</v>
      </c>
      <c r="AF134" s="21" t="s">
        <v>6358</v>
      </c>
      <c r="AG134" s="1">
        <v>0</v>
      </c>
      <c r="AH134" s="21" t="s">
        <v>4360</v>
      </c>
      <c r="AI134" s="21" t="s">
        <v>4360</v>
      </c>
      <c r="AJ134" t="s">
        <v>6358</v>
      </c>
      <c r="AK134" s="1">
        <v>0</v>
      </c>
      <c r="AL134" s="1">
        <v>0</v>
      </c>
      <c r="AM134" t="s">
        <v>4360</v>
      </c>
      <c r="AN134" s="1">
        <v>0</v>
      </c>
      <c r="AO134" s="1">
        <v>108561</v>
      </c>
      <c r="AP134" s="1">
        <v>3090141</v>
      </c>
      <c r="AQ134" s="1">
        <v>0</v>
      </c>
      <c r="AR134" s="1">
        <v>3198702</v>
      </c>
      <c r="AS134" s="1">
        <v>4867100</v>
      </c>
      <c r="AT134" s="1">
        <v>1668398</v>
      </c>
      <c r="AU134" s="1">
        <v>3428</v>
      </c>
    </row>
    <row r="135" spans="1:47" ht="13.5" customHeight="1" x14ac:dyDescent="0.3"/>
    <row r="136" spans="1:47" ht="13.5" customHeight="1" x14ac:dyDescent="0.3"/>
    <row r="137" spans="1:47" ht="13.5" customHeight="1" x14ac:dyDescent="0.3"/>
    <row r="138" spans="1:47" ht="13.5" customHeight="1" x14ac:dyDescent="0.3"/>
    <row r="139" spans="1:47" ht="13.5" customHeight="1" x14ac:dyDescent="0.3"/>
    <row r="140" spans="1:47" ht="13.5" customHeight="1" x14ac:dyDescent="0.3"/>
    <row r="141" spans="1:47" ht="13.5" customHeight="1" x14ac:dyDescent="0.3"/>
    <row r="142" spans="1:47" ht="13.5" customHeight="1" x14ac:dyDescent="0.3"/>
    <row r="143" spans="1:47" ht="13.5" customHeight="1" x14ac:dyDescent="0.3"/>
    <row r="144" spans="1:47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</sheetData>
  <autoFilter ref="A1:AU134" xr:uid="{00000000-0009-0000-0000-000004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BBDD2</vt:lpstr>
      <vt:lpstr>PRECIO TOMA HISTORICO </vt:lpstr>
      <vt:lpstr>PRECIO MERCADO</vt:lpstr>
      <vt:lpstr>INFORME VENTAS</vt:lpstr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Ext</cp:lastModifiedBy>
  <dcterms:modified xsi:type="dcterms:W3CDTF">2026-06-02T17:34:03Z</dcterms:modified>
</cp:coreProperties>
</file>